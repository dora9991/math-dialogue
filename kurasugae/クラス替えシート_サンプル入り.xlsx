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名簿入力" sheetId="1" state="visible" r:id="rId1"/>
    <sheet xmlns:r="http://schemas.openxmlformats.org/officeDocument/2006/relationships" name="②クラス編成" sheetId="2" state="visible" r:id="rId2"/>
    <sheet xmlns:r="http://schemas.openxmlformats.org/officeDocument/2006/relationships" name="③クラス一覧" sheetId="3" state="visible" r:id="rId3"/>
    <sheet xmlns:r="http://schemas.openxmlformats.org/officeDocument/2006/relationships" name="使い方" sheetId="4" state="visible" r:id="rId4"/>
    <sheet xmlns:r="http://schemas.openxmlformats.org/officeDocument/2006/relationships" name="設定" sheetId="5" state="visible" r:id="rId5"/>
    <sheet xmlns:r="http://schemas.openxmlformats.org/officeDocument/2006/relationships" name="入替履歴" sheetId="6" state="visible" r:id="rId6"/>
    <sheet xmlns:r="http://schemas.openxmlformats.org/officeDocument/2006/relationships" name="計算" sheetId="7" state="hidden" r:id="rId7"/>
  </sheets>
  <definedNames>
    <definedName name="_xlnm._FilterDatabase" localSheetId="0" hidden="1">'①名簿入力'!$A$2:$V$153</definedName>
    <definedName name="_xlnm.Print_Titles" localSheetId="0">'①名簿入力'!$2:$2</definedName>
    <definedName name="_xlnm.Print_Area" localSheetId="0">'①名簿入力'!$A$1:$V$153</definedName>
    <definedName name="_xlnm.Print_Titles" localSheetId="1">'②クラス編成'!$8:$8</definedName>
    <definedName name="_xlnm.Print_Area" localSheetId="1">'②クラス編成'!$A$1:$Q$158</definedName>
    <definedName name="_xlnm.Print_Area" localSheetId="2">'③クラス一覧'!$B$1:$AM$66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1">
    <font>
      <name val="Calibri"/>
      <family val="2"/>
      <color theme="1"/>
      <sz val="11"/>
      <scheme val="minor"/>
    </font>
    <font>
      <name val="Meiryo UI"/>
      <b val="1"/>
      <color rgb="001F3864"/>
      <sz val="14"/>
    </font>
    <font>
      <name val="Meiryo UI"/>
      <color rgb="00404040"/>
      <sz val="10"/>
    </font>
    <font>
      <name val="Meiryo UI"/>
      <b val="1"/>
      <color rgb="00000000"/>
      <sz val="10"/>
    </font>
    <font>
      <name val="Meiryo UI"/>
      <b val="1"/>
      <color rgb="00FFFFFF"/>
      <sz val="10"/>
    </font>
    <font>
      <name val="Meiryo UI"/>
      <color rgb="007F7F7F"/>
      <sz val="8"/>
    </font>
    <font>
      <name val="Meiryo UI"/>
      <i val="1"/>
      <color rgb="007F7F7F"/>
      <sz val="9"/>
    </font>
    <font>
      <name val="Meiryo UI"/>
      <color rgb="00000000"/>
      <sz val="10"/>
    </font>
    <font>
      <name val="Meiryo UI"/>
      <b val="1"/>
      <color rgb="00375623"/>
      <sz val="14"/>
    </font>
    <font>
      <name val="Meiryo UI"/>
      <b val="1"/>
      <color rgb="00375623"/>
      <sz val="10"/>
    </font>
    <font>
      <name val="Meiryo UI"/>
      <color rgb="00A6A6A6"/>
      <sz val="8"/>
    </font>
    <font>
      <name val="Meiryo UI"/>
      <b val="1"/>
      <color rgb="00404040"/>
      <sz val="9"/>
    </font>
    <font>
      <name val="Meiryo UI"/>
      <b val="1"/>
      <color rgb="00FFFFFF"/>
      <sz val="9"/>
    </font>
    <font>
      <name val="Meiryo UI"/>
      <color rgb="00595959"/>
      <sz val="10"/>
    </font>
    <font>
      <name val="Meiryo UI"/>
      <b val="1"/>
      <color rgb="00000000"/>
      <sz val="11"/>
    </font>
    <font>
      <name val="Meiryo UI"/>
      <b val="1"/>
      <color rgb="00843C0C"/>
      <sz val="14"/>
    </font>
    <font>
      <name val="Meiryo UI"/>
      <color rgb="00404040"/>
      <sz val="9"/>
    </font>
    <font>
      <name val="Meiryo UI"/>
      <b val="1"/>
      <color rgb="00843C0C"/>
      <sz val="10"/>
    </font>
    <font>
      <name val="Meiryo UI"/>
      <b val="1"/>
      <color rgb="007F6000"/>
      <sz val="9"/>
    </font>
    <font>
      <name val="Meiryo UI"/>
      <color rgb="00000000"/>
      <sz val="9"/>
    </font>
    <font>
      <name val="Meiryo UI"/>
      <b val="1"/>
      <color rgb="007F6000"/>
      <sz val="14"/>
    </font>
    <font>
      <name val="Meiryo UI"/>
      <color rgb="007F6000"/>
      <sz val="10"/>
    </font>
    <font>
      <name val="Meiryo UI"/>
      <b val="1"/>
      <color rgb="00FFFFFF"/>
      <sz val="14"/>
    </font>
    <font>
      <name val="Meiryo UI"/>
      <b val="1"/>
      <color rgb="007F6000"/>
      <sz val="16"/>
    </font>
    <font>
      <name val="Meiryo UI"/>
      <b val="1"/>
      <color rgb="001F3864"/>
      <sz val="12"/>
    </font>
    <font>
      <name val="Meiryo UI"/>
      <b val="1"/>
      <color rgb="00000000"/>
      <sz val="14"/>
    </font>
    <font>
      <name val="Meiryo UI"/>
      <b val="1"/>
      <color rgb="001F3864"/>
      <sz val="11"/>
    </font>
    <font>
      <name val="Meiryo UI"/>
      <b val="1"/>
      <color rgb="007F7F7F"/>
      <sz val="11"/>
    </font>
    <font>
      <name val="Meiryo UI"/>
      <b val="1"/>
      <color rgb="007F7F7F"/>
      <sz val="10"/>
    </font>
    <font>
      <name val="Meiryo UI"/>
      <color rgb="007F7F7F"/>
      <sz val="9"/>
    </font>
    <font>
      <name val="Meiryo UI"/>
      <b val="1"/>
      <color rgb="00000000"/>
      <sz val="12"/>
    </font>
  </fonts>
  <fills count="1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D9D9D9"/>
        <bgColor rgb="00D9D9D9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2F75B5"/>
        <bgColor rgb="002F75B5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8F00"/>
      </left>
      <right style="thin">
        <color rgb="00BF8F00"/>
      </right>
      <top style="thin">
        <color rgb="00BF8F00"/>
      </top>
      <bottom style="thin">
        <color rgb="00BF8F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shrinkToFit="1"/>
    </xf>
    <xf numFmtId="0" fontId="7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shrinkToFi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shrinkToFit="1"/>
    </xf>
    <xf numFmtId="0" fontId="20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3" fillId="8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2" fontId="3" fillId="1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shrinkToFit="1"/>
    </xf>
    <xf numFmtId="0" fontId="3" fillId="11" borderId="1" applyAlignment="1" pivotButton="0" quotePrefix="0" xfId="0">
      <alignment horizontal="left" vertical="center" shrinkToFit="1"/>
    </xf>
    <xf numFmtId="0" fontId="3" fillId="13" borderId="1" applyAlignment="1" pivotButton="0" quotePrefix="0" xfId="0">
      <alignment horizontal="left" vertical="center" shrinkToFit="1"/>
    </xf>
    <xf numFmtId="0" fontId="12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shrinkToFit="1"/>
    </xf>
    <xf numFmtId="0" fontId="23" fillId="0" borderId="0" pivotButton="0" quotePrefix="0" xfId="0"/>
    <xf numFmtId="0" fontId="7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27" fillId="0" borderId="0" pivotButton="0" quotePrefix="0" xfId="0"/>
    <xf numFmtId="0" fontId="13" fillId="4" borderId="1" applyAlignment="1" pivotButton="0" quotePrefix="0" xfId="0">
      <alignment horizontal="left" vertical="center"/>
    </xf>
    <xf numFmtId="164" fontId="13" fillId="4" borderId="1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</cellXfs>
  <cellStyles count="1">
    <cellStyle name="Normal" xfId="0" builtinId="0" hidden="0"/>
  </cellStyles>
  <dxfs count="1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  <dxf>
      <font>
        <b val="1"/>
        <color rgb="00C00000"/>
      </font>
    </dxf>
    <dxf>
      <fill>
        <patternFill patternType="solid">
          <fgColor rgb="00E4DFEC"/>
          <bgColor rgb="00E4DFEC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9D9D9"/>
          <bgColor rgb="00D9D9D9"/>
        </patternFill>
      </fill>
    </dxf>
    <dxf>
      <font>
        <b val="1"/>
        <color rgb="001F4E79"/>
      </font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FF99"/>
          <bgColor rgb="00FFFF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AL15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5" customWidth="1" min="1" max="1"/>
    <col width="6.5" customWidth="1" min="2" max="2"/>
    <col width="13" customWidth="1" min="3" max="3"/>
    <col width="15" customWidth="1" min="4" max="4"/>
    <col width="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6.5" customWidth="1" min="11" max="11"/>
    <col width="6.5" customWidth="1" min="12" max="12"/>
    <col width="6.5" customWidth="1" min="13" max="13"/>
    <col width="8" customWidth="1" min="14" max="14"/>
    <col width="5.5" customWidth="1" min="15" max="15"/>
    <col width="5.5" customWidth="1" min="16" max="16"/>
    <col width="15" customWidth="1" min="17" max="17"/>
    <col width="15" customWidth="1" min="18" max="18"/>
    <col width="15" customWidth="1" min="19" max="19"/>
    <col width="24" customWidth="1" min="20" max="20"/>
    <col width="7.5" customWidth="1" min="21" max="21"/>
    <col width="8.5" customWidth="1" min="22" max="22"/>
    <col hidden="1" outlineLevel="1" width="9" customWidth="1" min="23" max="38"/>
  </cols>
  <sheetData>
    <row r="1" ht="24" customHeight="1">
      <c r="A1" s="1" t="inlineStr">
        <is>
          <t>① 名簿入力</t>
        </is>
      </c>
      <c r="D1" s="2" t="inlineStr">
        <is>
          <t>4行目から名簿を貼り付け（白い欄＝入力／灰色＝自動計算）。〇・性別・分けたい人はリストから選べます。U列に「自動案」が出ます → ②へ</t>
        </is>
      </c>
    </row>
    <row r="2" ht="40" customHeight="1">
      <c r="A2" s="3" t="inlineStr">
        <is>
          <t>番号</t>
        </is>
      </c>
      <c r="B2" s="3" t="inlineStr">
        <is>
          <t>旧
クラス</t>
        </is>
      </c>
      <c r="C2" s="3" t="inlineStr">
        <is>
          <t>氏名</t>
        </is>
      </c>
      <c r="D2" s="3" t="inlineStr">
        <is>
          <t>ふりがな</t>
        </is>
      </c>
      <c r="E2" s="3" t="inlineStr">
        <is>
          <t>性別</t>
        </is>
      </c>
      <c r="F2" s="3" t="inlineStr">
        <is>
          <t>国語</t>
        </is>
      </c>
      <c r="G2" s="3" t="inlineStr">
        <is>
          <t>数学</t>
        </is>
      </c>
      <c r="H2" s="3" t="inlineStr">
        <is>
          <t>英語</t>
        </is>
      </c>
      <c r="I2" s="3" t="inlineStr">
        <is>
          <t>理科</t>
        </is>
      </c>
      <c r="J2" s="3" t="inlineStr">
        <is>
          <t>社会</t>
        </is>
      </c>
      <c r="K2" s="3" t="inlineStr">
        <is>
          <t>5教科
平均</t>
        </is>
      </c>
      <c r="L2" s="3" t="inlineStr">
        <is>
          <t>50m走
(秒)</t>
        </is>
      </c>
      <c r="M2" s="3" t="inlineStr">
        <is>
          <t>ピアノ</t>
        </is>
      </c>
      <c r="N2" s="3" t="inlineStr">
        <is>
          <t>ムード
メーカー</t>
        </is>
      </c>
      <c r="O2" s="3" t="inlineStr">
        <is>
          <t>注意</t>
        </is>
      </c>
      <c r="P2" s="3" t="inlineStr">
        <is>
          <t>休み
がち</t>
        </is>
      </c>
      <c r="Q2" s="3" t="inlineStr">
        <is>
          <t>分けたい人①</t>
        </is>
      </c>
      <c r="R2" s="3" t="inlineStr">
        <is>
          <t>分けたい人②</t>
        </is>
      </c>
      <c r="S2" s="3" t="inlineStr">
        <is>
          <t>分けたい人③</t>
        </is>
      </c>
      <c r="T2" s="3" t="inlineStr">
        <is>
          <t>備考</t>
        </is>
      </c>
      <c r="U2" s="4" t="inlineStr">
        <is>
          <t>自動案
(組)</t>
        </is>
      </c>
      <c r="V2" s="4" t="inlineStr">
        <is>
          <t>決定
(②の組)</t>
        </is>
      </c>
      <c r="W2" s="5" t="inlineStr">
        <is>
          <t>選択肢</t>
        </is>
      </c>
      <c r="X2" s="5" t="inlineStr">
        <is>
          <t>性別ｺｰﾄﾞ</t>
        </is>
      </c>
      <c r="Y2" s="5" t="inlineStr">
        <is>
          <t>ピアノ01</t>
        </is>
      </c>
      <c r="Z2" s="5" t="inlineStr">
        <is>
          <t>ムード01</t>
        </is>
      </c>
      <c r="AA2" s="5" t="inlineStr">
        <is>
          <t>注意01</t>
        </is>
      </c>
      <c r="AB2" s="5" t="inlineStr">
        <is>
          <t>休み01</t>
        </is>
      </c>
      <c r="AC2" s="5" t="inlineStr">
        <is>
          <t>区分</t>
        </is>
      </c>
      <c r="AD2" s="5" t="inlineStr">
        <is>
          <t>平均(補完)</t>
        </is>
      </c>
      <c r="AE2" s="5" t="inlineStr">
        <is>
          <t>並びキー</t>
        </is>
      </c>
      <c r="AF2" s="5" t="inlineStr">
        <is>
          <t>並び順</t>
        </is>
      </c>
      <c r="AG2" s="5" t="inlineStr">
        <is>
          <t>分けたいID①</t>
        </is>
      </c>
      <c r="AH2" s="5" t="inlineStr">
        <is>
          <t>分けたいID②</t>
        </is>
      </c>
      <c r="AI2" s="5" t="inlineStr">
        <is>
          <t>分けたいID③</t>
        </is>
      </c>
      <c r="AJ2" s="5" t="inlineStr">
        <is>
          <t>旧クラス番号</t>
        </is>
      </c>
      <c r="AK2" s="5" t="inlineStr">
        <is>
          <t>50m二乗</t>
        </is>
      </c>
      <c r="AL2" s="5" t="inlineStr">
        <is>
          <t>50m z</t>
        </is>
      </c>
    </row>
    <row r="3">
      <c r="A3" s="6" t="inlineStr">
        <is>
          <t>2101</t>
        </is>
      </c>
      <c r="B3" s="6" t="n">
        <v>1</v>
      </c>
      <c r="C3" s="7" t="inlineStr">
        <is>
          <t>佐賀　太郎</t>
        </is>
      </c>
      <c r="D3" s="7" t="inlineStr">
        <is>
          <t>さが　たろう</t>
        </is>
      </c>
      <c r="E3" s="6" t="inlineStr">
        <is>
          <t>男</t>
        </is>
      </c>
      <c r="F3" s="6" t="n">
        <v>72</v>
      </c>
      <c r="G3" s="6" t="n">
        <v>65</v>
      </c>
      <c r="H3" s="6" t="n">
        <v>80</v>
      </c>
      <c r="I3" s="6" t="n">
        <v>58</v>
      </c>
      <c r="J3" s="6" t="n">
        <v>70</v>
      </c>
      <c r="K3" s="6" t="inlineStr">
        <is>
          <t>(自動)</t>
        </is>
      </c>
      <c r="L3" s="6" t="n">
        <v>7.8</v>
      </c>
      <c r="M3" s="6" t="inlineStr">
        <is>
          <t>〇</t>
        </is>
      </c>
      <c r="N3" s="6" t="inlineStr">
        <is>
          <t>〇</t>
        </is>
      </c>
      <c r="O3" s="6" t="inlineStr"/>
      <c r="P3" s="6" t="inlineStr"/>
      <c r="Q3" s="7" t="inlineStr">
        <is>
          <t>2105 山田　花子</t>
        </is>
      </c>
      <c r="R3" s="6" t="inlineStr"/>
      <c r="S3" s="6" t="inlineStr"/>
      <c r="T3" s="7" t="inlineStr">
        <is>
          <t>← 記入例（この行は計算に入りません）</t>
        </is>
      </c>
      <c r="U3" s="6" t="inlineStr">
        <is>
          <t>(自動)</t>
        </is>
      </c>
      <c r="V3" s="6" t="inlineStr">
        <is>
          <t>(自動)</t>
        </is>
      </c>
    </row>
    <row r="4">
      <c r="A4" s="8" t="n">
        <v>2101</v>
      </c>
      <c r="B4" s="8" t="n">
        <v>1</v>
      </c>
      <c r="C4" s="9" t="inlineStr">
        <is>
          <t>青木　花音</t>
        </is>
      </c>
      <c r="D4" s="9" t="inlineStr">
        <is>
          <t>あおき　かのん</t>
        </is>
      </c>
      <c r="E4" s="8" t="inlineStr">
        <is>
          <t>女</t>
        </is>
      </c>
      <c r="F4" s="8" t="n">
        <v>48</v>
      </c>
      <c r="G4" s="8" t="n">
        <v>52</v>
      </c>
      <c r="H4" s="8" t="n">
        <v>57</v>
      </c>
      <c r="I4" s="8" t="n">
        <v>60</v>
      </c>
      <c r="J4" s="8" t="n">
        <v>58</v>
      </c>
      <c r="K4" s="10">
        <f>IF(COUNT(F4:J4)=0,"",ROUND(AVERAGE(F4:J4),1))</f>
        <v>55</v>
      </c>
      <c r="L4" s="11" t="n">
        <v>8.9</v>
      </c>
      <c r="M4" s="8" t="inlineStr">
        <is>
          <t>×</t>
        </is>
      </c>
      <c r="N4" s="8" t="n"/>
      <c r="O4" s="8" t="n"/>
      <c r="P4" s="8" t="n"/>
      <c r="Q4" s="12" t="n"/>
      <c r="R4" s="12" t="n"/>
      <c r="S4" s="12" t="n"/>
      <c r="T4" s="9" t="n"/>
      <c r="U4" s="13">
        <f>IF(A4="","",INDEX('計算'!$Z$2:$Z$151,AF4))</f>
        <v>1</v>
      </c>
      <c r="V4" s="13">
        <f>IF(A4="","",IFERROR(IF(INDEX('②クラス編成'!$E$9:$E$158,MATCH(A4,'②クラス編成'!$D$9:$D$158,0))="","未",INDEX('②クラス編成'!$E$9:$E$158,MATCH(A4,'②クラス編成'!$D$9:$D$158,0))),"未"))</f>
        <v>1</v>
      </c>
      <c r="W4" s="14" t="str">
        <f>IF(A4="","",A4&amp;" "&amp;C4)</f>
        <v>2101 青木　花音</v>
      </c>
      <c r="X4" s="14">
        <f>IF(A4="","",IF(E4="男",1,IF(E4="女",2,3)))</f>
        <v>2</v>
      </c>
      <c r="Y4" s="14">
        <f>IF(OR(M4="〇",M4="○",M4="◯"),1,0)</f>
        <v>0</v>
      </c>
      <c r="Z4" s="14">
        <f>IF(OR(N4="〇",N4="○",N4="◯"),1,0)</f>
        <v>0</v>
      </c>
      <c r="AA4" s="14">
        <f>IF(OR(O4="〇",O4="○",O4="◯"),1,0)</f>
        <v>0</v>
      </c>
      <c r="AB4" s="14">
        <f>IF(OR(P4="〇",P4="○",P4="◯"),1,0)</f>
        <v>0</v>
      </c>
      <c r="AC4" s="14">
        <f>IF(A4="","",IF(AA4=1,1,IF(Y4=1,2,IF(Z4=1,3,IF(AB4=1,4,5)))))</f>
        <v>5</v>
      </c>
      <c r="AD4" s="14">
        <f>IF(A4="","",IF(K4="",'設定'!$C$37,K4))</f>
        <v>55</v>
      </c>
      <c r="AE4" s="14">
        <f>IF(A4="","",AC4*10000000-ROUND(ABS((AD4-'設定'!$C$37)/'設定'!$C$38)*10000,0))</f>
        <v>49994408</v>
      </c>
      <c r="AF4" s="14">
        <f>IF(A4="","",COUNTIF($AE$4:$AE$153,"&lt;"&amp;AE4)+COUNTIFS($AE$4:$AE$153,AE4,$A$4:$A$153,"&lt;"&amp;A4)+1)</f>
        <v>79</v>
      </c>
      <c r="AG4" s="14" t="str">
        <f>IF(Q4="","",IFERROR(VALUE(LEFT(Q4,FIND(" ",Q4&amp;" ")-1)),IFERROR(INDEX($A$4:$A$153,MATCH(Q4,$C$4:$C$153,0)),"")))</f>
        <v/>
      </c>
      <c r="AH4" s="14" t="str">
        <f>IF(R4="","",IFERROR(VALUE(LEFT(R4,FIND(" ",R4&amp;" ")-1)),IFERROR(INDEX($A$4:$A$153,MATCH(R4,$C$4:$C$153,0)),"")))</f>
        <v/>
      </c>
      <c r="AI4" s="14" t="str">
        <f>IF(S4="","",IFERROR(VALUE(LEFT(S4,FIND(" ",S4&amp;" ")-1)),IFERROR(INDEX($A$4:$A$153,MATCH(S4,$C$4:$C$153,0)),"")))</f>
        <v/>
      </c>
      <c r="AJ4" s="14">
        <f>IF(OR(A4="",B4=""),"",IF(COUNTIFS($B$4:B4,B4,$A$4:A4,"&lt;&gt;")=1,MAX($AJ$3:AJ3)+1,""))</f>
        <v>1</v>
      </c>
      <c r="AK4" s="14">
        <f>IF(OR(A4="",NOT(ISNUMBER(L4))),"",L4^2)</f>
        <v>79.21</v>
      </c>
      <c r="AL4" s="14">
        <f>IF(OR(A4="",NOT(ISNUMBER(L4))),0,(L4-INDEX('計算'!$AE$7:$AG$7,X4))/INDEX('計算'!$AE$8:$AG$8,X4))</f>
        <v>0.0577992840639699</v>
      </c>
    </row>
    <row r="5">
      <c r="A5" s="8" t="n">
        <v>2102</v>
      </c>
      <c r="B5" s="8" t="n">
        <v>1</v>
      </c>
      <c r="C5" s="9" t="inlineStr">
        <is>
          <t>阿部　陽葵</t>
        </is>
      </c>
      <c r="D5" s="9" t="inlineStr">
        <is>
          <t>あべ　ひまり</t>
        </is>
      </c>
      <c r="E5" s="8" t="inlineStr">
        <is>
          <t>女</t>
        </is>
      </c>
      <c r="F5" s="8" t="n">
        <v>35</v>
      </c>
      <c r="G5" s="8" t="n">
        <v>43</v>
      </c>
      <c r="H5" s="8" t="n">
        <v>28</v>
      </c>
      <c r="I5" s="8" t="n">
        <v>34</v>
      </c>
      <c r="J5" s="8" t="n">
        <v>34</v>
      </c>
      <c r="K5" s="10">
        <f>IF(COUNT(F5:J5)=0,"",ROUND(AVERAGE(F5:J5),1))</f>
        <v>34.8</v>
      </c>
      <c r="L5" s="11" t="n">
        <v>8.800000000000001</v>
      </c>
      <c r="M5" s="8" t="inlineStr">
        <is>
          <t>×</t>
        </is>
      </c>
      <c r="N5" s="8" t="n"/>
      <c r="O5" s="8" t="n"/>
      <c r="P5" s="8" t="n"/>
      <c r="Q5" s="12" t="n"/>
      <c r="R5" s="12" t="n"/>
      <c r="S5" s="12" t="n"/>
      <c r="T5" s="9" t="n"/>
      <c r="U5" s="13">
        <f>IF(A5="","",INDEX('計算'!$Z$2:$Z$151,AF5))</f>
        <v>3</v>
      </c>
      <c r="V5" s="13">
        <f>IF(A5="","",IFERROR(IF(INDEX('②クラス編成'!$E$9:$E$158,MATCH(A5,'②クラス編成'!$D$9:$D$158,0))="","未",INDEX('②クラス編成'!$E$9:$E$158,MATCH(A5,'②クラス編成'!$D$9:$D$158,0))),"未"))</f>
        <v>3</v>
      </c>
      <c r="W5" s="14" t="str">
        <f>IF(A5="","",A5&amp;" "&amp;C5)</f>
        <v>2102 阿部　陽葵</v>
      </c>
      <c r="X5" s="14">
        <f>IF(A5="","",IF(E5="男",1,IF(E5="女",2,3)))</f>
        <v>2</v>
      </c>
      <c r="Y5" s="14">
        <f>IF(OR(M5="〇",M5="○",M5="◯"),1,0)</f>
        <v>0</v>
      </c>
      <c r="Z5" s="14">
        <f>IF(OR(N5="〇",N5="○",N5="◯"),1,0)</f>
        <v>0</v>
      </c>
      <c r="AA5" s="14">
        <f>IF(OR(O5="〇",O5="○",O5="◯"),1,0)</f>
        <v>0</v>
      </c>
      <c r="AB5" s="14">
        <f>IF(OR(P5="〇",P5="○",P5="◯"),1,0)</f>
        <v>0</v>
      </c>
      <c r="AC5" s="14">
        <f>IF(A5="","",IF(AA5=1,1,IF(Y5=1,2,IF(Z5=1,3,IF(AB5=1,4,5)))))</f>
        <v>5</v>
      </c>
      <c r="AD5" s="14">
        <f>IF(A5="","",IF(K5="",'設定'!$C$37,K5))</f>
        <v>34.8</v>
      </c>
      <c r="AE5" s="14">
        <f>IF(A5="","",AC5*10000000-ROUND(ABS((AD5-'設定'!$C$37)/'設定'!$C$38)*10000,0))</f>
        <v>49979324</v>
      </c>
      <c r="AF5" s="14">
        <f>IF(A5="","",COUNTIF($AE$4:$AE$153,"&lt;"&amp;AE5)+COUNTIFS($AE$4:$AE$153,AE5,$A$4:$A$153,"&lt;"&amp;A5)+1)</f>
        <v>30</v>
      </c>
      <c r="AG5" s="14" t="str">
        <f>IF(Q5="","",IFERROR(VALUE(LEFT(Q5,FIND(" ",Q5&amp;" ")-1)),IFERROR(INDEX($A$4:$A$153,MATCH(Q5,$C$4:$C$153,0)),"")))</f>
        <v/>
      </c>
      <c r="AH5" s="14" t="str">
        <f>IF(R5="","",IFERROR(VALUE(LEFT(R5,FIND(" ",R5&amp;" ")-1)),IFERROR(INDEX($A$4:$A$153,MATCH(R5,$C$4:$C$153,0)),"")))</f>
        <v/>
      </c>
      <c r="AI5" s="14" t="str">
        <f>IF(S5="","",IFERROR(VALUE(LEFT(S5,FIND(" ",S5&amp;" ")-1)),IFERROR(INDEX($A$4:$A$153,MATCH(S5,$C$4:$C$153,0)),"")))</f>
        <v/>
      </c>
      <c r="AJ5" s="14" t="str">
        <f>IF(OR(A5="",B5=""),"",IF(COUNTIFS($B$4:B5,B5,$A$4:A5,"&lt;&gt;")=1,MAX($AJ$3:AJ4)+1,""))</f>
        <v/>
      </c>
      <c r="AK5" s="14">
        <f>IF(OR(A5="",NOT(ISNUMBER(L5))),"",L5^2)</f>
        <v>77.44</v>
      </c>
      <c r="AL5" s="14">
        <f>IF(OR(A5="",NOT(ISNUMBER(L5))),0,(L5-INDEX('計算'!$AE$7:$AG$7,X5))/INDEX('計算'!$AE$8:$AG$8,X5))</f>
        <v>-0.105965354117278</v>
      </c>
    </row>
    <row r="6">
      <c r="A6" s="8" t="n">
        <v>2103</v>
      </c>
      <c r="B6" s="8" t="n">
        <v>1</v>
      </c>
      <c r="C6" s="9" t="inlineStr">
        <is>
          <t>阿部　優奈</t>
        </is>
      </c>
      <c r="D6" s="9" t="inlineStr">
        <is>
          <t>あべ　ゆうな</t>
        </is>
      </c>
      <c r="E6" s="8" t="inlineStr">
        <is>
          <t>女</t>
        </is>
      </c>
      <c r="F6" s="8" t="n">
        <v>71</v>
      </c>
      <c r="G6" s="8" t="n">
        <v>66</v>
      </c>
      <c r="H6" s="8" t="n">
        <v>53</v>
      </c>
      <c r="I6" s="8" t="n">
        <v>62</v>
      </c>
      <c r="J6" s="8" t="n">
        <v>65</v>
      </c>
      <c r="K6" s="10">
        <f>IF(COUNT(F6:J6)=0,"",ROUND(AVERAGE(F6:J6),1))</f>
        <v>63.4</v>
      </c>
      <c r="L6" s="11" t="n">
        <v>7.4</v>
      </c>
      <c r="M6" s="8" t="inlineStr">
        <is>
          <t>×</t>
        </is>
      </c>
      <c r="N6" s="8" t="n"/>
      <c r="O6" s="8" t="n"/>
      <c r="P6" s="8" t="n"/>
      <c r="Q6" s="12" t="n"/>
      <c r="R6" s="12" t="n"/>
      <c r="S6" s="12" t="n"/>
      <c r="T6" s="9" t="n"/>
      <c r="U6" s="13">
        <f>IF(A6="","",INDEX('計算'!$Z$2:$Z$151,AF6))</f>
        <v>2</v>
      </c>
      <c r="V6" s="13">
        <f>IF(A6="","",IFERROR(IF(INDEX('②クラス編成'!$E$9:$E$158,MATCH(A6,'②クラス編成'!$D$9:$D$158,0))="","未",INDEX('②クラス編成'!$E$9:$E$158,MATCH(A6,'②クラス編成'!$D$9:$D$158,0))),"未"))</f>
        <v>2</v>
      </c>
      <c r="W6" s="14" t="str">
        <f>IF(A6="","",A6&amp;" "&amp;C6)</f>
        <v>2103 阿部　優奈</v>
      </c>
      <c r="X6" s="14">
        <f>IF(A6="","",IF(E6="男",1,IF(E6="女",2,3)))</f>
        <v>2</v>
      </c>
      <c r="Y6" s="14">
        <f>IF(OR(M6="〇",M6="○",M6="◯"),1,0)</f>
        <v>0</v>
      </c>
      <c r="Z6" s="14">
        <f>IF(OR(N6="〇",N6="○",N6="◯"),1,0)</f>
        <v>0</v>
      </c>
      <c r="AA6" s="14">
        <f>IF(OR(O6="〇",O6="○",O6="◯"),1,0)</f>
        <v>0</v>
      </c>
      <c r="AB6" s="14">
        <f>IF(OR(P6="〇",P6="○",P6="◯"),1,0)</f>
        <v>0</v>
      </c>
      <c r="AC6" s="14">
        <f>IF(A6="","",IF(AA6=1,1,IF(Y6=1,2,IF(Z6=1,3,IF(AB6=1,4,5)))))</f>
        <v>5</v>
      </c>
      <c r="AD6" s="14">
        <f>IF(A6="","",IF(K6="",'設定'!$C$37,K6))</f>
        <v>63.4</v>
      </c>
      <c r="AE6" s="14">
        <f>IF(A6="","",AC6*10000000-ROUND(ABS((AD6-'設定'!$C$37)/'設定'!$C$38)*10000,0))</f>
        <v>49999319</v>
      </c>
      <c r="AF6" s="14">
        <f>IF(A6="","",COUNTIF($AE$4:$AE$153,"&lt;"&amp;AE6)+COUNTIFS($AE$4:$AE$153,AE6,$A$4:$A$153,"&lt;"&amp;A6)+1)</f>
        <v>99</v>
      </c>
      <c r="AG6" s="14" t="str">
        <f>IF(Q6="","",IFERROR(VALUE(LEFT(Q6,FIND(" ",Q6&amp;" ")-1)),IFERROR(INDEX($A$4:$A$153,MATCH(Q6,$C$4:$C$153,0)),"")))</f>
        <v/>
      </c>
      <c r="AH6" s="14" t="str">
        <f>IF(R6="","",IFERROR(VALUE(LEFT(R6,FIND(" ",R6&amp;" ")-1)),IFERROR(INDEX($A$4:$A$153,MATCH(R6,$C$4:$C$153,0)),"")))</f>
        <v/>
      </c>
      <c r="AI6" s="14" t="str">
        <f>IF(S6="","",IFERROR(VALUE(LEFT(S6,FIND(" ",S6&amp;" ")-1)),IFERROR(INDEX($A$4:$A$153,MATCH(S6,$C$4:$C$153,0)),"")))</f>
        <v/>
      </c>
      <c r="AJ6" s="14" t="str">
        <f>IF(OR(A6="",B6=""),"",IF(COUNTIFS($B$4:B6,B6,$A$4:A6,"&lt;&gt;")=1,MAX($AJ$3:AJ5)+1,""))</f>
        <v/>
      </c>
      <c r="AK6" s="14">
        <f>IF(OR(A6="",NOT(ISNUMBER(L6))),"",L6^2)</f>
        <v>54.76</v>
      </c>
      <c r="AL6" s="14">
        <f>IF(OR(A6="",NOT(ISNUMBER(L6))),0,(L6-INDEX('計算'!$AE$7:$AG$7,X6))/INDEX('計算'!$AE$8:$AG$8,X6))</f>
        <v>-2.39867028865476</v>
      </c>
    </row>
    <row r="7">
      <c r="A7" s="8" t="n">
        <v>2104</v>
      </c>
      <c r="B7" s="8" t="n">
        <v>1</v>
      </c>
      <c r="C7" s="9" t="inlineStr">
        <is>
          <t>石井　彩花</t>
        </is>
      </c>
      <c r="D7" s="9" t="inlineStr">
        <is>
          <t>いしい　あやか</t>
        </is>
      </c>
      <c r="E7" s="8" t="inlineStr">
        <is>
          <t>女</t>
        </is>
      </c>
      <c r="F7" s="8" t="n">
        <v>42</v>
      </c>
      <c r="G7" s="8" t="n">
        <v>39</v>
      </c>
      <c r="H7" s="8" t="n">
        <v>40</v>
      </c>
      <c r="I7" s="8" t="n">
        <v>47</v>
      </c>
      <c r="J7" s="8" t="n">
        <v>49</v>
      </c>
      <c r="K7" s="10">
        <f>IF(COUNT(F7:J7)=0,"",ROUND(AVERAGE(F7:J7),1))</f>
        <v>43.4</v>
      </c>
      <c r="L7" s="11" t="n">
        <v>9.300000000000001</v>
      </c>
      <c r="M7" s="8" t="inlineStr">
        <is>
          <t>×</t>
        </is>
      </c>
      <c r="N7" s="8" t="n"/>
      <c r="O7" s="8" t="n"/>
      <c r="P7" s="8" t="n"/>
      <c r="Q7" s="12" t="n"/>
      <c r="R7" s="12" t="n"/>
      <c r="S7" s="12" t="n"/>
      <c r="T7" s="9" t="n"/>
      <c r="U7" s="13">
        <f>IF(A7="","",INDEX('計算'!$Z$2:$Z$151,AF7))</f>
        <v>1</v>
      </c>
      <c r="V7" s="13">
        <f>IF(A7="","",IFERROR(IF(INDEX('②クラス編成'!$E$9:$E$158,MATCH(A7,'②クラス編成'!$D$9:$D$158,0))="","未",INDEX('②クラス編成'!$E$9:$E$158,MATCH(A7,'②クラス編成'!$D$9:$D$158,0))),"未"))</f>
        <v>1</v>
      </c>
      <c r="W7" s="14" t="str">
        <f>IF(A7="","",A7&amp;" "&amp;C7)</f>
        <v>2104 石井　彩花</v>
      </c>
      <c r="X7" s="14">
        <f>IF(A7="","",IF(E7="男",1,IF(E7="女",2,3)))</f>
        <v>2</v>
      </c>
      <c r="Y7" s="14">
        <f>IF(OR(M7="〇",M7="○",M7="◯"),1,0)</f>
        <v>0</v>
      </c>
      <c r="Z7" s="14">
        <f>IF(OR(N7="〇",N7="○",N7="◯"),1,0)</f>
        <v>0</v>
      </c>
      <c r="AA7" s="14">
        <f>IF(OR(O7="〇",O7="○",O7="◯"),1,0)</f>
        <v>0</v>
      </c>
      <c r="AB7" s="14">
        <f>IF(OR(P7="〇",P7="○",P7="◯"),1,0)</f>
        <v>0</v>
      </c>
      <c r="AC7" s="14">
        <f>IF(A7="","",IF(AA7=1,1,IF(Y7=1,2,IF(Z7=1,3,IF(AB7=1,4,5)))))</f>
        <v>5</v>
      </c>
      <c r="AD7" s="14">
        <f>IF(A7="","",IF(K7="",'設定'!$C$37,K7))</f>
        <v>43.4</v>
      </c>
      <c r="AE7" s="14">
        <f>IF(A7="","",AC7*10000000-ROUND(ABS((AD7-'設定'!$C$37)/'設定'!$C$38)*10000,0))</f>
        <v>49985746</v>
      </c>
      <c r="AF7" s="14">
        <f>IF(A7="","",COUNTIF($AE$4:$AE$153,"&lt;"&amp;AE7)+COUNTIFS($AE$4:$AE$153,AE7,$A$4:$A$153,"&lt;"&amp;A7)+1)</f>
        <v>36</v>
      </c>
      <c r="AG7" s="14" t="str">
        <f>IF(Q7="","",IFERROR(VALUE(LEFT(Q7,FIND(" ",Q7&amp;" ")-1)),IFERROR(INDEX($A$4:$A$153,MATCH(Q7,$C$4:$C$153,0)),"")))</f>
        <v/>
      </c>
      <c r="AH7" s="14" t="str">
        <f>IF(R7="","",IFERROR(VALUE(LEFT(R7,FIND(" ",R7&amp;" ")-1)),IFERROR(INDEX($A$4:$A$153,MATCH(R7,$C$4:$C$153,0)),"")))</f>
        <v/>
      </c>
      <c r="AI7" s="14" t="str">
        <f>IF(S7="","",IFERROR(VALUE(LEFT(S7,FIND(" ",S7&amp;" ")-1)),IFERROR(INDEX($A$4:$A$153,MATCH(S7,$C$4:$C$153,0)),"")))</f>
        <v/>
      </c>
      <c r="AJ7" s="14" t="str">
        <f>IF(OR(A7="",B7=""),"",IF(COUNTIFS($B$4:B7,B7,$A$4:A7,"&lt;&gt;")=1,MAX($AJ$3:AJ6)+1,""))</f>
        <v/>
      </c>
      <c r="AK7" s="14">
        <f>IF(OR(A7="",NOT(ISNUMBER(L7))),"",L7^2)</f>
        <v>86.49</v>
      </c>
      <c r="AL7" s="14">
        <f>IF(OR(A7="",NOT(ISNUMBER(L7))),0,(L7-INDEX('計算'!$AE$7:$AG$7,X7))/INDEX('計算'!$AE$8:$AG$8,X7))</f>
        <v>0.712857836788965</v>
      </c>
    </row>
    <row r="8">
      <c r="A8" s="8" t="n">
        <v>2105</v>
      </c>
      <c r="B8" s="8" t="n">
        <v>1</v>
      </c>
      <c r="C8" s="9" t="inlineStr">
        <is>
          <t>石井　駿</t>
        </is>
      </c>
      <c r="D8" s="9" t="inlineStr">
        <is>
          <t>いしい　しゅん</t>
        </is>
      </c>
      <c r="E8" s="8" t="inlineStr">
        <is>
          <t>男</t>
        </is>
      </c>
      <c r="F8" s="8" t="n">
        <v>40</v>
      </c>
      <c r="G8" s="8" t="n">
        <v>12</v>
      </c>
      <c r="H8" s="8" t="n">
        <v>17</v>
      </c>
      <c r="I8" s="8" t="n">
        <v>16</v>
      </c>
      <c r="J8" s="8" t="n">
        <v>12</v>
      </c>
      <c r="K8" s="10">
        <f>IF(COUNT(F8:J8)=0,"",ROUND(AVERAGE(F8:J8),1))</f>
        <v>19.4</v>
      </c>
      <c r="L8" s="11" t="n">
        <v>7.5</v>
      </c>
      <c r="M8" s="8" t="inlineStr">
        <is>
          <t>×</t>
        </is>
      </c>
      <c r="N8" s="8" t="inlineStr">
        <is>
          <t>〇</t>
        </is>
      </c>
      <c r="O8" s="8" t="n"/>
      <c r="P8" s="8" t="n"/>
      <c r="Q8" s="12" t="n"/>
      <c r="R8" s="12" t="n"/>
      <c r="S8" s="12" t="n"/>
      <c r="T8" s="9" t="inlineStr">
        <is>
          <t>学級委員の経験あり</t>
        </is>
      </c>
      <c r="U8" s="13">
        <f>IF(A8="","",INDEX('計算'!$Z$2:$Z$151,AF8))</f>
        <v>2</v>
      </c>
      <c r="V8" s="13">
        <f>IF(A8="","",IFERROR(IF(INDEX('②クラス編成'!$E$9:$E$158,MATCH(A8,'②クラス編成'!$D$9:$D$158,0))="","未",INDEX('②クラス編成'!$E$9:$E$158,MATCH(A8,'②クラス編成'!$D$9:$D$158,0))),"未"))</f>
        <v>2</v>
      </c>
      <c r="W8" s="14" t="str">
        <f>IF(A8="","",A8&amp;" "&amp;C8)</f>
        <v>2105 石井　駿</v>
      </c>
      <c r="X8" s="14">
        <f>IF(A8="","",IF(E8="男",1,IF(E8="女",2,3)))</f>
        <v>1</v>
      </c>
      <c r="Y8" s="14">
        <f>IF(OR(M8="〇",M8="○",M8="◯"),1,0)</f>
        <v>0</v>
      </c>
      <c r="Z8" s="14">
        <f>IF(OR(N8="〇",N8="○",N8="◯"),1,0)</f>
        <v>1</v>
      </c>
      <c r="AA8" s="14">
        <f>IF(OR(O8="〇",O8="○",O8="◯"),1,0)</f>
        <v>0</v>
      </c>
      <c r="AB8" s="14">
        <f>IF(OR(P8="〇",P8="○",P8="◯"),1,0)</f>
        <v>0</v>
      </c>
      <c r="AC8" s="14">
        <f>IF(A8="","",IF(AA8=1,1,IF(Y8=1,2,IF(Z8=1,3,IF(AB8=1,4,5)))))</f>
        <v>3</v>
      </c>
      <c r="AD8" s="14">
        <f>IF(A8="","",IF(K8="",'設定'!$C$37,K8))</f>
        <v>19.4</v>
      </c>
      <c r="AE8" s="14">
        <f>IF(A8="","",AC8*10000000-ROUND(ABS((AD8-'設定'!$C$37)/'設定'!$C$38)*10000,0))</f>
        <v>29967823</v>
      </c>
      <c r="AF8" s="14">
        <f>IF(A8="","",COUNTIF($AE$4:$AE$153,"&lt;"&amp;AE8)+COUNTIFS($AE$4:$AE$153,AE8,$A$4:$A$153,"&lt;"&amp;A8)+1)</f>
        <v>16</v>
      </c>
      <c r="AG8" s="14" t="str">
        <f>IF(Q8="","",IFERROR(VALUE(LEFT(Q8,FIND(" ",Q8&amp;" ")-1)),IFERROR(INDEX($A$4:$A$153,MATCH(Q8,$C$4:$C$153,0)),"")))</f>
        <v/>
      </c>
      <c r="AH8" s="14" t="str">
        <f>IF(R8="","",IFERROR(VALUE(LEFT(R8,FIND(" ",R8&amp;" ")-1)),IFERROR(INDEX($A$4:$A$153,MATCH(R8,$C$4:$C$153,0)),"")))</f>
        <v/>
      </c>
      <c r="AI8" s="14" t="str">
        <f>IF(S8="","",IFERROR(VALUE(LEFT(S8,FIND(" ",S8&amp;" ")-1)),IFERROR(INDEX($A$4:$A$153,MATCH(S8,$C$4:$C$153,0)),"")))</f>
        <v/>
      </c>
      <c r="AJ8" s="14" t="str">
        <f>IF(OR(A8="",B8=""),"",IF(COUNTIFS($B$4:B8,B8,$A$4:A8,"&lt;&gt;")=1,MAX($AJ$3:AJ7)+1,""))</f>
        <v/>
      </c>
      <c r="AK8" s="14">
        <f>IF(OR(A8="",NOT(ISNUMBER(L8))),"",L8^2)</f>
        <v>56.25</v>
      </c>
      <c r="AL8" s="14">
        <f>IF(OR(A8="",NOT(ISNUMBER(L8))),0,(L8-INDEX('計算'!$AE$7:$AG$7,X8))/INDEX('計算'!$AE$8:$AG$8,X8))</f>
        <v>-0.43410481052153</v>
      </c>
    </row>
    <row r="9">
      <c r="A9" s="8" t="n">
        <v>2106</v>
      </c>
      <c r="B9" s="8" t="n">
        <v>1</v>
      </c>
      <c r="C9" s="9" t="inlineStr">
        <is>
          <t>石田　凛</t>
        </is>
      </c>
      <c r="D9" s="9" t="inlineStr">
        <is>
          <t>いしだ　りん</t>
        </is>
      </c>
      <c r="E9" s="8" t="inlineStr">
        <is>
          <t>女</t>
        </is>
      </c>
      <c r="F9" s="8" t="n">
        <v>92</v>
      </c>
      <c r="G9" s="8" t="n">
        <v>83</v>
      </c>
      <c r="H9" s="8" t="n">
        <v>76</v>
      </c>
      <c r="I9" s="8" t="n">
        <v>78</v>
      </c>
      <c r="J9" s="8" t="n">
        <v>64</v>
      </c>
      <c r="K9" s="10">
        <f>IF(COUNT(F9:J9)=0,"",ROUND(AVERAGE(F9:J9),1))</f>
        <v>78.6</v>
      </c>
      <c r="L9" s="11" t="n">
        <v>8.9</v>
      </c>
      <c r="M9" s="8" t="inlineStr">
        <is>
          <t>×</t>
        </is>
      </c>
      <c r="N9" s="8" t="n"/>
      <c r="O9" s="8" t="n"/>
      <c r="P9" s="8" t="n"/>
      <c r="Q9" s="12" t="n"/>
      <c r="R9" s="12" t="n"/>
      <c r="S9" s="12" t="n"/>
      <c r="T9" s="9" t="n"/>
      <c r="U9" s="13">
        <f>IF(A9="","",INDEX('計算'!$Z$2:$Z$151,AF9))</f>
        <v>3</v>
      </c>
      <c r="V9" s="13">
        <f>IF(A9="","",IFERROR(IF(INDEX('②クラス編成'!$E$9:$E$158,MATCH(A9,'②クラス編成'!$D$9:$D$158,0))="","未",INDEX('②クラス編成'!$E$9:$E$158,MATCH(A9,'②クラス編成'!$D$9:$D$158,0))),"未"))</f>
        <v>3</v>
      </c>
      <c r="W9" s="14" t="str">
        <f>IF(A9="","",A9&amp;" "&amp;C9)</f>
        <v>2106 石田　凛</v>
      </c>
      <c r="X9" s="14">
        <f>IF(A9="","",IF(E9="男",1,IF(E9="女",2,3)))</f>
        <v>2</v>
      </c>
      <c r="Y9" s="14">
        <f>IF(OR(M9="〇",M9="○",M9="◯"),1,0)</f>
        <v>0</v>
      </c>
      <c r="Z9" s="14">
        <f>IF(OR(N9="〇",N9="○",N9="◯"),1,0)</f>
        <v>0</v>
      </c>
      <c r="AA9" s="14">
        <f>IF(OR(O9="〇",O9="○",O9="◯"),1,0)</f>
        <v>0</v>
      </c>
      <c r="AB9" s="14">
        <f>IF(OR(P9="〇",P9="○",P9="◯"),1,0)</f>
        <v>0</v>
      </c>
      <c r="AC9" s="14">
        <f>IF(A9="","",IF(AA9=1,1,IF(Y9=1,2,IF(Z9=1,3,IF(AB9=1,4,5)))))</f>
        <v>5</v>
      </c>
      <c r="AD9" s="14">
        <f>IF(A9="","",IF(K9="",'設定'!$C$37,K9))</f>
        <v>78.6</v>
      </c>
      <c r="AE9" s="14">
        <f>IF(A9="","",AC9*10000000-ROUND(ABS((AD9-'設定'!$C$37)/'設定'!$C$38)*10000,0))</f>
        <v>49987968</v>
      </c>
      <c r="AF9" s="14">
        <f>IF(A9="","",COUNTIF($AE$4:$AE$153,"&lt;"&amp;AE9)+COUNTIFS($AE$4:$AE$153,AE9,$A$4:$A$153,"&lt;"&amp;A9)+1)</f>
        <v>42</v>
      </c>
      <c r="AG9" s="14" t="str">
        <f>IF(Q9="","",IFERROR(VALUE(LEFT(Q9,FIND(" ",Q9&amp;" ")-1)),IFERROR(INDEX($A$4:$A$153,MATCH(Q9,$C$4:$C$153,0)),"")))</f>
        <v/>
      </c>
      <c r="AH9" s="14" t="str">
        <f>IF(R9="","",IFERROR(VALUE(LEFT(R9,FIND(" ",R9&amp;" ")-1)),IFERROR(INDEX($A$4:$A$153,MATCH(R9,$C$4:$C$153,0)),"")))</f>
        <v/>
      </c>
      <c r="AI9" s="14" t="str">
        <f>IF(S9="","",IFERROR(VALUE(LEFT(S9,FIND(" ",S9&amp;" ")-1)),IFERROR(INDEX($A$4:$A$153,MATCH(S9,$C$4:$C$153,0)),"")))</f>
        <v/>
      </c>
      <c r="AJ9" s="14" t="str">
        <f>IF(OR(A9="",B9=""),"",IF(COUNTIFS($B$4:B9,B9,$A$4:A9,"&lt;&gt;")=1,MAX($AJ$3:AJ8)+1,""))</f>
        <v/>
      </c>
      <c r="AK9" s="14">
        <f>IF(OR(A9="",NOT(ISNUMBER(L9))),"",L9^2)</f>
        <v>79.21</v>
      </c>
      <c r="AL9" s="14">
        <f>IF(OR(A9="",NOT(ISNUMBER(L9))),0,(L9-INDEX('計算'!$AE$7:$AG$7,X9))/INDEX('計算'!$AE$8:$AG$8,X9))</f>
        <v>0.0577992840639699</v>
      </c>
    </row>
    <row r="10">
      <c r="A10" s="8" t="n">
        <v>2107</v>
      </c>
      <c r="B10" s="8" t="n">
        <v>1</v>
      </c>
      <c r="C10" s="9" t="inlineStr">
        <is>
          <t>井上　沙耶</t>
        </is>
      </c>
      <c r="D10" s="9" t="inlineStr">
        <is>
          <t>いのうえ　さや</t>
        </is>
      </c>
      <c r="E10" s="8" t="inlineStr">
        <is>
          <t>女</t>
        </is>
      </c>
      <c r="F10" s="8" t="n">
        <v>70</v>
      </c>
      <c r="G10" s="8" t="n">
        <v>85</v>
      </c>
      <c r="H10" s="8" t="n">
        <v>84</v>
      </c>
      <c r="I10" s="8" t="n">
        <v>76</v>
      </c>
      <c r="J10" s="8" t="n">
        <v>73</v>
      </c>
      <c r="K10" s="10">
        <f>IF(COUNT(F10:J10)=0,"",ROUND(AVERAGE(F10:J10),1))</f>
        <v>77.6</v>
      </c>
      <c r="L10" s="11" t="n">
        <v>9.9</v>
      </c>
      <c r="M10" s="8" t="inlineStr">
        <is>
          <t>×</t>
        </is>
      </c>
      <c r="N10" s="8" t="n"/>
      <c r="O10" s="8" t="n"/>
      <c r="P10" s="8" t="n"/>
      <c r="Q10" s="12" t="n"/>
      <c r="R10" s="12" t="n"/>
      <c r="S10" s="12" t="n"/>
      <c r="T10" s="9" t="n"/>
      <c r="U10" s="13">
        <f>IF(A10="","",INDEX('計算'!$Z$2:$Z$151,AF10))</f>
        <v>2</v>
      </c>
      <c r="V10" s="13">
        <f>IF(A10="","",IFERROR(IF(INDEX('②クラス編成'!$E$9:$E$158,MATCH(A10,'②クラス編成'!$D$9:$D$158,0))="","未",INDEX('②クラス編成'!$E$9:$E$158,MATCH(A10,'②クラス編成'!$D$9:$D$158,0))),"未"))</f>
        <v>2</v>
      </c>
      <c r="W10" s="14" t="str">
        <f>IF(A10="","",A10&amp;" "&amp;C10)</f>
        <v>2107 井上　沙耶</v>
      </c>
      <c r="X10" s="14">
        <f>IF(A10="","",IF(E10="男",1,IF(E10="女",2,3)))</f>
        <v>2</v>
      </c>
      <c r="Y10" s="14">
        <f>IF(OR(M10="〇",M10="○",M10="◯"),1,0)</f>
        <v>0</v>
      </c>
      <c r="Z10" s="14">
        <f>IF(OR(N10="〇",N10="○",N10="◯"),1,0)</f>
        <v>0</v>
      </c>
      <c r="AA10" s="14">
        <f>IF(OR(O10="〇",O10="○",O10="◯"),1,0)</f>
        <v>0</v>
      </c>
      <c r="AB10" s="14">
        <f>IF(OR(P10="〇",P10="○",P10="◯"),1,0)</f>
        <v>0</v>
      </c>
      <c r="AC10" s="14">
        <f>IF(A10="","",IF(AA10=1,1,IF(Y10=1,2,IF(Z10=1,3,IF(AB10=1,4,5)))))</f>
        <v>5</v>
      </c>
      <c r="AD10" s="14">
        <f>IF(A10="","",IF(K10="",'設定'!$C$37,K10))</f>
        <v>77.6</v>
      </c>
      <c r="AE10" s="14">
        <f>IF(A10="","",AC10*10000000-ROUND(ABS((AD10-'設定'!$C$37)/'設定'!$C$38)*10000,0))</f>
        <v>49988714</v>
      </c>
      <c r="AF10" s="14">
        <f>IF(A10="","",COUNTIF($AE$4:$AE$153,"&lt;"&amp;AE10)+COUNTIFS($AE$4:$AE$153,AE10,$A$4:$A$153,"&lt;"&amp;A10)+1)</f>
        <v>47</v>
      </c>
      <c r="AG10" s="14" t="str">
        <f>IF(Q10="","",IFERROR(VALUE(LEFT(Q10,FIND(" ",Q10&amp;" ")-1)),IFERROR(INDEX($A$4:$A$153,MATCH(Q10,$C$4:$C$153,0)),"")))</f>
        <v/>
      </c>
      <c r="AH10" s="14" t="str">
        <f>IF(R10="","",IFERROR(VALUE(LEFT(R10,FIND(" ",R10&amp;" ")-1)),IFERROR(INDEX($A$4:$A$153,MATCH(R10,$C$4:$C$153,0)),"")))</f>
        <v/>
      </c>
      <c r="AI10" s="14" t="str">
        <f>IF(S10="","",IFERROR(VALUE(LEFT(S10,FIND(" ",S10&amp;" ")-1)),IFERROR(INDEX($A$4:$A$153,MATCH(S10,$C$4:$C$153,0)),"")))</f>
        <v/>
      </c>
      <c r="AJ10" s="14" t="str">
        <f>IF(OR(A10="",B10=""),"",IF(COUNTIFS($B$4:B10,B10,$A$4:A10,"&lt;&gt;")=1,MAX($AJ$3:AJ9)+1,""))</f>
        <v/>
      </c>
      <c r="AK10" s="14">
        <f>IF(OR(A10="",NOT(ISNUMBER(L10))),"",L10^2)</f>
        <v>98.01</v>
      </c>
      <c r="AL10" s="14">
        <f>IF(OR(A10="",NOT(ISNUMBER(L10))),0,(L10-INDEX('計算'!$AE$7:$AG$7,X10))/INDEX('計算'!$AE$8:$AG$8,X10))</f>
        <v>1.69544566587646</v>
      </c>
    </row>
    <row r="11">
      <c r="A11" s="8" t="n">
        <v>2108</v>
      </c>
      <c r="B11" s="8" t="n">
        <v>1</v>
      </c>
      <c r="C11" s="9" t="inlineStr">
        <is>
          <t>井上　陸</t>
        </is>
      </c>
      <c r="D11" s="9" t="inlineStr">
        <is>
          <t>いのうえ　りく</t>
        </is>
      </c>
      <c r="E11" s="8" t="inlineStr">
        <is>
          <t>男</t>
        </is>
      </c>
      <c r="F11" s="8" t="n">
        <v>45</v>
      </c>
      <c r="G11" s="8" t="n">
        <v>48</v>
      </c>
      <c r="H11" s="8" t="n">
        <v>42</v>
      </c>
      <c r="I11" s="8" t="n">
        <v>47</v>
      </c>
      <c r="J11" s="8" t="n">
        <v>57</v>
      </c>
      <c r="K11" s="10">
        <f>IF(COUNT(F11:J11)=0,"",ROUND(AVERAGE(F11:J11),1))</f>
        <v>47.8</v>
      </c>
      <c r="L11" s="11" t="n">
        <v>7</v>
      </c>
      <c r="M11" s="8" t="inlineStr">
        <is>
          <t>×</t>
        </is>
      </c>
      <c r="N11" s="8" t="n"/>
      <c r="O11" s="8" t="n"/>
      <c r="P11" s="8" t="n"/>
      <c r="Q11" s="12" t="n"/>
      <c r="R11" s="12" t="n"/>
      <c r="S11" s="12" t="n"/>
      <c r="T11" s="9" t="inlineStr">
        <is>
          <t>部活：陸上</t>
        </is>
      </c>
      <c r="U11" s="13">
        <f>IF(A11="","",INDEX('計算'!$Z$2:$Z$151,AF11))</f>
        <v>1</v>
      </c>
      <c r="V11" s="13">
        <f>IF(A11="","",IFERROR(IF(INDEX('②クラス編成'!$E$9:$E$158,MATCH(A11,'②クラス編成'!$D$9:$D$158,0))="","未",INDEX('②クラス編成'!$E$9:$E$158,MATCH(A11,'②クラス編成'!$D$9:$D$158,0))),"未"))</f>
        <v>1</v>
      </c>
      <c r="W11" s="14" t="str">
        <f>IF(A11="","",A11&amp;" "&amp;C11)</f>
        <v>2108 井上　陸</v>
      </c>
      <c r="X11" s="14">
        <f>IF(A11="","",IF(E11="男",1,IF(E11="女",2,3)))</f>
        <v>1</v>
      </c>
      <c r="Y11" s="14">
        <f>IF(OR(M11="〇",M11="○",M11="◯"),1,0)</f>
        <v>0</v>
      </c>
      <c r="Z11" s="14">
        <f>IF(OR(N11="〇",N11="○",N11="◯"),1,0)</f>
        <v>0</v>
      </c>
      <c r="AA11" s="14">
        <f>IF(OR(O11="〇",O11="○",O11="◯"),1,0)</f>
        <v>0</v>
      </c>
      <c r="AB11" s="14">
        <f>IF(OR(P11="〇",P11="○",P11="◯"),1,0)</f>
        <v>0</v>
      </c>
      <c r="AC11" s="14">
        <f>IF(A11="","",IF(AA11=1,1,IF(Y11=1,2,IF(Z11=1,3,IF(AB11=1,4,5)))))</f>
        <v>5</v>
      </c>
      <c r="AD11" s="14">
        <f>IF(A11="","",IF(K11="",'設定'!$C$37,K11))</f>
        <v>47.8</v>
      </c>
      <c r="AE11" s="14">
        <f>IF(A11="","",AC11*10000000-ROUND(ABS((AD11-'設定'!$C$37)/'設定'!$C$38)*10000,0))</f>
        <v>49989032</v>
      </c>
      <c r="AF11" s="14">
        <f>IF(A11="","",COUNTIF($AE$4:$AE$153,"&lt;"&amp;AE11)+COUNTIFS($AE$4:$AE$153,AE11,$A$4:$A$153,"&lt;"&amp;A11)+1)</f>
        <v>50</v>
      </c>
      <c r="AG11" s="14" t="str">
        <f>IF(Q11="","",IFERROR(VALUE(LEFT(Q11,FIND(" ",Q11&amp;" ")-1)),IFERROR(INDEX($A$4:$A$153,MATCH(Q11,$C$4:$C$153,0)),"")))</f>
        <v/>
      </c>
      <c r="AH11" s="14" t="str">
        <f>IF(R11="","",IFERROR(VALUE(LEFT(R11,FIND(" ",R11&amp;" ")-1)),IFERROR(INDEX($A$4:$A$153,MATCH(R11,$C$4:$C$153,0)),"")))</f>
        <v/>
      </c>
      <c r="AI11" s="14" t="str">
        <f>IF(S11="","",IFERROR(VALUE(LEFT(S11,FIND(" ",S11&amp;" ")-1)),IFERROR(INDEX($A$4:$A$153,MATCH(S11,$C$4:$C$153,0)),"")))</f>
        <v/>
      </c>
      <c r="AJ11" s="14" t="str">
        <f>IF(OR(A11="",B11=""),"",IF(COUNTIFS($B$4:B11,B11,$A$4:A11,"&lt;&gt;")=1,MAX($AJ$3:AJ10)+1,""))</f>
        <v/>
      </c>
      <c r="AK11" s="14">
        <f>IF(OR(A11="",NOT(ISNUMBER(L11))),"",L11^2)</f>
        <v>49</v>
      </c>
      <c r="AL11" s="14">
        <f>IF(OR(A11="",NOT(ISNUMBER(L11))),0,(L11-INDEX('計算'!$AE$7:$AG$7,X11))/INDEX('計算'!$AE$8:$AG$8,X11))</f>
        <v>-1.57204945946146</v>
      </c>
    </row>
    <row r="12">
      <c r="A12" s="8" t="n">
        <v>2109</v>
      </c>
      <c r="B12" s="8" t="n">
        <v>1</v>
      </c>
      <c r="C12" s="9" t="inlineStr">
        <is>
          <t>江頭　智也</t>
        </is>
      </c>
      <c r="D12" s="9" t="inlineStr">
        <is>
          <t>えがしら　ともや</t>
        </is>
      </c>
      <c r="E12" s="8" t="inlineStr">
        <is>
          <t>男</t>
        </is>
      </c>
      <c r="F12" s="8" t="n">
        <v>76</v>
      </c>
      <c r="G12" s="8" t="n">
        <v>72</v>
      </c>
      <c r="H12" s="8" t="n">
        <v>67</v>
      </c>
      <c r="I12" s="8" t="n">
        <v>54</v>
      </c>
      <c r="J12" s="8" t="n">
        <v>42</v>
      </c>
      <c r="K12" s="10">
        <f>IF(COUNT(F12:J12)=0,"",ROUND(AVERAGE(F12:J12),1))</f>
        <v>62.2</v>
      </c>
      <c r="L12" s="11" t="n">
        <v>8</v>
      </c>
      <c r="M12" s="8" t="inlineStr">
        <is>
          <t>×</t>
        </is>
      </c>
      <c r="N12" s="8" t="n"/>
      <c r="O12" s="8" t="n"/>
      <c r="P12" s="8" t="n"/>
      <c r="Q12" s="12" t="n"/>
      <c r="R12" s="12" t="n"/>
      <c r="S12" s="12" t="n"/>
      <c r="T12" s="9" t="n"/>
      <c r="U12" s="13">
        <f>IF(A12="","",INDEX('計算'!$Z$2:$Z$151,AF12))</f>
        <v>3</v>
      </c>
      <c r="V12" s="13">
        <f>IF(A12="","",IFERROR(IF(INDEX('②クラス編成'!$E$9:$E$158,MATCH(A12,'②クラス編成'!$D$9:$D$158,0))="","未",INDEX('②クラス編成'!$E$9:$E$158,MATCH(A12,'②クラス編成'!$D$9:$D$158,0))),"未"))</f>
        <v>3</v>
      </c>
      <c r="W12" s="14" t="str">
        <f>IF(A12="","",A12&amp;" "&amp;C12)</f>
        <v>2109 江頭　智也</v>
      </c>
      <c r="X12" s="14">
        <f>IF(A12="","",IF(E12="男",1,IF(E12="女",2,3)))</f>
        <v>1</v>
      </c>
      <c r="Y12" s="14">
        <f>IF(OR(M12="〇",M12="○",M12="◯"),1,0)</f>
        <v>0</v>
      </c>
      <c r="Z12" s="14">
        <f>IF(OR(N12="〇",N12="○",N12="◯"),1,0)</f>
        <v>0</v>
      </c>
      <c r="AA12" s="14">
        <f>IF(OR(O12="〇",O12="○",O12="◯"),1,0)</f>
        <v>0</v>
      </c>
      <c r="AB12" s="14">
        <f>IF(OR(P12="〇",P12="○",P12="◯"),1,0)</f>
        <v>0</v>
      </c>
      <c r="AC12" s="14">
        <f>IF(A12="","",IF(AA12=1,1,IF(Y12=1,2,IF(Z12=1,3,IF(AB12=1,4,5)))))</f>
        <v>5</v>
      </c>
      <c r="AD12" s="14">
        <f>IF(A12="","",IF(K12="",'設定'!$C$37,K12))</f>
        <v>62.2</v>
      </c>
      <c r="AE12" s="14">
        <f>IF(A12="","",AC12*10000000-ROUND(ABS((AD12-'設定'!$C$37)/'設定'!$C$38)*10000,0))</f>
        <v>49999785</v>
      </c>
      <c r="AF12" s="14">
        <f>IF(A12="","",COUNTIF($AE$4:$AE$153,"&lt;"&amp;AE12)+COUNTIFS($AE$4:$AE$153,AE12,$A$4:$A$153,"&lt;"&amp;A12)+1)</f>
        <v>104</v>
      </c>
      <c r="AG12" s="14" t="str">
        <f>IF(Q12="","",IFERROR(VALUE(LEFT(Q12,FIND(" ",Q12&amp;" ")-1)),IFERROR(INDEX($A$4:$A$153,MATCH(Q12,$C$4:$C$153,0)),"")))</f>
        <v/>
      </c>
      <c r="AH12" s="14" t="str">
        <f>IF(R12="","",IFERROR(VALUE(LEFT(R12,FIND(" ",R12&amp;" ")-1)),IFERROR(INDEX($A$4:$A$153,MATCH(R12,$C$4:$C$153,0)),"")))</f>
        <v/>
      </c>
      <c r="AI12" s="14" t="str">
        <f>IF(S12="","",IFERROR(VALUE(LEFT(S12,FIND(" ",S12&amp;" ")-1)),IFERROR(INDEX($A$4:$A$153,MATCH(S12,$C$4:$C$153,0)),"")))</f>
        <v/>
      </c>
      <c r="AJ12" s="14" t="str">
        <f>IF(OR(A12="",B12=""),"",IF(COUNTIFS($B$4:B12,B12,$A$4:A12,"&lt;&gt;")=1,MAX($AJ$3:AJ11)+1,""))</f>
        <v/>
      </c>
      <c r="AK12" s="14">
        <f>IF(OR(A12="",NOT(ISNUMBER(L12))),"",L12^2)</f>
        <v>64</v>
      </c>
      <c r="AL12" s="14">
        <f>IF(OR(A12="",NOT(ISNUMBER(L12))),0,(L12-INDEX('計算'!$AE$7:$AG$7,X12))/INDEX('計算'!$AE$8:$AG$8,X12))</f>
        <v>0.703839838418404</v>
      </c>
    </row>
    <row r="13">
      <c r="A13" s="8" t="n">
        <v>2110</v>
      </c>
      <c r="B13" s="8" t="n">
        <v>1</v>
      </c>
      <c r="C13" s="9" t="inlineStr">
        <is>
          <t>遠藤　大翔</t>
        </is>
      </c>
      <c r="D13" s="9" t="inlineStr">
        <is>
          <t>えんどう　ひろと</t>
        </is>
      </c>
      <c r="E13" s="8" t="inlineStr">
        <is>
          <t>男</t>
        </is>
      </c>
      <c r="F13" s="8" t="n">
        <v>80</v>
      </c>
      <c r="G13" s="8" t="n">
        <v>70</v>
      </c>
      <c r="H13" s="8" t="n">
        <v>59</v>
      </c>
      <c r="I13" s="8" t="n">
        <v>62</v>
      </c>
      <c r="J13" s="8" t="n">
        <v>57</v>
      </c>
      <c r="K13" s="10">
        <f>IF(COUNT(F13:J13)=0,"",ROUND(AVERAGE(F13:J13),1))</f>
        <v>65.6</v>
      </c>
      <c r="L13" s="11" t="n">
        <v>7.6</v>
      </c>
      <c r="M13" s="8" t="inlineStr">
        <is>
          <t>×</t>
        </is>
      </c>
      <c r="N13" s="8" t="n"/>
      <c r="O13" s="8" t="n"/>
      <c r="P13" s="8" t="n"/>
      <c r="Q13" s="12" t="n"/>
      <c r="R13" s="12" t="n"/>
      <c r="S13" s="12" t="n"/>
      <c r="T13" s="9" t="n"/>
      <c r="U13" s="13">
        <f>IF(A13="","",INDEX('計算'!$Z$2:$Z$151,AF13))</f>
        <v>1</v>
      </c>
      <c r="V13" s="13">
        <f>IF(A13="","",IFERROR(IF(INDEX('②クラス編成'!$E$9:$E$158,MATCH(A13,'②クラス編成'!$D$9:$D$158,0))="","未",INDEX('②クラス編成'!$E$9:$E$158,MATCH(A13,'②クラス編成'!$D$9:$D$158,0))),"未"))</f>
        <v>1</v>
      </c>
      <c r="W13" s="14" t="str">
        <f>IF(A13="","",A13&amp;" "&amp;C13)</f>
        <v>2110 遠藤　大翔</v>
      </c>
      <c r="X13" s="14">
        <f>IF(A13="","",IF(E13="男",1,IF(E13="女",2,3)))</f>
        <v>1</v>
      </c>
      <c r="Y13" s="14">
        <f>IF(OR(M13="〇",M13="○",M13="◯"),1,0)</f>
        <v>0</v>
      </c>
      <c r="Z13" s="14">
        <f>IF(OR(N13="〇",N13="○",N13="◯"),1,0)</f>
        <v>0</v>
      </c>
      <c r="AA13" s="14">
        <f>IF(OR(O13="〇",O13="○",O13="◯"),1,0)</f>
        <v>0</v>
      </c>
      <c r="AB13" s="14">
        <f>IF(OR(P13="〇",P13="○",P13="◯"),1,0)</f>
        <v>0</v>
      </c>
      <c r="AC13" s="14">
        <f>IF(A13="","",IF(AA13=1,1,IF(Y13=1,2,IF(Z13=1,3,IF(AB13=1,4,5)))))</f>
        <v>5</v>
      </c>
      <c r="AD13" s="14">
        <f>IF(A13="","",IF(K13="",'設定'!$C$37,K13))</f>
        <v>65.6</v>
      </c>
      <c r="AE13" s="14">
        <f>IF(A13="","",AC13*10000000-ROUND(ABS((AD13-'設定'!$C$37)/'設定'!$C$38)*10000,0))</f>
        <v>49997676</v>
      </c>
      <c r="AF13" s="14">
        <f>IF(A13="","",COUNTIF($AE$4:$AE$153,"&lt;"&amp;AE13)+COUNTIFS($AE$4:$AE$153,AE13,$A$4:$A$153,"&lt;"&amp;A13)+1)</f>
        <v>92</v>
      </c>
      <c r="AG13" s="14" t="str">
        <f>IF(Q13="","",IFERROR(VALUE(LEFT(Q13,FIND(" ",Q13&amp;" ")-1)),IFERROR(INDEX($A$4:$A$153,MATCH(Q13,$C$4:$C$153,0)),"")))</f>
        <v/>
      </c>
      <c r="AH13" s="14" t="str">
        <f>IF(R13="","",IFERROR(VALUE(LEFT(R13,FIND(" ",R13&amp;" ")-1)),IFERROR(INDEX($A$4:$A$153,MATCH(R13,$C$4:$C$153,0)),"")))</f>
        <v/>
      </c>
      <c r="AI13" s="14" t="str">
        <f>IF(S13="","",IFERROR(VALUE(LEFT(S13,FIND(" ",S13&amp;" ")-1)),IFERROR(INDEX($A$4:$A$153,MATCH(S13,$C$4:$C$153,0)),"")))</f>
        <v/>
      </c>
      <c r="AJ13" s="14" t="str">
        <f>IF(OR(A13="",B13=""),"",IF(COUNTIFS($B$4:B13,B13,$A$4:A13,"&lt;&gt;")=1,MAX($AJ$3:AJ12)+1,""))</f>
        <v/>
      </c>
      <c r="AK13" s="14">
        <f>IF(OR(A13="",NOT(ISNUMBER(L13))),"",L13^2)</f>
        <v>57.76</v>
      </c>
      <c r="AL13" s="14">
        <f>IF(OR(A13="",NOT(ISNUMBER(L13))),0,(L13-INDEX('計算'!$AE$7:$AG$7,X13))/INDEX('計算'!$AE$8:$AG$8,X13))</f>
        <v>-0.206515880733544</v>
      </c>
    </row>
    <row r="14">
      <c r="A14" s="8" t="n">
        <v>2111</v>
      </c>
      <c r="B14" s="8" t="n">
        <v>1</v>
      </c>
      <c r="C14" s="9" t="inlineStr">
        <is>
          <t>太田　大翔</t>
        </is>
      </c>
      <c r="D14" s="9" t="inlineStr">
        <is>
          <t>おおた　ひろと</t>
        </is>
      </c>
      <c r="E14" s="8" t="inlineStr">
        <is>
          <t>男</t>
        </is>
      </c>
      <c r="F14" s="8" t="n">
        <v>63</v>
      </c>
      <c r="G14" s="8" t="n">
        <v>66</v>
      </c>
      <c r="H14" s="8" t="n">
        <v>71</v>
      </c>
      <c r="I14" s="8" t="n">
        <v>79</v>
      </c>
      <c r="J14" s="8" t="n">
        <v>63</v>
      </c>
      <c r="K14" s="10">
        <f>IF(COUNT(F14:J14)=0,"",ROUND(AVERAGE(F14:J14),1))</f>
        <v>68.4</v>
      </c>
      <c r="L14" s="11" t="n">
        <v>8</v>
      </c>
      <c r="M14" s="8" t="inlineStr">
        <is>
          <t>×</t>
        </is>
      </c>
      <c r="N14" s="8" t="n"/>
      <c r="O14" s="8" t="n"/>
      <c r="P14" s="8" t="n"/>
      <c r="Q14" s="12" t="n"/>
      <c r="R14" s="12" t="n"/>
      <c r="S14" s="12" t="n"/>
      <c r="T14" s="9" t="n"/>
      <c r="U14" s="13">
        <f>IF(A14="","",INDEX('計算'!$Z$2:$Z$151,AF14))</f>
        <v>3</v>
      </c>
      <c r="V14" s="13">
        <f>IF(A14="","",IFERROR(IF(INDEX('②クラス編成'!$E$9:$E$158,MATCH(A14,'②クラス編成'!$D$9:$D$158,0))="","未",INDEX('②クラス編成'!$E$9:$E$158,MATCH(A14,'②クラス編成'!$D$9:$D$158,0))),"未"))</f>
        <v>3</v>
      </c>
      <c r="W14" s="14" t="str">
        <f>IF(A14="","",A14&amp;" "&amp;C14)</f>
        <v>2111 太田　大翔</v>
      </c>
      <c r="X14" s="14">
        <f>IF(A14="","",IF(E14="男",1,IF(E14="女",2,3)))</f>
        <v>1</v>
      </c>
      <c r="Y14" s="14">
        <f>IF(OR(M14="〇",M14="○",M14="◯"),1,0)</f>
        <v>0</v>
      </c>
      <c r="Z14" s="14">
        <f>IF(OR(N14="〇",N14="○",N14="◯"),1,0)</f>
        <v>0</v>
      </c>
      <c r="AA14" s="14">
        <f>IF(OR(O14="〇",O14="○",O14="◯"),1,0)</f>
        <v>0</v>
      </c>
      <c r="AB14" s="14">
        <f>IF(OR(P14="〇",P14="○",P14="◯"),1,0)</f>
        <v>0</v>
      </c>
      <c r="AC14" s="14">
        <f>IF(A14="","",IF(AA14=1,1,IF(Y14=1,2,IF(Z14=1,3,IF(AB14=1,4,5)))))</f>
        <v>5</v>
      </c>
      <c r="AD14" s="14">
        <f>IF(A14="","",IF(K14="",'設定'!$C$37,K14))</f>
        <v>68.4</v>
      </c>
      <c r="AE14" s="14">
        <f>IF(A14="","",AC14*10000000-ROUND(ABS((AD14-'設定'!$C$37)/'設定'!$C$38)*10000,0))</f>
        <v>49995585</v>
      </c>
      <c r="AF14" s="14">
        <f>IF(A14="","",COUNTIF($AE$4:$AE$153,"&lt;"&amp;AE14)+COUNTIFS($AE$4:$AE$153,AE14,$A$4:$A$153,"&lt;"&amp;A14)+1)</f>
        <v>84</v>
      </c>
      <c r="AG14" s="14" t="str">
        <f>IF(Q14="","",IFERROR(VALUE(LEFT(Q14,FIND(" ",Q14&amp;" ")-1)),IFERROR(INDEX($A$4:$A$153,MATCH(Q14,$C$4:$C$153,0)),"")))</f>
        <v/>
      </c>
      <c r="AH14" s="14" t="str">
        <f>IF(R14="","",IFERROR(VALUE(LEFT(R14,FIND(" ",R14&amp;" ")-1)),IFERROR(INDEX($A$4:$A$153,MATCH(R14,$C$4:$C$153,0)),"")))</f>
        <v/>
      </c>
      <c r="AI14" s="14" t="str">
        <f>IF(S14="","",IFERROR(VALUE(LEFT(S14,FIND(" ",S14&amp;" ")-1)),IFERROR(INDEX($A$4:$A$153,MATCH(S14,$C$4:$C$153,0)),"")))</f>
        <v/>
      </c>
      <c r="AJ14" s="14" t="str">
        <f>IF(OR(A14="",B14=""),"",IF(COUNTIFS($B$4:B14,B14,$A$4:A14,"&lt;&gt;")=1,MAX($AJ$3:AJ13)+1,""))</f>
        <v/>
      </c>
      <c r="AK14" s="14">
        <f>IF(OR(A14="",NOT(ISNUMBER(L14))),"",L14^2)</f>
        <v>64</v>
      </c>
      <c r="AL14" s="14">
        <f>IF(OR(A14="",NOT(ISNUMBER(L14))),0,(L14-INDEX('計算'!$AE$7:$AG$7,X14))/INDEX('計算'!$AE$8:$AG$8,X14))</f>
        <v>0.703839838418404</v>
      </c>
    </row>
    <row r="15">
      <c r="A15" s="8" t="n">
        <v>2112</v>
      </c>
      <c r="B15" s="8" t="n">
        <v>1</v>
      </c>
      <c r="C15" s="9" t="inlineStr">
        <is>
          <t>加藤　航</t>
        </is>
      </c>
      <c r="D15" s="9" t="inlineStr">
        <is>
          <t>かとう　わたる</t>
        </is>
      </c>
      <c r="E15" s="8" t="inlineStr">
        <is>
          <t>男</t>
        </is>
      </c>
      <c r="F15" s="8" t="n">
        <v>66</v>
      </c>
      <c r="G15" s="8" t="n">
        <v>82</v>
      </c>
      <c r="H15" s="8" t="n">
        <v>70</v>
      </c>
      <c r="I15" s="8" t="n">
        <v>82</v>
      </c>
      <c r="J15" s="8" t="n">
        <v>83</v>
      </c>
      <c r="K15" s="10">
        <f>IF(COUNT(F15:J15)=0,"",ROUND(AVERAGE(F15:J15),1))</f>
        <v>76.6</v>
      </c>
      <c r="L15" s="11" t="n">
        <v>7.2</v>
      </c>
      <c r="M15" s="8" t="inlineStr">
        <is>
          <t>×</t>
        </is>
      </c>
      <c r="N15" s="8" t="n"/>
      <c r="O15" s="8" t="n"/>
      <c r="P15" s="8" t="n"/>
      <c r="Q15" s="12" t="n"/>
      <c r="R15" s="12" t="n"/>
      <c r="S15" s="12" t="n"/>
      <c r="T15" s="9" t="n"/>
      <c r="U15" s="13">
        <f>IF(A15="","",INDEX('計算'!$Z$2:$Z$151,AF15))</f>
        <v>1</v>
      </c>
      <c r="V15" s="13">
        <f>IF(A15="","",IFERROR(IF(INDEX('②クラス編成'!$E$9:$E$158,MATCH(A15,'②クラス編成'!$D$9:$D$158,0))="","未",INDEX('②クラス編成'!$E$9:$E$158,MATCH(A15,'②クラス編成'!$D$9:$D$158,0))),"未"))</f>
        <v>1</v>
      </c>
      <c r="W15" s="14" t="str">
        <f>IF(A15="","",A15&amp;" "&amp;C15)</f>
        <v>2112 加藤　航</v>
      </c>
      <c r="X15" s="14">
        <f>IF(A15="","",IF(E15="男",1,IF(E15="女",2,3)))</f>
        <v>1</v>
      </c>
      <c r="Y15" s="14">
        <f>IF(OR(M15="〇",M15="○",M15="◯"),1,0)</f>
        <v>0</v>
      </c>
      <c r="Z15" s="14">
        <f>IF(OR(N15="〇",N15="○",N15="◯"),1,0)</f>
        <v>0</v>
      </c>
      <c r="AA15" s="14">
        <f>IF(OR(O15="〇",O15="○",O15="◯"),1,0)</f>
        <v>0</v>
      </c>
      <c r="AB15" s="14">
        <f>IF(OR(P15="〇",P15="○",P15="◯"),1,0)</f>
        <v>0</v>
      </c>
      <c r="AC15" s="14">
        <f>IF(A15="","",IF(AA15=1,1,IF(Y15=1,2,IF(Z15=1,3,IF(AB15=1,4,5)))))</f>
        <v>5</v>
      </c>
      <c r="AD15" s="14">
        <f>IF(A15="","",IF(K15="",'設定'!$C$37,K15))</f>
        <v>76.6</v>
      </c>
      <c r="AE15" s="14">
        <f>IF(A15="","",AC15*10000000-ROUND(ABS((AD15-'設定'!$C$37)/'設定'!$C$38)*10000,0))</f>
        <v>49989461</v>
      </c>
      <c r="AF15" s="14">
        <f>IF(A15="","",COUNTIF($AE$4:$AE$153,"&lt;"&amp;AE15)+COUNTIFS($AE$4:$AE$153,AE15,$A$4:$A$153,"&lt;"&amp;A15)+1)</f>
        <v>54</v>
      </c>
      <c r="AG15" s="14" t="str">
        <f>IF(Q15="","",IFERROR(VALUE(LEFT(Q15,FIND(" ",Q15&amp;" ")-1)),IFERROR(INDEX($A$4:$A$153,MATCH(Q15,$C$4:$C$153,0)),"")))</f>
        <v/>
      </c>
      <c r="AH15" s="14" t="str">
        <f>IF(R15="","",IFERROR(VALUE(LEFT(R15,FIND(" ",R15&amp;" ")-1)),IFERROR(INDEX($A$4:$A$153,MATCH(R15,$C$4:$C$153,0)),"")))</f>
        <v/>
      </c>
      <c r="AI15" s="14" t="str">
        <f>IF(S15="","",IFERROR(VALUE(LEFT(S15,FIND(" ",S15&amp;" ")-1)),IFERROR(INDEX($A$4:$A$153,MATCH(S15,$C$4:$C$153,0)),"")))</f>
        <v/>
      </c>
      <c r="AJ15" s="14" t="str">
        <f>IF(OR(A15="",B15=""),"",IF(COUNTIFS($B$4:B15,B15,$A$4:A15,"&lt;&gt;")=1,MAX($AJ$3:AJ14)+1,""))</f>
        <v/>
      </c>
      <c r="AK15" s="14">
        <f>IF(OR(A15="",NOT(ISNUMBER(L15))),"",L15^2)</f>
        <v>51.84</v>
      </c>
      <c r="AL15" s="14">
        <f>IF(OR(A15="",NOT(ISNUMBER(L15))),0,(L15-INDEX('計算'!$AE$7:$AG$7,X15))/INDEX('計算'!$AE$8:$AG$8,X15))</f>
        <v>-1.11687159988549</v>
      </c>
    </row>
    <row r="16">
      <c r="A16" s="8" t="n">
        <v>2113</v>
      </c>
      <c r="B16" s="8" t="n">
        <v>1</v>
      </c>
      <c r="C16" s="9" t="inlineStr">
        <is>
          <t>北川　朝陽</t>
        </is>
      </c>
      <c r="D16" s="9" t="inlineStr">
        <is>
          <t>きたがわ　あさひ</t>
        </is>
      </c>
      <c r="E16" s="8" t="inlineStr">
        <is>
          <t>男</t>
        </is>
      </c>
      <c r="F16" s="8" t="n">
        <v>54</v>
      </c>
      <c r="G16" s="8" t="n">
        <v>47</v>
      </c>
      <c r="H16" s="8" t="n">
        <v>47</v>
      </c>
      <c r="I16" s="8" t="n">
        <v>38</v>
      </c>
      <c r="J16" s="8" t="n">
        <v>46</v>
      </c>
      <c r="K16" s="10">
        <f>IF(COUNT(F16:J16)=0,"",ROUND(AVERAGE(F16:J16),1))</f>
        <v>46.4</v>
      </c>
      <c r="L16" s="11" t="n">
        <v>6.6</v>
      </c>
      <c r="M16" s="8" t="inlineStr">
        <is>
          <t>×</t>
        </is>
      </c>
      <c r="N16" s="8" t="n"/>
      <c r="O16" s="8" t="n"/>
      <c r="P16" s="8" t="n"/>
      <c r="Q16" s="12" t="n"/>
      <c r="R16" s="12" t="n"/>
      <c r="S16" s="12" t="n"/>
      <c r="T16" s="9" t="n"/>
      <c r="U16" s="13">
        <f>IF(A16="","",INDEX('計算'!$Z$2:$Z$151,AF16))</f>
        <v>3</v>
      </c>
      <c r="V16" s="13">
        <f>IF(A16="","",IFERROR(IF(INDEX('②クラス編成'!$E$9:$E$158,MATCH(A16,'②クラス編成'!$D$9:$D$158,0))="","未",INDEX('②クラス編成'!$E$9:$E$158,MATCH(A16,'②クラス編成'!$D$9:$D$158,0))),"未"))</f>
        <v>3</v>
      </c>
      <c r="W16" s="14" t="str">
        <f>IF(A16="","",A16&amp;" "&amp;C16)</f>
        <v>2113 北川　朝陽</v>
      </c>
      <c r="X16" s="14">
        <f>IF(A16="","",IF(E16="男",1,IF(E16="女",2,3)))</f>
        <v>1</v>
      </c>
      <c r="Y16" s="14">
        <f>IF(OR(M16="〇",M16="○",M16="◯"),1,0)</f>
        <v>0</v>
      </c>
      <c r="Z16" s="14">
        <f>IF(OR(N16="〇",N16="○",N16="◯"),1,0)</f>
        <v>0</v>
      </c>
      <c r="AA16" s="14">
        <f>IF(OR(O16="〇",O16="○",O16="◯"),1,0)</f>
        <v>0</v>
      </c>
      <c r="AB16" s="14">
        <f>IF(OR(P16="〇",P16="○",P16="◯"),1,0)</f>
        <v>0</v>
      </c>
      <c r="AC16" s="14">
        <f>IF(A16="","",IF(AA16=1,1,IF(Y16=1,2,IF(Z16=1,3,IF(AB16=1,4,5)))))</f>
        <v>5</v>
      </c>
      <c r="AD16" s="14">
        <f>IF(A16="","",IF(K16="",'設定'!$C$37,K16))</f>
        <v>46.4</v>
      </c>
      <c r="AE16" s="14">
        <f>IF(A16="","",AC16*10000000-ROUND(ABS((AD16-'設定'!$C$37)/'設定'!$C$38)*10000,0))</f>
        <v>49987986</v>
      </c>
      <c r="AF16" s="14">
        <f>IF(A16="","",COUNTIF($AE$4:$AE$153,"&lt;"&amp;AE16)+COUNTIFS($AE$4:$AE$153,AE16,$A$4:$A$153,"&lt;"&amp;A16)+1)</f>
        <v>44</v>
      </c>
      <c r="AG16" s="14" t="str">
        <f>IF(Q16="","",IFERROR(VALUE(LEFT(Q16,FIND(" ",Q16&amp;" ")-1)),IFERROR(INDEX($A$4:$A$153,MATCH(Q16,$C$4:$C$153,0)),"")))</f>
        <v/>
      </c>
      <c r="AH16" s="14" t="str">
        <f>IF(R16="","",IFERROR(VALUE(LEFT(R16,FIND(" ",R16&amp;" ")-1)),IFERROR(INDEX($A$4:$A$153,MATCH(R16,$C$4:$C$153,0)),"")))</f>
        <v/>
      </c>
      <c r="AI16" s="14" t="str">
        <f>IF(S16="","",IFERROR(VALUE(LEFT(S16,FIND(" ",S16&amp;" ")-1)),IFERROR(INDEX($A$4:$A$153,MATCH(S16,$C$4:$C$153,0)),"")))</f>
        <v/>
      </c>
      <c r="AJ16" s="14" t="str">
        <f>IF(OR(A16="",B16=""),"",IF(COUNTIFS($B$4:B16,B16,$A$4:A16,"&lt;&gt;")=1,MAX($AJ$3:AJ15)+1,""))</f>
        <v/>
      </c>
      <c r="AK16" s="14">
        <f>IF(OR(A16="",NOT(ISNUMBER(L16))),"",L16^2)</f>
        <v>43.56</v>
      </c>
      <c r="AL16" s="14">
        <f>IF(OR(A16="",NOT(ISNUMBER(L16))),0,(L16-INDEX('計算'!$AE$7:$AG$7,X16))/INDEX('計算'!$AE$8:$AG$8,X16))</f>
        <v>-2.48240517861341</v>
      </c>
    </row>
    <row r="17">
      <c r="A17" s="8" t="n">
        <v>2114</v>
      </c>
      <c r="B17" s="8" t="n">
        <v>1</v>
      </c>
      <c r="C17" s="9" t="inlineStr">
        <is>
          <t>酒井　芽依</t>
        </is>
      </c>
      <c r="D17" s="9" t="inlineStr">
        <is>
          <t>さかい　めい</t>
        </is>
      </c>
      <c r="E17" s="8" t="inlineStr">
        <is>
          <t>女</t>
        </is>
      </c>
      <c r="F17" s="8" t="n">
        <v>58</v>
      </c>
      <c r="G17" s="8" t="n">
        <v>58</v>
      </c>
      <c r="H17" s="8" t="n">
        <v>46</v>
      </c>
      <c r="I17" s="8" t="n">
        <v>69</v>
      </c>
      <c r="J17" s="8" t="n">
        <v>53</v>
      </c>
      <c r="K17" s="10">
        <f>IF(COUNT(F17:J17)=0,"",ROUND(AVERAGE(F17:J17),1))</f>
        <v>56.8</v>
      </c>
      <c r="L17" s="11" t="n">
        <v>8.699999999999999</v>
      </c>
      <c r="M17" s="8" t="inlineStr">
        <is>
          <t>×</t>
        </is>
      </c>
      <c r="N17" s="8" t="n"/>
      <c r="O17" s="8" t="n"/>
      <c r="P17" s="8" t="n"/>
      <c r="Q17" s="12" t="inlineStr">
        <is>
          <t>2112 加藤　航</t>
        </is>
      </c>
      <c r="R17" s="12" t="inlineStr">
        <is>
          <t>2126 三浦　美桜</t>
        </is>
      </c>
      <c r="S17" s="12" t="n"/>
      <c r="T17" s="9" t="n"/>
      <c r="U17" s="13">
        <f>IF(A17="","",INDEX('計算'!$Z$2:$Z$151,AF17))</f>
        <v>3</v>
      </c>
      <c r="V17" s="13">
        <f>IF(A17="","",IFERROR(IF(INDEX('②クラス編成'!$E$9:$E$158,MATCH(A17,'②クラス編成'!$D$9:$D$158,0))="","未",INDEX('②クラス編成'!$E$9:$E$158,MATCH(A17,'②クラス編成'!$D$9:$D$158,0))),"未"))</f>
        <v>3</v>
      </c>
      <c r="W17" s="14" t="str">
        <f>IF(A17="","",A17&amp;" "&amp;C17)</f>
        <v>2114 酒井　芽依</v>
      </c>
      <c r="X17" s="14">
        <f>IF(A17="","",IF(E17="男",1,IF(E17="女",2,3)))</f>
        <v>2</v>
      </c>
      <c r="Y17" s="14">
        <f>IF(OR(M17="〇",M17="○",M17="◯"),1,0)</f>
        <v>0</v>
      </c>
      <c r="Z17" s="14">
        <f>IF(OR(N17="〇",N17="○",N17="◯"),1,0)</f>
        <v>0</v>
      </c>
      <c r="AA17" s="14">
        <f>IF(OR(O17="〇",O17="○",O17="◯"),1,0)</f>
        <v>0</v>
      </c>
      <c r="AB17" s="14">
        <f>IF(OR(P17="〇",P17="○",P17="◯"),1,0)</f>
        <v>0</v>
      </c>
      <c r="AC17" s="14">
        <f>IF(A17="","",IF(AA17=1,1,IF(Y17=1,2,IF(Z17=1,3,IF(AB17=1,4,5)))))</f>
        <v>5</v>
      </c>
      <c r="AD17" s="14">
        <f>IF(A17="","",IF(K17="",'設定'!$C$37,K17))</f>
        <v>56.8</v>
      </c>
      <c r="AE17" s="14">
        <f>IF(A17="","",AC17*10000000-ROUND(ABS((AD17-'設定'!$C$37)/'設定'!$C$38)*10000,0))</f>
        <v>49995753</v>
      </c>
      <c r="AF17" s="14">
        <f>IF(A17="","",COUNTIF($AE$4:$AE$153,"&lt;"&amp;AE17)+COUNTIFS($AE$4:$AE$153,AE17,$A$4:$A$153,"&lt;"&amp;A17)+1)</f>
        <v>86</v>
      </c>
      <c r="AG17" s="14">
        <f>IF(Q17="","",IFERROR(VALUE(LEFT(Q17,FIND(" ",Q17&amp;" ")-1)),IFERROR(INDEX($A$4:$A$153,MATCH(Q17,$C$4:$C$153,0)),"")))</f>
        <v>2112</v>
      </c>
      <c r="AH17" s="14">
        <f>IF(R17="","",IFERROR(VALUE(LEFT(R17,FIND(" ",R17&amp;" ")-1)),IFERROR(INDEX($A$4:$A$153,MATCH(R17,$C$4:$C$153,0)),"")))</f>
        <v>2126</v>
      </c>
      <c r="AI17" s="14" t="str">
        <f>IF(S17="","",IFERROR(VALUE(LEFT(S17,FIND(" ",S17&amp;" ")-1)),IFERROR(INDEX($A$4:$A$153,MATCH(S17,$C$4:$C$153,0)),"")))</f>
        <v/>
      </c>
      <c r="AJ17" s="14" t="str">
        <f>IF(OR(A17="",B17=""),"",IF(COUNTIFS($B$4:B17,B17,$A$4:A17,"&lt;&gt;")=1,MAX($AJ$3:AJ16)+1,""))</f>
        <v/>
      </c>
      <c r="AK17" s="14">
        <f>IF(OR(A17="",NOT(ISNUMBER(L17))),"",L17^2)</f>
        <v>75.69</v>
      </c>
      <c r="AL17" s="14">
        <f>IF(OR(A17="",NOT(ISNUMBER(L17))),0,(L17-INDEX('計算'!$AE$7:$AG$7,X17))/INDEX('計算'!$AE$8:$AG$8,X17))</f>
        <v>-0.269729992298529</v>
      </c>
    </row>
    <row r="18">
      <c r="A18" s="8" t="n">
        <v>2115</v>
      </c>
      <c r="B18" s="8" t="n">
        <v>1</v>
      </c>
      <c r="C18" s="9" t="inlineStr">
        <is>
          <t>佐々木　理沙</t>
        </is>
      </c>
      <c r="D18" s="9" t="inlineStr">
        <is>
          <t>ささき　りさ</t>
        </is>
      </c>
      <c r="E18" s="8" t="inlineStr">
        <is>
          <t>女</t>
        </is>
      </c>
      <c r="F18" s="8" t="n">
        <v>63</v>
      </c>
      <c r="G18" s="8" t="n">
        <v>71</v>
      </c>
      <c r="H18" s="8" t="n">
        <v>68</v>
      </c>
      <c r="I18" s="8" t="n">
        <v>57</v>
      </c>
      <c r="J18" s="8" t="n">
        <v>72</v>
      </c>
      <c r="K18" s="10">
        <f>IF(COUNT(F18:J18)=0,"",ROUND(AVERAGE(F18:J18),1))</f>
        <v>66.2</v>
      </c>
      <c r="L18" s="11" t="n">
        <v>9.4</v>
      </c>
      <c r="M18" s="8" t="inlineStr">
        <is>
          <t>×</t>
        </is>
      </c>
      <c r="N18" s="8" t="n"/>
      <c r="O18" s="8" t="n"/>
      <c r="P18" s="8" t="n"/>
      <c r="Q18" s="12" t="n"/>
      <c r="R18" s="12" t="n"/>
      <c r="S18" s="12" t="n"/>
      <c r="T18" s="9" t="n"/>
      <c r="U18" s="13">
        <f>IF(A18="","",INDEX('計算'!$Z$2:$Z$151,AF18))</f>
        <v>3</v>
      </c>
      <c r="V18" s="13">
        <f>IF(A18="","",IFERROR(IF(INDEX('②クラス編成'!$E$9:$E$158,MATCH(A18,'②クラス編成'!$D$9:$D$158,0))="","未",INDEX('②クラス編成'!$E$9:$E$158,MATCH(A18,'②クラス編成'!$D$9:$D$158,0))),"未"))</f>
        <v>3</v>
      </c>
      <c r="W18" s="14" t="str">
        <f>IF(A18="","",A18&amp;" "&amp;C18)</f>
        <v>2115 佐々木　理沙</v>
      </c>
      <c r="X18" s="14">
        <f>IF(A18="","",IF(E18="男",1,IF(E18="女",2,3)))</f>
        <v>2</v>
      </c>
      <c r="Y18" s="14">
        <f>IF(OR(M18="〇",M18="○",M18="◯"),1,0)</f>
        <v>0</v>
      </c>
      <c r="Z18" s="14">
        <f>IF(OR(N18="〇",N18="○",N18="◯"),1,0)</f>
        <v>0</v>
      </c>
      <c r="AA18" s="14">
        <f>IF(OR(O18="〇",O18="○",O18="◯"),1,0)</f>
        <v>0</v>
      </c>
      <c r="AB18" s="14">
        <f>IF(OR(P18="〇",P18="○",P18="◯"),1,0)</f>
        <v>0</v>
      </c>
      <c r="AC18" s="14">
        <f>IF(A18="","",IF(AA18=1,1,IF(Y18=1,2,IF(Z18=1,3,IF(AB18=1,4,5)))))</f>
        <v>5</v>
      </c>
      <c r="AD18" s="14">
        <f>IF(A18="","",IF(K18="",'設定'!$C$37,K18))</f>
        <v>66.2</v>
      </c>
      <c r="AE18" s="14">
        <f>IF(A18="","",AC18*10000000-ROUND(ABS((AD18-'設定'!$C$37)/'設定'!$C$38)*10000,0))</f>
        <v>49997228</v>
      </c>
      <c r="AF18" s="14">
        <f>IF(A18="","",COUNTIF($AE$4:$AE$153,"&lt;"&amp;AE18)+COUNTIFS($AE$4:$AE$153,AE18,$A$4:$A$153,"&lt;"&amp;A18)+1)</f>
        <v>88</v>
      </c>
      <c r="AG18" s="14" t="str">
        <f>IF(Q18="","",IFERROR(VALUE(LEFT(Q18,FIND(" ",Q18&amp;" ")-1)),IFERROR(INDEX($A$4:$A$153,MATCH(Q18,$C$4:$C$153,0)),"")))</f>
        <v/>
      </c>
      <c r="AH18" s="14" t="str">
        <f>IF(R18="","",IFERROR(VALUE(LEFT(R18,FIND(" ",R18&amp;" ")-1)),IFERROR(INDEX($A$4:$A$153,MATCH(R18,$C$4:$C$153,0)),"")))</f>
        <v/>
      </c>
      <c r="AI18" s="14" t="str">
        <f>IF(S18="","",IFERROR(VALUE(LEFT(S18,FIND(" ",S18&amp;" ")-1)),IFERROR(INDEX($A$4:$A$153,MATCH(S18,$C$4:$C$153,0)),"")))</f>
        <v/>
      </c>
      <c r="AJ18" s="14" t="str">
        <f>IF(OR(A18="",B18=""),"",IF(COUNTIFS($B$4:B18,B18,$A$4:A18,"&lt;&gt;")=1,MAX($AJ$3:AJ17)+1,""))</f>
        <v/>
      </c>
      <c r="AK18" s="14">
        <f>IF(OR(A18="",NOT(ISNUMBER(L18))),"",L18^2)</f>
        <v>88.36</v>
      </c>
      <c r="AL18" s="14">
        <f>IF(OR(A18="",NOT(ISNUMBER(L18))),0,(L18-INDEX('計算'!$AE$7:$AG$7,X18))/INDEX('計算'!$AE$8:$AG$8,X18))</f>
        <v>0.876622474970213</v>
      </c>
    </row>
    <row r="19">
      <c r="A19" s="8" t="n">
        <v>2116</v>
      </c>
      <c r="B19" s="8" t="n">
        <v>1</v>
      </c>
      <c r="C19" s="9" t="inlineStr">
        <is>
          <t>柴田　誠</t>
        </is>
      </c>
      <c r="D19" s="9" t="inlineStr">
        <is>
          <t>しばた　まこと</t>
        </is>
      </c>
      <c r="E19" s="8" t="inlineStr">
        <is>
          <t>男</t>
        </is>
      </c>
      <c r="F19" s="8" t="n">
        <v>36</v>
      </c>
      <c r="G19" s="8" t="n">
        <v>46</v>
      </c>
      <c r="H19" s="8" t="n">
        <v>42</v>
      </c>
      <c r="I19" s="8" t="n">
        <v>53</v>
      </c>
      <c r="J19" s="8" t="n">
        <v>62</v>
      </c>
      <c r="K19" s="10">
        <f>IF(COUNT(F19:J19)=0,"",ROUND(AVERAGE(F19:J19),1))</f>
        <v>47.8</v>
      </c>
      <c r="L19" s="11" t="n">
        <v>7.9</v>
      </c>
      <c r="M19" s="8" t="inlineStr">
        <is>
          <t>×</t>
        </is>
      </c>
      <c r="N19" s="8" t="n"/>
      <c r="O19" s="8" t="n"/>
      <c r="P19" s="8" t="n"/>
      <c r="Q19" s="12" t="n"/>
      <c r="R19" s="12" t="n"/>
      <c r="S19" s="12" t="n"/>
      <c r="T19" s="9" t="n"/>
      <c r="U19" s="13">
        <f>IF(A19="","",INDEX('計算'!$Z$2:$Z$151,AF19))</f>
        <v>2</v>
      </c>
      <c r="V19" s="13">
        <f>IF(A19="","",IFERROR(IF(INDEX('②クラス編成'!$E$9:$E$158,MATCH(A19,'②クラス編成'!$D$9:$D$158,0))="","未",INDEX('②クラス編成'!$E$9:$E$158,MATCH(A19,'②クラス編成'!$D$9:$D$158,0))),"未"))</f>
        <v>2</v>
      </c>
      <c r="W19" s="14" t="str">
        <f>IF(A19="","",A19&amp;" "&amp;C19)</f>
        <v>2116 柴田　誠</v>
      </c>
      <c r="X19" s="14">
        <f>IF(A19="","",IF(E19="男",1,IF(E19="女",2,3)))</f>
        <v>1</v>
      </c>
      <c r="Y19" s="14">
        <f>IF(OR(M19="〇",M19="○",M19="◯"),1,0)</f>
        <v>0</v>
      </c>
      <c r="Z19" s="14">
        <f>IF(OR(N19="〇",N19="○",N19="◯"),1,0)</f>
        <v>0</v>
      </c>
      <c r="AA19" s="14">
        <f>IF(OR(O19="〇",O19="○",O19="◯"),1,0)</f>
        <v>0</v>
      </c>
      <c r="AB19" s="14">
        <f>IF(OR(P19="〇",P19="○",P19="◯"),1,0)</f>
        <v>0</v>
      </c>
      <c r="AC19" s="14">
        <f>IF(A19="","",IF(AA19=1,1,IF(Y19=1,2,IF(Z19=1,3,IF(AB19=1,4,5)))))</f>
        <v>5</v>
      </c>
      <c r="AD19" s="14">
        <f>IF(A19="","",IF(K19="",'設定'!$C$37,K19))</f>
        <v>47.8</v>
      </c>
      <c r="AE19" s="14">
        <f>IF(A19="","",AC19*10000000-ROUND(ABS((AD19-'設定'!$C$37)/'設定'!$C$38)*10000,0))</f>
        <v>49989032</v>
      </c>
      <c r="AF19" s="14">
        <f>IF(A19="","",COUNTIF($AE$4:$AE$153,"&lt;"&amp;AE19)+COUNTIFS($AE$4:$AE$153,AE19,$A$4:$A$153,"&lt;"&amp;A19)+1)</f>
        <v>51</v>
      </c>
      <c r="AG19" s="14" t="str">
        <f>IF(Q19="","",IFERROR(VALUE(LEFT(Q19,FIND(" ",Q19&amp;" ")-1)),IFERROR(INDEX($A$4:$A$153,MATCH(Q19,$C$4:$C$153,0)),"")))</f>
        <v/>
      </c>
      <c r="AH19" s="14" t="str">
        <f>IF(R19="","",IFERROR(VALUE(LEFT(R19,FIND(" ",R19&amp;" ")-1)),IFERROR(INDEX($A$4:$A$153,MATCH(R19,$C$4:$C$153,0)),"")))</f>
        <v/>
      </c>
      <c r="AI19" s="14" t="str">
        <f>IF(S19="","",IFERROR(VALUE(LEFT(S19,FIND(" ",S19&amp;" ")-1)),IFERROR(INDEX($A$4:$A$153,MATCH(S19,$C$4:$C$153,0)),"")))</f>
        <v/>
      </c>
      <c r="AJ19" s="14" t="str">
        <f>IF(OR(A19="",B19=""),"",IF(COUNTIFS($B$4:B19,B19,$A$4:A19,"&lt;&gt;")=1,MAX($AJ$3:AJ18)+1,""))</f>
        <v/>
      </c>
      <c r="AK19" s="14">
        <f>IF(OR(A19="",NOT(ISNUMBER(L19))),"",L19^2)</f>
        <v>62.41</v>
      </c>
      <c r="AL19" s="14">
        <f>IF(OR(A19="",NOT(ISNUMBER(L19))),0,(L19-INDEX('計算'!$AE$7:$AG$7,X19))/INDEX('計算'!$AE$8:$AG$8,X19))</f>
        <v>0.476250908630418</v>
      </c>
    </row>
    <row r="20">
      <c r="A20" s="8" t="n">
        <v>2117</v>
      </c>
      <c r="B20" s="8" t="n">
        <v>1</v>
      </c>
      <c r="C20" s="9" t="inlineStr">
        <is>
          <t>鈴木　誠</t>
        </is>
      </c>
      <c r="D20" s="9" t="inlineStr">
        <is>
          <t>すずき　まこと</t>
        </is>
      </c>
      <c r="E20" s="8" t="inlineStr">
        <is>
          <t>男</t>
        </is>
      </c>
      <c r="F20" s="8" t="n">
        <v>68</v>
      </c>
      <c r="G20" s="8" t="n">
        <v>71</v>
      </c>
      <c r="H20" s="8" t="n">
        <v>83</v>
      </c>
      <c r="I20" s="8" t="n">
        <v>55</v>
      </c>
      <c r="J20" s="8" t="n">
        <v>100</v>
      </c>
      <c r="K20" s="10">
        <f>IF(COUNT(F20:J20)=0,"",ROUND(AVERAGE(F20:J20),1))</f>
        <v>75.4</v>
      </c>
      <c r="L20" s="11" t="n">
        <v>7.4</v>
      </c>
      <c r="M20" s="8" t="inlineStr">
        <is>
          <t>×</t>
        </is>
      </c>
      <c r="N20" s="8" t="n"/>
      <c r="O20" s="8" t="n"/>
      <c r="P20" s="8" t="inlineStr">
        <is>
          <t>〇</t>
        </is>
      </c>
      <c r="Q20" s="12" t="n"/>
      <c r="R20" s="12" t="n"/>
      <c r="S20" s="12" t="n"/>
      <c r="T20" s="9" t="n"/>
      <c r="U20" s="13">
        <f>IF(A20="","",INDEX('計算'!$Z$2:$Z$151,AF20))</f>
        <v>1</v>
      </c>
      <c r="V20" s="13">
        <f>IF(A20="","",IFERROR(IF(INDEX('②クラス編成'!$E$9:$E$158,MATCH(A20,'②クラス編成'!$D$9:$D$158,0))="","未",INDEX('②クラス編成'!$E$9:$E$158,MATCH(A20,'②クラス編成'!$D$9:$D$158,0))),"未"))</f>
        <v>1</v>
      </c>
      <c r="W20" s="14" t="str">
        <f>IF(A20="","",A20&amp;" "&amp;C20)</f>
        <v>2117 鈴木　誠</v>
      </c>
      <c r="X20" s="14">
        <f>IF(A20="","",IF(E20="男",1,IF(E20="女",2,3)))</f>
        <v>1</v>
      </c>
      <c r="Y20" s="14">
        <f>IF(OR(M20="〇",M20="○",M20="◯"),1,0)</f>
        <v>0</v>
      </c>
      <c r="Z20" s="14">
        <f>IF(OR(N20="〇",N20="○",N20="◯"),1,0)</f>
        <v>0</v>
      </c>
      <c r="AA20" s="14">
        <f>IF(OR(O20="〇",O20="○",O20="◯"),1,0)</f>
        <v>0</v>
      </c>
      <c r="AB20" s="14">
        <f>IF(OR(P20="〇",P20="○",P20="◯"),1,0)</f>
        <v>1</v>
      </c>
      <c r="AC20" s="14">
        <f>IF(A20="","",IF(AA20=1,1,IF(Y20=1,2,IF(Z20=1,3,IF(AB20=1,4,5)))))</f>
        <v>4</v>
      </c>
      <c r="AD20" s="14">
        <f>IF(A20="","",IF(K20="",'設定'!$C$37,K20))</f>
        <v>75.4</v>
      </c>
      <c r="AE20" s="14">
        <f>IF(A20="","",AC20*10000000-ROUND(ABS((AD20-'設定'!$C$37)/'設定'!$C$38)*10000,0))</f>
        <v>39990357</v>
      </c>
      <c r="AF20" s="14">
        <f>IF(A20="","",COUNTIF($AE$4:$AE$153,"&lt;"&amp;AE20)+COUNTIFS($AE$4:$AE$153,AE20,$A$4:$A$153,"&lt;"&amp;A20)+1)</f>
        <v>27</v>
      </c>
      <c r="AG20" s="14" t="str">
        <f>IF(Q20="","",IFERROR(VALUE(LEFT(Q20,FIND(" ",Q20&amp;" ")-1)),IFERROR(INDEX($A$4:$A$153,MATCH(Q20,$C$4:$C$153,0)),"")))</f>
        <v/>
      </c>
      <c r="AH20" s="14" t="str">
        <f>IF(R20="","",IFERROR(VALUE(LEFT(R20,FIND(" ",R20&amp;" ")-1)),IFERROR(INDEX($A$4:$A$153,MATCH(R20,$C$4:$C$153,0)),"")))</f>
        <v/>
      </c>
      <c r="AI20" s="14" t="str">
        <f>IF(S20="","",IFERROR(VALUE(LEFT(S20,FIND(" ",S20&amp;" ")-1)),IFERROR(INDEX($A$4:$A$153,MATCH(S20,$C$4:$C$153,0)),"")))</f>
        <v/>
      </c>
      <c r="AJ20" s="14" t="str">
        <f>IF(OR(A20="",B20=""),"",IF(COUNTIFS($B$4:B20,B20,$A$4:A20,"&lt;&gt;")=1,MAX($AJ$3:AJ19)+1,""))</f>
        <v/>
      </c>
      <c r="AK20" s="14">
        <f>IF(OR(A20="",NOT(ISNUMBER(L20))),"",L20^2)</f>
        <v>54.76</v>
      </c>
      <c r="AL20" s="14">
        <f>IF(OR(A20="",NOT(ISNUMBER(L20))),0,(L20-INDEX('計算'!$AE$7:$AG$7,X20))/INDEX('計算'!$AE$8:$AG$8,X20))</f>
        <v>-0.661693740309516</v>
      </c>
    </row>
    <row r="21">
      <c r="A21" s="8" t="n">
        <v>2118</v>
      </c>
      <c r="B21" s="8" t="n">
        <v>1</v>
      </c>
      <c r="C21" s="9" t="inlineStr">
        <is>
          <t>鈴木　悠真</t>
        </is>
      </c>
      <c r="D21" s="9" t="inlineStr">
        <is>
          <t>すずき　ゆうま</t>
        </is>
      </c>
      <c r="E21" s="8" t="inlineStr">
        <is>
          <t>男</t>
        </is>
      </c>
      <c r="F21" s="8" t="n">
        <v>68</v>
      </c>
      <c r="G21" s="8" t="n">
        <v>56</v>
      </c>
      <c r="H21" s="8" t="n">
        <v>59</v>
      </c>
      <c r="I21" s="8" t="n">
        <v>54</v>
      </c>
      <c r="J21" s="8" t="n">
        <v>58</v>
      </c>
      <c r="K21" s="10">
        <f>IF(COUNT(F21:J21)=0,"",ROUND(AVERAGE(F21:J21),1))</f>
        <v>59</v>
      </c>
      <c r="L21" s="11" t="n">
        <v>7.4</v>
      </c>
      <c r="M21" s="8" t="inlineStr">
        <is>
          <t>×</t>
        </is>
      </c>
      <c r="N21" s="8" t="n"/>
      <c r="O21" s="8" t="n"/>
      <c r="P21" s="8" t="n"/>
      <c r="Q21" s="12" t="n"/>
      <c r="R21" s="12" t="n"/>
      <c r="S21" s="12" t="n"/>
      <c r="T21" s="9" t="n"/>
      <c r="U21" s="13">
        <f>IF(A21="","",INDEX('計算'!$Z$2:$Z$151,AF21))</f>
        <v>3</v>
      </c>
      <c r="V21" s="13">
        <f>IF(A21="","",IFERROR(IF(INDEX('②クラス編成'!$E$9:$E$158,MATCH(A21,'②クラス編成'!$D$9:$D$158,0))="","未",INDEX('②クラス編成'!$E$9:$E$158,MATCH(A21,'②クラス編成'!$D$9:$D$158,0))),"未"))</f>
        <v>3</v>
      </c>
      <c r="W21" s="14" t="str">
        <f>IF(A21="","",A21&amp;" "&amp;C21)</f>
        <v>2118 鈴木　悠真</v>
      </c>
      <c r="X21" s="14">
        <f>IF(A21="","",IF(E21="男",1,IF(E21="女",2,3)))</f>
        <v>1</v>
      </c>
      <c r="Y21" s="14">
        <f>IF(OR(M21="〇",M21="○",M21="◯"),1,0)</f>
        <v>0</v>
      </c>
      <c r="Z21" s="14">
        <f>IF(OR(N21="〇",N21="○",N21="◯"),1,0)</f>
        <v>0</v>
      </c>
      <c r="AA21" s="14">
        <f>IF(OR(O21="〇",O21="○",O21="◯"),1,0)</f>
        <v>0</v>
      </c>
      <c r="AB21" s="14">
        <f>IF(OR(P21="〇",P21="○",P21="◯"),1,0)</f>
        <v>0</v>
      </c>
      <c r="AC21" s="14">
        <f>IF(A21="","",IF(AA21=1,1,IF(Y21=1,2,IF(Z21=1,3,IF(AB21=1,4,5)))))</f>
        <v>5</v>
      </c>
      <c r="AD21" s="14">
        <f>IF(A21="","",IF(K21="",'設定'!$C$37,K21))</f>
        <v>59</v>
      </c>
      <c r="AE21" s="14">
        <f>IF(A21="","",AC21*10000000-ROUND(ABS((AD21-'設定'!$C$37)/'設定'!$C$38)*10000,0))</f>
        <v>49997396</v>
      </c>
      <c r="AF21" s="14">
        <f>IF(A21="","",COUNTIF($AE$4:$AE$153,"&lt;"&amp;AE21)+COUNTIFS($AE$4:$AE$153,AE21,$A$4:$A$153,"&lt;"&amp;A21)+1)</f>
        <v>90</v>
      </c>
      <c r="AG21" s="14" t="str">
        <f>IF(Q21="","",IFERROR(VALUE(LEFT(Q21,FIND(" ",Q21&amp;" ")-1)),IFERROR(INDEX($A$4:$A$153,MATCH(Q21,$C$4:$C$153,0)),"")))</f>
        <v/>
      </c>
      <c r="AH21" s="14" t="str">
        <f>IF(R21="","",IFERROR(VALUE(LEFT(R21,FIND(" ",R21&amp;" ")-1)),IFERROR(INDEX($A$4:$A$153,MATCH(R21,$C$4:$C$153,0)),"")))</f>
        <v/>
      </c>
      <c r="AI21" s="14" t="str">
        <f>IF(S21="","",IFERROR(VALUE(LEFT(S21,FIND(" ",S21&amp;" ")-1)),IFERROR(INDEX($A$4:$A$153,MATCH(S21,$C$4:$C$153,0)),"")))</f>
        <v/>
      </c>
      <c r="AJ21" s="14" t="str">
        <f>IF(OR(A21="",B21=""),"",IF(COUNTIFS($B$4:B21,B21,$A$4:A21,"&lt;&gt;")=1,MAX($AJ$3:AJ20)+1,""))</f>
        <v/>
      </c>
      <c r="AK21" s="14">
        <f>IF(OR(A21="",NOT(ISNUMBER(L21))),"",L21^2)</f>
        <v>54.76</v>
      </c>
      <c r="AL21" s="14">
        <f>IF(OR(A21="",NOT(ISNUMBER(L21))),0,(L21-INDEX('計算'!$AE$7:$AG$7,X21))/INDEX('計算'!$AE$8:$AG$8,X21))</f>
        <v>-0.661693740309516</v>
      </c>
    </row>
    <row r="22">
      <c r="A22" s="8" t="n">
        <v>2119</v>
      </c>
      <c r="B22" s="8" t="n">
        <v>1</v>
      </c>
      <c r="C22" s="9" t="inlineStr">
        <is>
          <t>高橋　紬</t>
        </is>
      </c>
      <c r="D22" s="9" t="inlineStr">
        <is>
          <t>たかはし　つむぎ</t>
        </is>
      </c>
      <c r="E22" s="8" t="inlineStr">
        <is>
          <t>女</t>
        </is>
      </c>
      <c r="F22" s="8" t="n">
        <v>49</v>
      </c>
      <c r="G22" s="8" t="n">
        <v>48</v>
      </c>
      <c r="H22" s="8" t="n">
        <v>67</v>
      </c>
      <c r="I22" s="8" t="n">
        <v>40</v>
      </c>
      <c r="J22" s="8" t="n">
        <v>62</v>
      </c>
      <c r="K22" s="10">
        <f>IF(COUNT(F22:J22)=0,"",ROUND(AVERAGE(F22:J22),1))</f>
        <v>53.2</v>
      </c>
      <c r="L22" s="11" t="n">
        <v>9.5</v>
      </c>
      <c r="M22" s="8" t="inlineStr">
        <is>
          <t>×</t>
        </is>
      </c>
      <c r="N22" s="8" t="n"/>
      <c r="O22" s="8" t="n"/>
      <c r="P22" s="8" t="n"/>
      <c r="Q22" s="12" t="n"/>
      <c r="R22" s="12" t="n"/>
      <c r="S22" s="12" t="n"/>
      <c r="T22" s="9" t="n"/>
      <c r="U22" s="13">
        <f>IF(A22="","",INDEX('計算'!$Z$2:$Z$151,AF22))</f>
        <v>1</v>
      </c>
      <c r="V22" s="13">
        <f>IF(A22="","",IFERROR(IF(INDEX('②クラス編成'!$E$9:$E$158,MATCH(A22,'②クラス編成'!$D$9:$D$158,0))="","未",INDEX('②クラス編成'!$E$9:$E$158,MATCH(A22,'②クラス編成'!$D$9:$D$158,0))),"未"))</f>
        <v>1</v>
      </c>
      <c r="W22" s="14" t="str">
        <f>IF(A22="","",A22&amp;" "&amp;C22)</f>
        <v>2119 高橋　紬</v>
      </c>
      <c r="X22" s="14">
        <f>IF(A22="","",IF(E22="男",1,IF(E22="女",2,3)))</f>
        <v>2</v>
      </c>
      <c r="Y22" s="14">
        <f>IF(OR(M22="〇",M22="○",M22="◯"),1,0)</f>
        <v>0</v>
      </c>
      <c r="Z22" s="14">
        <f>IF(OR(N22="〇",N22="○",N22="◯"),1,0)</f>
        <v>0</v>
      </c>
      <c r="AA22" s="14">
        <f>IF(OR(O22="〇",O22="○",O22="◯"),1,0)</f>
        <v>0</v>
      </c>
      <c r="AB22" s="14">
        <f>IF(OR(P22="〇",P22="○",P22="◯"),1,0)</f>
        <v>0</v>
      </c>
      <c r="AC22" s="14">
        <f>IF(A22="","",IF(AA22=1,1,IF(Y22=1,2,IF(Z22=1,3,IF(AB22=1,4,5)))))</f>
        <v>5</v>
      </c>
      <c r="AD22" s="14">
        <f>IF(A22="","",IF(K22="",'設定'!$C$37,K22))</f>
        <v>53.2</v>
      </c>
      <c r="AE22" s="14">
        <f>IF(A22="","",AC22*10000000-ROUND(ABS((AD22-'設定'!$C$37)/'設定'!$C$38)*10000,0))</f>
        <v>49993064</v>
      </c>
      <c r="AF22" s="14">
        <f>IF(A22="","",COUNTIF($AE$4:$AE$153,"&lt;"&amp;AE22)+COUNTIFS($AE$4:$AE$153,AE22,$A$4:$A$153,"&lt;"&amp;A22)+1)</f>
        <v>74</v>
      </c>
      <c r="AG22" s="14" t="str">
        <f>IF(Q22="","",IFERROR(VALUE(LEFT(Q22,FIND(" ",Q22&amp;" ")-1)),IFERROR(INDEX($A$4:$A$153,MATCH(Q22,$C$4:$C$153,0)),"")))</f>
        <v/>
      </c>
      <c r="AH22" s="14" t="str">
        <f>IF(R22="","",IFERROR(VALUE(LEFT(R22,FIND(" ",R22&amp;" ")-1)),IFERROR(INDEX($A$4:$A$153,MATCH(R22,$C$4:$C$153,0)),"")))</f>
        <v/>
      </c>
      <c r="AI22" s="14" t="str">
        <f>IF(S22="","",IFERROR(VALUE(LEFT(S22,FIND(" ",S22&amp;" ")-1)),IFERROR(INDEX($A$4:$A$153,MATCH(S22,$C$4:$C$153,0)),"")))</f>
        <v/>
      </c>
      <c r="AJ22" s="14" t="str">
        <f>IF(OR(A22="",B22=""),"",IF(COUNTIFS($B$4:B22,B22,$A$4:A22,"&lt;&gt;")=1,MAX($AJ$3:AJ21)+1,""))</f>
        <v/>
      </c>
      <c r="AK22" s="14">
        <f>IF(OR(A22="",NOT(ISNUMBER(L22))),"",L22^2)</f>
        <v>90.25</v>
      </c>
      <c r="AL22" s="14">
        <f>IF(OR(A22="",NOT(ISNUMBER(L22))),0,(L22-INDEX('計算'!$AE$7:$AG$7,X22))/INDEX('計算'!$AE$8:$AG$8,X22))</f>
        <v>1.04038711315146</v>
      </c>
    </row>
    <row r="23">
      <c r="A23" s="8" t="n">
        <v>2120</v>
      </c>
      <c r="B23" s="8" t="n">
        <v>1</v>
      </c>
      <c r="C23" s="9" t="inlineStr">
        <is>
          <t>田中　隼人</t>
        </is>
      </c>
      <c r="D23" s="9" t="inlineStr">
        <is>
          <t>たなか　はやと</t>
        </is>
      </c>
      <c r="E23" s="8" t="inlineStr">
        <is>
          <t>男</t>
        </is>
      </c>
      <c r="F23" s="8" t="n">
        <v>68</v>
      </c>
      <c r="G23" s="8" t="n">
        <v>77</v>
      </c>
      <c r="H23" s="8" t="n">
        <v>67</v>
      </c>
      <c r="I23" s="8" t="n">
        <v>66</v>
      </c>
      <c r="J23" s="8" t="n">
        <v>60</v>
      </c>
      <c r="K23" s="10">
        <f>IF(COUNT(F23:J23)=0,"",ROUND(AVERAGE(F23:J23),1))</f>
        <v>67.6</v>
      </c>
      <c r="L23" s="11" t="n">
        <v>7.3</v>
      </c>
      <c r="M23" s="8" t="inlineStr">
        <is>
          <t>×</t>
        </is>
      </c>
      <c r="N23" s="8" t="n"/>
      <c r="O23" s="8" t="inlineStr">
        <is>
          <t>〇</t>
        </is>
      </c>
      <c r="P23" s="8" t="n"/>
      <c r="Q23" s="12" t="n"/>
      <c r="R23" s="12" t="n"/>
      <c r="S23" s="12" t="n"/>
      <c r="T23" s="9" t="n"/>
      <c r="U23" s="13">
        <f>IF(A23="","",INDEX('計算'!$Z$2:$Z$151,AF23))</f>
        <v>2</v>
      </c>
      <c r="V23" s="13">
        <f>IF(A23="","",IFERROR(IF(INDEX('②クラス編成'!$E$9:$E$158,MATCH(A23,'②クラス編成'!$D$9:$D$158,0))="","未",INDEX('②クラス編成'!$E$9:$E$158,MATCH(A23,'②クラス編成'!$D$9:$D$158,0))),"未"))</f>
        <v>2</v>
      </c>
      <c r="W23" s="14" t="str">
        <f>IF(A23="","",A23&amp;" "&amp;C23)</f>
        <v>2120 田中　隼人</v>
      </c>
      <c r="X23" s="14">
        <f>IF(A23="","",IF(E23="男",1,IF(E23="女",2,3)))</f>
        <v>1</v>
      </c>
      <c r="Y23" s="14">
        <f>IF(OR(M23="〇",M23="○",M23="◯"),1,0)</f>
        <v>0</v>
      </c>
      <c r="Z23" s="14">
        <f>IF(OR(N23="〇",N23="○",N23="◯"),1,0)</f>
        <v>0</v>
      </c>
      <c r="AA23" s="14">
        <f>IF(OR(O23="〇",O23="○",O23="◯"),1,0)</f>
        <v>1</v>
      </c>
      <c r="AB23" s="14">
        <f>IF(OR(P23="〇",P23="○",P23="◯"),1,0)</f>
        <v>0</v>
      </c>
      <c r="AC23" s="14">
        <f>IF(A23="","",IF(AA23=1,1,IF(Y23=1,2,IF(Z23=1,3,IF(AB23=1,4,5)))))</f>
        <v>1</v>
      </c>
      <c r="AD23" s="14">
        <f>IF(A23="","",IF(K23="",'設定'!$C$37,K23))</f>
        <v>67.6</v>
      </c>
      <c r="AE23" s="14">
        <f>IF(A23="","",AC23*10000000-ROUND(ABS((AD23-'設定'!$C$37)/'設定'!$C$38)*10000,0))</f>
        <v>9996182</v>
      </c>
      <c r="AF23" s="14">
        <f>IF(A23="","",COUNTIF($AE$4:$AE$153,"&lt;"&amp;AE23)+COUNTIFS($AE$4:$AE$153,AE23,$A$4:$A$153,"&lt;"&amp;A23)+1)</f>
        <v>5</v>
      </c>
      <c r="AG23" s="14" t="str">
        <f>IF(Q23="","",IFERROR(VALUE(LEFT(Q23,FIND(" ",Q23&amp;" ")-1)),IFERROR(INDEX($A$4:$A$153,MATCH(Q23,$C$4:$C$153,0)),"")))</f>
        <v/>
      </c>
      <c r="AH23" s="14" t="str">
        <f>IF(R23="","",IFERROR(VALUE(LEFT(R23,FIND(" ",R23&amp;" ")-1)),IFERROR(INDEX($A$4:$A$153,MATCH(R23,$C$4:$C$153,0)),"")))</f>
        <v/>
      </c>
      <c r="AI23" s="14" t="str">
        <f>IF(S23="","",IFERROR(VALUE(LEFT(S23,FIND(" ",S23&amp;" ")-1)),IFERROR(INDEX($A$4:$A$153,MATCH(S23,$C$4:$C$153,0)),"")))</f>
        <v/>
      </c>
      <c r="AJ23" s="14" t="str">
        <f>IF(OR(A23="",B23=""),"",IF(COUNTIFS($B$4:B23,B23,$A$4:A23,"&lt;&gt;")=1,MAX($AJ$3:AJ22)+1,""))</f>
        <v/>
      </c>
      <c r="AK23" s="14">
        <f>IF(OR(A23="",NOT(ISNUMBER(L23))),"",L23^2)</f>
        <v>53.29</v>
      </c>
      <c r="AL23" s="14">
        <f>IF(OR(A23="",NOT(ISNUMBER(L23))),0,(L23-INDEX('計算'!$AE$7:$AG$7,X23))/INDEX('計算'!$AE$8:$AG$8,X23))</f>
        <v>-0.889282670097504</v>
      </c>
    </row>
    <row r="24">
      <c r="A24" s="8" t="n">
        <v>2121</v>
      </c>
      <c r="B24" s="8" t="n">
        <v>1</v>
      </c>
      <c r="C24" s="9" t="inlineStr">
        <is>
          <t>田中　陽葵</t>
        </is>
      </c>
      <c r="D24" s="9" t="inlineStr">
        <is>
          <t>たなか　ひまり</t>
        </is>
      </c>
      <c r="E24" s="8" t="inlineStr">
        <is>
          <t>女</t>
        </is>
      </c>
      <c r="F24" s="8" t="n">
        <v>49</v>
      </c>
      <c r="G24" s="8" t="n">
        <v>47</v>
      </c>
      <c r="H24" s="8" t="n">
        <v>57</v>
      </c>
      <c r="I24" s="8" t="n">
        <v>65</v>
      </c>
      <c r="J24" s="8" t="n">
        <v>65</v>
      </c>
      <c r="K24" s="10">
        <f>IF(COUNT(F24:J24)=0,"",ROUND(AVERAGE(F24:J24),1))</f>
        <v>56.6</v>
      </c>
      <c r="L24" s="11" t="n">
        <v>8</v>
      </c>
      <c r="M24" s="8" t="inlineStr">
        <is>
          <t>×</t>
        </is>
      </c>
      <c r="N24" s="8" t="n"/>
      <c r="O24" s="8" t="n"/>
      <c r="P24" s="8" t="n"/>
      <c r="Q24" s="12" t="n"/>
      <c r="R24" s="12" t="n"/>
      <c r="S24" s="12" t="n"/>
      <c r="T24" s="9" t="n"/>
      <c r="U24" s="13">
        <f>IF(A24="","",INDEX('計算'!$Z$2:$Z$151,AF24))</f>
        <v>1</v>
      </c>
      <c r="V24" s="13">
        <f>IF(A24="","",IFERROR(IF(INDEX('②クラス編成'!$E$9:$E$158,MATCH(A24,'②クラス編成'!$D$9:$D$158,0))="","未",INDEX('②クラス編成'!$E$9:$E$158,MATCH(A24,'②クラス編成'!$D$9:$D$158,0))),"未"))</f>
        <v>1</v>
      </c>
      <c r="W24" s="14" t="str">
        <f>IF(A24="","",A24&amp;" "&amp;C24)</f>
        <v>2121 田中　陽葵</v>
      </c>
      <c r="X24" s="14">
        <f>IF(A24="","",IF(E24="男",1,IF(E24="女",2,3)))</f>
        <v>2</v>
      </c>
      <c r="Y24" s="14">
        <f>IF(OR(M24="〇",M24="○",M24="◯"),1,0)</f>
        <v>0</v>
      </c>
      <c r="Z24" s="14">
        <f>IF(OR(N24="〇",N24="○",N24="◯"),1,0)</f>
        <v>0</v>
      </c>
      <c r="AA24" s="14">
        <f>IF(OR(O24="〇",O24="○",O24="◯"),1,0)</f>
        <v>0</v>
      </c>
      <c r="AB24" s="14">
        <f>IF(OR(P24="〇",P24="○",P24="◯"),1,0)</f>
        <v>0</v>
      </c>
      <c r="AC24" s="14">
        <f>IF(A24="","",IF(AA24=1,1,IF(Y24=1,2,IF(Z24=1,3,IF(AB24=1,4,5)))))</f>
        <v>5</v>
      </c>
      <c r="AD24" s="14">
        <f>IF(A24="","",IF(K24="",'設定'!$C$37,K24))</f>
        <v>56.6</v>
      </c>
      <c r="AE24" s="14">
        <f>IF(A24="","",AC24*10000000-ROUND(ABS((AD24-'設定'!$C$37)/'設定'!$C$38)*10000,0))</f>
        <v>49995603</v>
      </c>
      <c r="AF24" s="14">
        <f>IF(A24="","",COUNTIF($AE$4:$AE$153,"&lt;"&amp;AE24)+COUNTIFS($AE$4:$AE$153,AE24,$A$4:$A$153,"&lt;"&amp;A24)+1)</f>
        <v>85</v>
      </c>
      <c r="AG24" s="14" t="str">
        <f>IF(Q24="","",IFERROR(VALUE(LEFT(Q24,FIND(" ",Q24&amp;" ")-1)),IFERROR(INDEX($A$4:$A$153,MATCH(Q24,$C$4:$C$153,0)),"")))</f>
        <v/>
      </c>
      <c r="AH24" s="14" t="str">
        <f>IF(R24="","",IFERROR(VALUE(LEFT(R24,FIND(" ",R24&amp;" ")-1)),IFERROR(INDEX($A$4:$A$153,MATCH(R24,$C$4:$C$153,0)),"")))</f>
        <v/>
      </c>
      <c r="AI24" s="14" t="str">
        <f>IF(S24="","",IFERROR(VALUE(LEFT(S24,FIND(" ",S24&amp;" ")-1)),IFERROR(INDEX($A$4:$A$153,MATCH(S24,$C$4:$C$153,0)),"")))</f>
        <v/>
      </c>
      <c r="AJ24" s="14" t="str">
        <f>IF(OR(A24="",B24=""),"",IF(COUNTIFS($B$4:B24,B24,$A$4:A24,"&lt;&gt;")=1,MAX($AJ$3:AJ23)+1,""))</f>
        <v/>
      </c>
      <c r="AK24" s="14">
        <f>IF(OR(A24="",NOT(ISNUMBER(L24))),"",L24^2)</f>
        <v>64</v>
      </c>
      <c r="AL24" s="14">
        <f>IF(OR(A24="",NOT(ISNUMBER(L24))),0,(L24-INDEX('計算'!$AE$7:$AG$7,X24))/INDEX('計算'!$AE$8:$AG$8,X24))</f>
        <v>-1.41608245956727</v>
      </c>
    </row>
    <row r="25">
      <c r="A25" s="8" t="n">
        <v>2122</v>
      </c>
      <c r="B25" s="8" t="n">
        <v>1</v>
      </c>
      <c r="C25" s="9" t="inlineStr">
        <is>
          <t>中村　楓</t>
        </is>
      </c>
      <c r="D25" s="9" t="inlineStr">
        <is>
          <t>なかむら　かえで</t>
        </is>
      </c>
      <c r="E25" s="8" t="inlineStr">
        <is>
          <t>女</t>
        </is>
      </c>
      <c r="F25" s="8" t="n">
        <v>38</v>
      </c>
      <c r="G25" s="8" t="n">
        <v>54</v>
      </c>
      <c r="H25" s="8" t="n">
        <v>64</v>
      </c>
      <c r="I25" s="8" t="n">
        <v>54</v>
      </c>
      <c r="J25" s="8" t="n">
        <v>41</v>
      </c>
      <c r="K25" s="10">
        <f>IF(COUNT(F25:J25)=0,"",ROUND(AVERAGE(F25:J25),1))</f>
        <v>50.2</v>
      </c>
      <c r="L25" s="11" t="n">
        <v>9.300000000000001</v>
      </c>
      <c r="M25" s="8" t="inlineStr">
        <is>
          <t>×</t>
        </is>
      </c>
      <c r="N25" s="8" t="n"/>
      <c r="O25" s="8" t="n"/>
      <c r="P25" s="8" t="n"/>
      <c r="Q25" s="12" t="n"/>
      <c r="R25" s="12" t="n"/>
      <c r="S25" s="12" t="n"/>
      <c r="T25" s="9" t="n"/>
      <c r="U25" s="13">
        <f>IF(A25="","",INDEX('計算'!$Z$2:$Z$151,AF25))</f>
        <v>1</v>
      </c>
      <c r="V25" s="13">
        <f>IF(A25="","",IFERROR(IF(INDEX('②クラス編成'!$E$9:$E$158,MATCH(A25,'②クラス編成'!$D$9:$D$158,0))="","未",INDEX('②クラス編成'!$E$9:$E$158,MATCH(A25,'②クラス編成'!$D$9:$D$158,0))),"未"))</f>
        <v>1</v>
      </c>
      <c r="W25" s="14" t="str">
        <f>IF(A25="","",A25&amp;" "&amp;C25)</f>
        <v>2122 中村　楓</v>
      </c>
      <c r="X25" s="14">
        <f>IF(A25="","",IF(E25="男",1,IF(E25="女",2,3)))</f>
        <v>2</v>
      </c>
      <c r="Y25" s="14">
        <f>IF(OR(M25="〇",M25="○",M25="◯"),1,0)</f>
        <v>0</v>
      </c>
      <c r="Z25" s="14">
        <f>IF(OR(N25="〇",N25="○",N25="◯"),1,0)</f>
        <v>0</v>
      </c>
      <c r="AA25" s="14">
        <f>IF(OR(O25="〇",O25="○",O25="◯"),1,0)</f>
        <v>0</v>
      </c>
      <c r="AB25" s="14">
        <f>IF(OR(P25="〇",P25="○",P25="◯"),1,0)</f>
        <v>0</v>
      </c>
      <c r="AC25" s="14">
        <f>IF(A25="","",IF(AA25=1,1,IF(Y25=1,2,IF(Z25=1,3,IF(AB25=1,4,5)))))</f>
        <v>5</v>
      </c>
      <c r="AD25" s="14">
        <f>IF(A25="","",IF(K25="",'設定'!$C$37,K25))</f>
        <v>50.2</v>
      </c>
      <c r="AE25" s="14">
        <f>IF(A25="","",AC25*10000000-ROUND(ABS((AD25-'設定'!$C$37)/'設定'!$C$38)*10000,0))</f>
        <v>49990824</v>
      </c>
      <c r="AF25" s="14">
        <f>IF(A25="","",COUNTIF($AE$4:$AE$153,"&lt;"&amp;AE25)+COUNTIFS($AE$4:$AE$153,AE25,$A$4:$A$153,"&lt;"&amp;A25)+1)</f>
        <v>61</v>
      </c>
      <c r="AG25" s="14" t="str">
        <f>IF(Q25="","",IFERROR(VALUE(LEFT(Q25,FIND(" ",Q25&amp;" ")-1)),IFERROR(INDEX($A$4:$A$153,MATCH(Q25,$C$4:$C$153,0)),"")))</f>
        <v/>
      </c>
      <c r="AH25" s="14" t="str">
        <f>IF(R25="","",IFERROR(VALUE(LEFT(R25,FIND(" ",R25&amp;" ")-1)),IFERROR(INDEX($A$4:$A$153,MATCH(R25,$C$4:$C$153,0)),"")))</f>
        <v/>
      </c>
      <c r="AI25" s="14" t="str">
        <f>IF(S25="","",IFERROR(VALUE(LEFT(S25,FIND(" ",S25&amp;" ")-1)),IFERROR(INDEX($A$4:$A$153,MATCH(S25,$C$4:$C$153,0)),"")))</f>
        <v/>
      </c>
      <c r="AJ25" s="14" t="str">
        <f>IF(OR(A25="",B25=""),"",IF(COUNTIFS($B$4:B25,B25,$A$4:A25,"&lt;&gt;")=1,MAX($AJ$3:AJ24)+1,""))</f>
        <v/>
      </c>
      <c r="AK25" s="14">
        <f>IF(OR(A25="",NOT(ISNUMBER(L25))),"",L25^2)</f>
        <v>86.49</v>
      </c>
      <c r="AL25" s="14">
        <f>IF(OR(A25="",NOT(ISNUMBER(L25))),0,(L25-INDEX('計算'!$AE$7:$AG$7,X25))/INDEX('計算'!$AE$8:$AG$8,X25))</f>
        <v>0.712857836788965</v>
      </c>
    </row>
    <row r="26">
      <c r="A26" s="8" t="n">
        <v>2123</v>
      </c>
      <c r="B26" s="8" t="n">
        <v>1</v>
      </c>
      <c r="C26" s="9" t="inlineStr">
        <is>
          <t>原田　杏</t>
        </is>
      </c>
      <c r="D26" s="9" t="inlineStr">
        <is>
          <t>はらだ　あん</t>
        </is>
      </c>
      <c r="E26" s="8" t="inlineStr">
        <is>
          <t>女</t>
        </is>
      </c>
      <c r="F26" s="8" t="n">
        <v>53</v>
      </c>
      <c r="G26" s="8" t="n">
        <v>59</v>
      </c>
      <c r="H26" s="8" t="n">
        <v>55</v>
      </c>
      <c r="I26" s="8" t="n">
        <v>73</v>
      </c>
      <c r="J26" s="8" t="n">
        <v>62</v>
      </c>
      <c r="K26" s="10">
        <f>IF(COUNT(F26:J26)=0,"",ROUND(AVERAGE(F26:J26),1))</f>
        <v>60.4</v>
      </c>
      <c r="L26" s="11" t="n">
        <v>9</v>
      </c>
      <c r="M26" s="8" t="inlineStr">
        <is>
          <t>×</t>
        </is>
      </c>
      <c r="N26" s="8" t="inlineStr">
        <is>
          <t>〇</t>
        </is>
      </c>
      <c r="O26" s="8" t="n"/>
      <c r="P26" s="8" t="n"/>
      <c r="Q26" s="12" t="n"/>
      <c r="R26" s="12" t="n"/>
      <c r="S26" s="12" t="n"/>
      <c r="T26" s="9" t="n"/>
      <c r="U26" s="13">
        <f>IF(A26="","",INDEX('計算'!$Z$2:$Z$151,AF26))</f>
        <v>2</v>
      </c>
      <c r="V26" s="13">
        <f>IF(A26="","",IFERROR(IF(INDEX('②クラス編成'!$E$9:$E$158,MATCH(A26,'②クラス編成'!$D$9:$D$158,0))="","未",INDEX('②クラス編成'!$E$9:$E$158,MATCH(A26,'②クラス編成'!$D$9:$D$158,0))),"未"))</f>
        <v>2</v>
      </c>
      <c r="W26" s="14" t="str">
        <f>IF(A26="","",A26&amp;" "&amp;C26)</f>
        <v>2123 原田　杏</v>
      </c>
      <c r="X26" s="14">
        <f>IF(A26="","",IF(E26="男",1,IF(E26="女",2,3)))</f>
        <v>2</v>
      </c>
      <c r="Y26" s="14">
        <f>IF(OR(M26="〇",M26="○",M26="◯"),1,0)</f>
        <v>0</v>
      </c>
      <c r="Z26" s="14">
        <f>IF(OR(N26="〇",N26="○",N26="◯"),1,0)</f>
        <v>1</v>
      </c>
      <c r="AA26" s="14">
        <f>IF(OR(O26="〇",O26="○",O26="◯"),1,0)</f>
        <v>0</v>
      </c>
      <c r="AB26" s="14">
        <f>IF(OR(P26="〇",P26="○",P26="◯"),1,0)</f>
        <v>0</v>
      </c>
      <c r="AC26" s="14">
        <f>IF(A26="","",IF(AA26=1,1,IF(Y26=1,2,IF(Z26=1,3,IF(AB26=1,4,5)))))</f>
        <v>3</v>
      </c>
      <c r="AD26" s="14">
        <f>IF(A26="","",IF(K26="",'設定'!$C$37,K26))</f>
        <v>60.4</v>
      </c>
      <c r="AE26" s="14">
        <f>IF(A26="","",AC26*10000000-ROUND(ABS((AD26-'設定'!$C$37)/'設定'!$C$38)*10000,0))</f>
        <v>29998441</v>
      </c>
      <c r="AF26" s="14">
        <f>IF(A26="","",COUNTIF($AE$4:$AE$153,"&lt;"&amp;AE26)+COUNTIFS($AE$4:$AE$153,AE26,$A$4:$A$153,"&lt;"&amp;A26)+1)</f>
        <v>24</v>
      </c>
      <c r="AG26" s="14" t="str">
        <f>IF(Q26="","",IFERROR(VALUE(LEFT(Q26,FIND(" ",Q26&amp;" ")-1)),IFERROR(INDEX($A$4:$A$153,MATCH(Q26,$C$4:$C$153,0)),"")))</f>
        <v/>
      </c>
      <c r="AH26" s="14" t="str">
        <f>IF(R26="","",IFERROR(VALUE(LEFT(R26,FIND(" ",R26&amp;" ")-1)),IFERROR(INDEX($A$4:$A$153,MATCH(R26,$C$4:$C$153,0)),"")))</f>
        <v/>
      </c>
      <c r="AI26" s="14" t="str">
        <f>IF(S26="","",IFERROR(VALUE(LEFT(S26,FIND(" ",S26&amp;" ")-1)),IFERROR(INDEX($A$4:$A$153,MATCH(S26,$C$4:$C$153,0)),"")))</f>
        <v/>
      </c>
      <c r="AJ26" s="14" t="str">
        <f>IF(OR(A26="",B26=""),"",IF(COUNTIFS($B$4:B26,B26,$A$4:A26,"&lt;&gt;")=1,MAX($AJ$3:AJ25)+1,""))</f>
        <v/>
      </c>
      <c r="AK26" s="14">
        <f>IF(OR(A26="",NOT(ISNUMBER(L26))),"",L26^2)</f>
        <v>81</v>
      </c>
      <c r="AL26" s="14">
        <f>IF(OR(A26="",NOT(ISNUMBER(L26))),0,(L26-INDEX('計算'!$AE$7:$AG$7,X26))/INDEX('計算'!$AE$8:$AG$8,X26))</f>
        <v>0.221563922245218</v>
      </c>
    </row>
    <row r="27">
      <c r="A27" s="8" t="n">
        <v>2124</v>
      </c>
      <c r="B27" s="8" t="n">
        <v>1</v>
      </c>
      <c r="C27" s="9" t="inlineStr">
        <is>
          <t>前田　奏太</t>
        </is>
      </c>
      <c r="D27" s="9" t="inlineStr">
        <is>
          <t>まえだ　かなた</t>
        </is>
      </c>
      <c r="E27" s="8" t="inlineStr">
        <is>
          <t>男</t>
        </is>
      </c>
      <c r="F27" s="8" t="n">
        <v>80</v>
      </c>
      <c r="G27" s="8" t="n">
        <v>76</v>
      </c>
      <c r="H27" s="8" t="n">
        <v>78</v>
      </c>
      <c r="I27" s="8" t="n">
        <v>73</v>
      </c>
      <c r="J27" s="8" t="n">
        <v>71</v>
      </c>
      <c r="K27" s="10">
        <f>IF(COUNT(F27:J27)=0,"",ROUND(AVERAGE(F27:J27),1))</f>
        <v>75.6</v>
      </c>
      <c r="L27" s="11" t="n">
        <v>8</v>
      </c>
      <c r="M27" s="8" t="inlineStr">
        <is>
          <t>×</t>
        </is>
      </c>
      <c r="N27" s="8" t="n"/>
      <c r="O27" s="8" t="n"/>
      <c r="P27" s="8" t="n"/>
      <c r="Q27" s="12" t="inlineStr">
        <is>
          <t>2102 阿部　陽葵</t>
        </is>
      </c>
      <c r="R27" s="12" t="n"/>
      <c r="S27" s="12" t="n"/>
      <c r="T27" s="9" t="n"/>
      <c r="U27" s="13">
        <f>IF(A27="","",INDEX('計算'!$Z$2:$Z$151,AF27))</f>
        <v>2</v>
      </c>
      <c r="V27" s="13">
        <f>IF(A27="","",IFERROR(IF(INDEX('②クラス編成'!$E$9:$E$158,MATCH(A27,'②クラス編成'!$D$9:$D$158,0))="","未",INDEX('②クラス編成'!$E$9:$E$158,MATCH(A27,'②クラス編成'!$D$9:$D$158,0))),"未"))</f>
        <v>2</v>
      </c>
      <c r="W27" s="14" t="str">
        <f>IF(A27="","",A27&amp;" "&amp;C27)</f>
        <v>2124 前田　奏太</v>
      </c>
      <c r="X27" s="14">
        <f>IF(A27="","",IF(E27="男",1,IF(E27="女",2,3)))</f>
        <v>1</v>
      </c>
      <c r="Y27" s="14">
        <f>IF(OR(M27="〇",M27="○",M27="◯"),1,0)</f>
        <v>0</v>
      </c>
      <c r="Z27" s="14">
        <f>IF(OR(N27="〇",N27="○",N27="◯"),1,0)</f>
        <v>0</v>
      </c>
      <c r="AA27" s="14">
        <f>IF(OR(O27="〇",O27="○",O27="◯"),1,0)</f>
        <v>0</v>
      </c>
      <c r="AB27" s="14">
        <f>IF(OR(P27="〇",P27="○",P27="◯"),1,0)</f>
        <v>0</v>
      </c>
      <c r="AC27" s="14">
        <f>IF(A27="","",IF(AA27=1,1,IF(Y27=1,2,IF(Z27=1,3,IF(AB27=1,4,5)))))</f>
        <v>5</v>
      </c>
      <c r="AD27" s="14">
        <f>IF(A27="","",IF(K27="",'設定'!$C$37,K27))</f>
        <v>75.6</v>
      </c>
      <c r="AE27" s="14">
        <f>IF(A27="","",AC27*10000000-ROUND(ABS((AD27-'設定'!$C$37)/'設定'!$C$38)*10000,0))</f>
        <v>49990208</v>
      </c>
      <c r="AF27" s="14">
        <f>IF(A27="","",COUNTIF($AE$4:$AE$153,"&lt;"&amp;AE27)+COUNTIFS($AE$4:$AE$153,AE27,$A$4:$A$153,"&lt;"&amp;A27)+1)</f>
        <v>57</v>
      </c>
      <c r="AG27" s="14">
        <f>IF(Q27="","",IFERROR(VALUE(LEFT(Q27,FIND(" ",Q27&amp;" ")-1)),IFERROR(INDEX($A$4:$A$153,MATCH(Q27,$C$4:$C$153,0)),"")))</f>
        <v>2102</v>
      </c>
      <c r="AH27" s="14" t="str">
        <f>IF(R27="","",IFERROR(VALUE(LEFT(R27,FIND(" ",R27&amp;" ")-1)),IFERROR(INDEX($A$4:$A$153,MATCH(R27,$C$4:$C$153,0)),"")))</f>
        <v/>
      </c>
      <c r="AI27" s="14" t="str">
        <f>IF(S27="","",IFERROR(VALUE(LEFT(S27,FIND(" ",S27&amp;" ")-1)),IFERROR(INDEX($A$4:$A$153,MATCH(S27,$C$4:$C$153,0)),"")))</f>
        <v/>
      </c>
      <c r="AJ27" s="14" t="str">
        <f>IF(OR(A27="",B27=""),"",IF(COUNTIFS($B$4:B27,B27,$A$4:A27,"&lt;&gt;")=1,MAX($AJ$3:AJ26)+1,""))</f>
        <v/>
      </c>
      <c r="AK27" s="14">
        <f>IF(OR(A27="",NOT(ISNUMBER(L27))),"",L27^2)</f>
        <v>64</v>
      </c>
      <c r="AL27" s="14">
        <f>IF(OR(A27="",NOT(ISNUMBER(L27))),0,(L27-INDEX('計算'!$AE$7:$AG$7,X27))/INDEX('計算'!$AE$8:$AG$8,X27))</f>
        <v>0.703839838418404</v>
      </c>
    </row>
    <row r="28">
      <c r="A28" s="8" t="n">
        <v>2125</v>
      </c>
      <c r="B28" s="8" t="n">
        <v>1</v>
      </c>
      <c r="C28" s="9" t="inlineStr">
        <is>
          <t>前田　颯太</t>
        </is>
      </c>
      <c r="D28" s="9" t="inlineStr">
        <is>
          <t>まえだ　そうた</t>
        </is>
      </c>
      <c r="E28" s="8" t="inlineStr">
        <is>
          <t>男</t>
        </is>
      </c>
      <c r="F28" s="8" t="n">
        <v>47</v>
      </c>
      <c r="G28" s="8" t="n">
        <v>58</v>
      </c>
      <c r="H28" s="8" t="n">
        <v>46</v>
      </c>
      <c r="I28" s="8" t="n">
        <v>44</v>
      </c>
      <c r="J28" s="8" t="n">
        <v>62</v>
      </c>
      <c r="K28" s="10">
        <f>IF(COUNT(F28:J28)=0,"",ROUND(AVERAGE(F28:J28),1))</f>
        <v>51.4</v>
      </c>
      <c r="L28" s="11" t="n">
        <v>8.1</v>
      </c>
      <c r="M28" s="8" t="inlineStr">
        <is>
          <t>×</t>
        </is>
      </c>
      <c r="N28" s="8" t="n"/>
      <c r="O28" s="8" t="inlineStr">
        <is>
          <t>〇</t>
        </is>
      </c>
      <c r="P28" s="8" t="n"/>
      <c r="Q28" s="12" t="n"/>
      <c r="R28" s="12" t="n"/>
      <c r="S28" s="12" t="n"/>
      <c r="T28" s="9" t="n"/>
      <c r="U28" s="13">
        <f>IF(A28="","",INDEX('計算'!$Z$2:$Z$151,AF28))</f>
        <v>1</v>
      </c>
      <c r="V28" s="13">
        <f>IF(A28="","",IFERROR(IF(INDEX('②クラス編成'!$E$9:$E$158,MATCH(A28,'②クラス編成'!$D$9:$D$158,0))="","未",INDEX('②クラス編成'!$E$9:$E$158,MATCH(A28,'②クラス編成'!$D$9:$D$158,0))),"未"))</f>
        <v>1</v>
      </c>
      <c r="W28" s="14" t="str">
        <f>IF(A28="","",A28&amp;" "&amp;C28)</f>
        <v>2125 前田　颯太</v>
      </c>
      <c r="X28" s="14">
        <f>IF(A28="","",IF(E28="男",1,IF(E28="女",2,3)))</f>
        <v>1</v>
      </c>
      <c r="Y28" s="14">
        <f>IF(OR(M28="〇",M28="○",M28="◯"),1,0)</f>
        <v>0</v>
      </c>
      <c r="Z28" s="14">
        <f>IF(OR(N28="〇",N28="○",N28="◯"),1,0)</f>
        <v>0</v>
      </c>
      <c r="AA28" s="14">
        <f>IF(OR(O28="〇",O28="○",O28="◯"),1,0)</f>
        <v>1</v>
      </c>
      <c r="AB28" s="14">
        <f>IF(OR(P28="〇",P28="○",P28="◯"),1,0)</f>
        <v>0</v>
      </c>
      <c r="AC28" s="14">
        <f>IF(A28="","",IF(AA28=1,1,IF(Y28=1,2,IF(Z28=1,3,IF(AB28=1,4,5)))))</f>
        <v>1</v>
      </c>
      <c r="AD28" s="14">
        <f>IF(A28="","",IF(K28="",'設定'!$C$37,K28))</f>
        <v>51.4</v>
      </c>
      <c r="AE28" s="14">
        <f>IF(A28="","",AC28*10000000-ROUND(ABS((AD28-'設定'!$C$37)/'設定'!$C$38)*10000,0))</f>
        <v>9991720</v>
      </c>
      <c r="AF28" s="14">
        <f>IF(A28="","",COUNTIF($AE$4:$AE$153,"&lt;"&amp;AE28)+COUNTIFS($AE$4:$AE$153,AE28,$A$4:$A$153,"&lt;"&amp;A28)+1)</f>
        <v>4</v>
      </c>
      <c r="AG28" s="14" t="str">
        <f>IF(Q28="","",IFERROR(VALUE(LEFT(Q28,FIND(" ",Q28&amp;" ")-1)),IFERROR(INDEX($A$4:$A$153,MATCH(Q28,$C$4:$C$153,0)),"")))</f>
        <v/>
      </c>
      <c r="AH28" s="14" t="str">
        <f>IF(R28="","",IFERROR(VALUE(LEFT(R28,FIND(" ",R28&amp;" ")-1)),IFERROR(INDEX($A$4:$A$153,MATCH(R28,$C$4:$C$153,0)),"")))</f>
        <v/>
      </c>
      <c r="AI28" s="14" t="str">
        <f>IF(S28="","",IFERROR(VALUE(LEFT(S28,FIND(" ",S28&amp;" ")-1)),IFERROR(INDEX($A$4:$A$153,MATCH(S28,$C$4:$C$153,0)),"")))</f>
        <v/>
      </c>
      <c r="AJ28" s="14" t="str">
        <f>IF(OR(A28="",B28=""),"",IF(COUNTIFS($B$4:B28,B28,$A$4:A28,"&lt;&gt;")=1,MAX($AJ$3:AJ27)+1,""))</f>
        <v/>
      </c>
      <c r="AK28" s="14">
        <f>IF(OR(A28="",NOT(ISNUMBER(L28))),"",L28^2)</f>
        <v>65.61</v>
      </c>
      <c r="AL28" s="14">
        <f>IF(OR(A28="",NOT(ISNUMBER(L28))),0,(L28-INDEX('計算'!$AE$7:$AG$7,X28))/INDEX('計算'!$AE$8:$AG$8,X28))</f>
        <v>0.93142876820639</v>
      </c>
    </row>
    <row r="29">
      <c r="A29" s="8" t="n">
        <v>2126</v>
      </c>
      <c r="B29" s="8" t="n">
        <v>1</v>
      </c>
      <c r="C29" s="9" t="inlineStr">
        <is>
          <t>三浦　美桜</t>
        </is>
      </c>
      <c r="D29" s="9" t="inlineStr">
        <is>
          <t>みうら　みお</t>
        </is>
      </c>
      <c r="E29" s="8" t="inlineStr">
        <is>
          <t>女</t>
        </is>
      </c>
      <c r="F29" s="8" t="n">
        <v>56</v>
      </c>
      <c r="G29" s="8" t="n">
        <v>63</v>
      </c>
      <c r="H29" s="8" t="n">
        <v>55</v>
      </c>
      <c r="I29" s="8" t="n">
        <v>58</v>
      </c>
      <c r="J29" s="8" t="n">
        <v>59</v>
      </c>
      <c r="K29" s="10">
        <f>IF(COUNT(F29:J29)=0,"",ROUND(AVERAGE(F29:J29),1))</f>
        <v>58.2</v>
      </c>
      <c r="L29" s="11" t="n">
        <v>9.699999999999999</v>
      </c>
      <c r="M29" s="8" t="inlineStr">
        <is>
          <t>×</t>
        </is>
      </c>
      <c r="N29" s="8" t="n"/>
      <c r="O29" s="8" t="n"/>
      <c r="P29" s="8" t="n"/>
      <c r="Q29" s="12" t="n"/>
      <c r="R29" s="12" t="n"/>
      <c r="S29" s="12" t="n"/>
      <c r="T29" s="9" t="n"/>
      <c r="U29" s="13">
        <f>IF(A29="","",INDEX('計算'!$Z$2:$Z$151,AF29))</f>
        <v>2</v>
      </c>
      <c r="V29" s="13">
        <f>IF(A29="","",IFERROR(IF(INDEX('②クラス編成'!$E$9:$E$158,MATCH(A29,'②クラス編成'!$D$9:$D$158,0))="","未",INDEX('②クラス編成'!$E$9:$E$158,MATCH(A29,'②クラス編成'!$D$9:$D$158,0))),"未"))</f>
        <v>2</v>
      </c>
      <c r="W29" s="14" t="str">
        <f>IF(A29="","",A29&amp;" "&amp;C29)</f>
        <v>2126 三浦　美桜</v>
      </c>
      <c r="X29" s="14">
        <f>IF(A29="","",IF(E29="男",1,IF(E29="女",2,3)))</f>
        <v>2</v>
      </c>
      <c r="Y29" s="14">
        <f>IF(OR(M29="〇",M29="○",M29="◯"),1,0)</f>
        <v>0</v>
      </c>
      <c r="Z29" s="14">
        <f>IF(OR(N29="〇",N29="○",N29="◯"),1,0)</f>
        <v>0</v>
      </c>
      <c r="AA29" s="14">
        <f>IF(OR(O29="〇",O29="○",O29="◯"),1,0)</f>
        <v>0</v>
      </c>
      <c r="AB29" s="14">
        <f>IF(OR(P29="〇",P29="○",P29="◯"),1,0)</f>
        <v>0</v>
      </c>
      <c r="AC29" s="14">
        <f>IF(A29="","",IF(AA29=1,1,IF(Y29=1,2,IF(Z29=1,3,IF(AB29=1,4,5)))))</f>
        <v>5</v>
      </c>
      <c r="AD29" s="14">
        <f>IF(A29="","",IF(K29="",'設定'!$C$37,K29))</f>
        <v>58.2</v>
      </c>
      <c r="AE29" s="14">
        <f>IF(A29="","",AC29*10000000-ROUND(ABS((AD29-'設定'!$C$37)/'設定'!$C$38)*10000,0))</f>
        <v>49996798</v>
      </c>
      <c r="AF29" s="14">
        <f>IF(A29="","",COUNTIF($AE$4:$AE$153,"&lt;"&amp;AE29)+COUNTIFS($AE$4:$AE$153,AE29,$A$4:$A$153,"&lt;"&amp;A29)+1)</f>
        <v>87</v>
      </c>
      <c r="AG29" s="14" t="str">
        <f>IF(Q29="","",IFERROR(VALUE(LEFT(Q29,FIND(" ",Q29&amp;" ")-1)),IFERROR(INDEX($A$4:$A$153,MATCH(Q29,$C$4:$C$153,0)),"")))</f>
        <v/>
      </c>
      <c r="AH29" s="14" t="str">
        <f>IF(R29="","",IFERROR(VALUE(LEFT(R29,FIND(" ",R29&amp;" ")-1)),IFERROR(INDEX($A$4:$A$153,MATCH(R29,$C$4:$C$153,0)),"")))</f>
        <v/>
      </c>
      <c r="AI29" s="14" t="str">
        <f>IF(S29="","",IFERROR(VALUE(LEFT(S29,FIND(" ",S29&amp;" ")-1)),IFERROR(INDEX($A$4:$A$153,MATCH(S29,$C$4:$C$153,0)),"")))</f>
        <v/>
      </c>
      <c r="AJ29" s="14" t="str">
        <f>IF(OR(A29="",B29=""),"",IF(COUNTIFS($B$4:B29,B29,$A$4:A29,"&lt;&gt;")=1,MAX($AJ$3:AJ28)+1,""))</f>
        <v/>
      </c>
      <c r="AK29" s="14">
        <f>IF(OR(A29="",NOT(ISNUMBER(L29))),"",L29^2)</f>
        <v>94.09</v>
      </c>
      <c r="AL29" s="14">
        <f>IF(OR(A29="",NOT(ISNUMBER(L29))),0,(L29-INDEX('計算'!$AE$7:$AG$7,X29))/INDEX('計算'!$AE$8:$AG$8,X29))</f>
        <v>1.36791638951396</v>
      </c>
    </row>
    <row r="30">
      <c r="A30" s="8" t="n">
        <v>2127</v>
      </c>
      <c r="B30" s="8" t="n">
        <v>1</v>
      </c>
      <c r="C30" s="9" t="inlineStr">
        <is>
          <t>宮崎　奏太</t>
        </is>
      </c>
      <c r="D30" s="9" t="inlineStr">
        <is>
          <t>みやざき　かなた</t>
        </is>
      </c>
      <c r="E30" s="8" t="inlineStr">
        <is>
          <t>男</t>
        </is>
      </c>
      <c r="F30" s="8" t="n">
        <v>57</v>
      </c>
      <c r="G30" s="8" t="n">
        <v>48</v>
      </c>
      <c r="H30" s="8" t="n">
        <v>33</v>
      </c>
      <c r="I30" s="8" t="n">
        <v>61</v>
      </c>
      <c r="J30" s="8" t="n">
        <v>40</v>
      </c>
      <c r="K30" s="10">
        <f>IF(COUNT(F30:J30)=0,"",ROUND(AVERAGE(F30:J30),1))</f>
        <v>47.8</v>
      </c>
      <c r="L30" s="11" t="n">
        <v>7.8</v>
      </c>
      <c r="M30" s="8" t="inlineStr">
        <is>
          <t>×</t>
        </is>
      </c>
      <c r="N30" s="8" t="n"/>
      <c r="O30" s="8" t="n"/>
      <c r="P30" s="8" t="n"/>
      <c r="Q30" s="12" t="n"/>
      <c r="R30" s="12" t="n"/>
      <c r="S30" s="12" t="n"/>
      <c r="T30" s="9" t="n"/>
      <c r="U30" s="13">
        <f>IF(A30="","",INDEX('計算'!$Z$2:$Z$151,AF30))</f>
        <v>3</v>
      </c>
      <c r="V30" s="13">
        <f>IF(A30="","",IFERROR(IF(INDEX('②クラス編成'!$E$9:$E$158,MATCH(A30,'②クラス編成'!$D$9:$D$158,0))="","未",INDEX('②クラス編成'!$E$9:$E$158,MATCH(A30,'②クラス編成'!$D$9:$D$158,0))),"未"))</f>
        <v>3</v>
      </c>
      <c r="W30" s="14" t="str">
        <f>IF(A30="","",A30&amp;" "&amp;C30)</f>
        <v>2127 宮崎　奏太</v>
      </c>
      <c r="X30" s="14">
        <f>IF(A30="","",IF(E30="男",1,IF(E30="女",2,3)))</f>
        <v>1</v>
      </c>
      <c r="Y30" s="14">
        <f>IF(OR(M30="〇",M30="○",M30="◯"),1,0)</f>
        <v>0</v>
      </c>
      <c r="Z30" s="14">
        <f>IF(OR(N30="〇",N30="○",N30="◯"),1,0)</f>
        <v>0</v>
      </c>
      <c r="AA30" s="14">
        <f>IF(OR(O30="〇",O30="○",O30="◯"),1,0)</f>
        <v>0</v>
      </c>
      <c r="AB30" s="14">
        <f>IF(OR(P30="〇",P30="○",P30="◯"),1,0)</f>
        <v>0</v>
      </c>
      <c r="AC30" s="14">
        <f>IF(A30="","",IF(AA30=1,1,IF(Y30=1,2,IF(Z30=1,3,IF(AB30=1,4,5)))))</f>
        <v>5</v>
      </c>
      <c r="AD30" s="14">
        <f>IF(A30="","",IF(K30="",'設定'!$C$37,K30))</f>
        <v>47.8</v>
      </c>
      <c r="AE30" s="14">
        <f>IF(A30="","",AC30*10000000-ROUND(ABS((AD30-'設定'!$C$37)/'設定'!$C$38)*10000,0))</f>
        <v>49989032</v>
      </c>
      <c r="AF30" s="14">
        <f>IF(A30="","",COUNTIF($AE$4:$AE$153,"&lt;"&amp;AE30)+COUNTIFS($AE$4:$AE$153,AE30,$A$4:$A$153,"&lt;"&amp;A30)+1)</f>
        <v>52</v>
      </c>
      <c r="AG30" s="14" t="str">
        <f>IF(Q30="","",IFERROR(VALUE(LEFT(Q30,FIND(" ",Q30&amp;" ")-1)),IFERROR(INDEX($A$4:$A$153,MATCH(Q30,$C$4:$C$153,0)),"")))</f>
        <v/>
      </c>
      <c r="AH30" s="14" t="str">
        <f>IF(R30="","",IFERROR(VALUE(LEFT(R30,FIND(" ",R30&amp;" ")-1)),IFERROR(INDEX($A$4:$A$153,MATCH(R30,$C$4:$C$153,0)),"")))</f>
        <v/>
      </c>
      <c r="AI30" s="14" t="str">
        <f>IF(S30="","",IFERROR(VALUE(LEFT(S30,FIND(" ",S30&amp;" ")-1)),IFERROR(INDEX($A$4:$A$153,MATCH(S30,$C$4:$C$153,0)),"")))</f>
        <v/>
      </c>
      <c r="AJ30" s="14" t="str">
        <f>IF(OR(A30="",B30=""),"",IF(COUNTIFS($B$4:B30,B30,$A$4:A30,"&lt;&gt;")=1,MAX($AJ$3:AJ29)+1,""))</f>
        <v/>
      </c>
      <c r="AK30" s="14">
        <f>IF(OR(A30="",NOT(ISNUMBER(L30))),"",L30^2)</f>
        <v>60.84</v>
      </c>
      <c r="AL30" s="14">
        <f>IF(OR(A30="",NOT(ISNUMBER(L30))),0,(L30-INDEX('計算'!$AE$7:$AG$7,X30))/INDEX('計算'!$AE$8:$AG$8,X30))</f>
        <v>0.24866197884243</v>
      </c>
    </row>
    <row r="31">
      <c r="A31" s="8" t="n">
        <v>2128</v>
      </c>
      <c r="B31" s="8" t="n">
        <v>1</v>
      </c>
      <c r="C31" s="9" t="inlineStr">
        <is>
          <t>宮崎　圭吾</t>
        </is>
      </c>
      <c r="D31" s="9" t="inlineStr">
        <is>
          <t>みやざき　けいご</t>
        </is>
      </c>
      <c r="E31" s="8" t="inlineStr">
        <is>
          <t>男</t>
        </is>
      </c>
      <c r="F31" s="8" t="n">
        <v>55</v>
      </c>
      <c r="G31" s="8" t="n">
        <v>44</v>
      </c>
      <c r="H31" s="8" t="n">
        <v>57</v>
      </c>
      <c r="I31" s="8" t="n">
        <v>54</v>
      </c>
      <c r="J31" s="8" t="n">
        <v>53</v>
      </c>
      <c r="K31" s="10">
        <f>IF(COUNT(F31:J31)=0,"",ROUND(AVERAGE(F31:J31),1))</f>
        <v>52.6</v>
      </c>
      <c r="L31" s="11" t="n">
        <v>7.9</v>
      </c>
      <c r="M31" s="8" t="inlineStr">
        <is>
          <t>×</t>
        </is>
      </c>
      <c r="N31" s="8" t="n"/>
      <c r="O31" s="8" t="n"/>
      <c r="P31" s="8" t="n"/>
      <c r="Q31" s="12" t="inlineStr">
        <is>
          <t>2133 山崎　遥</t>
        </is>
      </c>
      <c r="R31" s="12" t="n"/>
      <c r="S31" s="12" t="n"/>
      <c r="T31" s="9" t="n"/>
      <c r="U31" s="13">
        <f>IF(A31="","",INDEX('計算'!$Z$2:$Z$151,AF31))</f>
        <v>3</v>
      </c>
      <c r="V31" s="13">
        <f>IF(A31="","",IFERROR(IF(INDEX('②クラス編成'!$E$9:$E$158,MATCH(A31,'②クラス編成'!$D$9:$D$158,0))="","未",INDEX('②クラス編成'!$E$9:$E$158,MATCH(A31,'②クラス編成'!$D$9:$D$158,0))),"未"))</f>
        <v>3</v>
      </c>
      <c r="W31" s="14" t="str">
        <f>IF(A31="","",A31&amp;" "&amp;C31)</f>
        <v>2128 宮崎　圭吾</v>
      </c>
      <c r="X31" s="14">
        <f>IF(A31="","",IF(E31="男",1,IF(E31="女",2,3)))</f>
        <v>1</v>
      </c>
      <c r="Y31" s="14">
        <f>IF(OR(M31="〇",M31="○",M31="◯"),1,0)</f>
        <v>0</v>
      </c>
      <c r="Z31" s="14">
        <f>IF(OR(N31="〇",N31="○",N31="◯"),1,0)</f>
        <v>0</v>
      </c>
      <c r="AA31" s="14">
        <f>IF(OR(O31="〇",O31="○",O31="◯"),1,0)</f>
        <v>0</v>
      </c>
      <c r="AB31" s="14">
        <f>IF(OR(P31="〇",P31="○",P31="◯"),1,0)</f>
        <v>0</v>
      </c>
      <c r="AC31" s="14">
        <f>IF(A31="","",IF(AA31=1,1,IF(Y31=1,2,IF(Z31=1,3,IF(AB31=1,4,5)))))</f>
        <v>5</v>
      </c>
      <c r="AD31" s="14">
        <f>IF(A31="","",IF(K31="",'設定'!$C$37,K31))</f>
        <v>52.6</v>
      </c>
      <c r="AE31" s="14">
        <f>IF(A31="","",AC31*10000000-ROUND(ABS((AD31-'設定'!$C$37)/'設定'!$C$38)*10000,0))</f>
        <v>49992616</v>
      </c>
      <c r="AF31" s="14">
        <f>IF(A31="","",COUNTIF($AE$4:$AE$153,"&lt;"&amp;AE31)+COUNTIFS($AE$4:$AE$153,AE31,$A$4:$A$153,"&lt;"&amp;A31)+1)</f>
        <v>72</v>
      </c>
      <c r="AG31" s="14">
        <f>IF(Q31="","",IFERROR(VALUE(LEFT(Q31,FIND(" ",Q31&amp;" ")-1)),IFERROR(INDEX($A$4:$A$153,MATCH(Q31,$C$4:$C$153,0)),"")))</f>
        <v>2133</v>
      </c>
      <c r="AH31" s="14" t="str">
        <f>IF(R31="","",IFERROR(VALUE(LEFT(R31,FIND(" ",R31&amp;" ")-1)),IFERROR(INDEX($A$4:$A$153,MATCH(R31,$C$4:$C$153,0)),"")))</f>
        <v/>
      </c>
      <c r="AI31" s="14" t="str">
        <f>IF(S31="","",IFERROR(VALUE(LEFT(S31,FIND(" ",S31&amp;" ")-1)),IFERROR(INDEX($A$4:$A$153,MATCH(S31,$C$4:$C$153,0)),"")))</f>
        <v/>
      </c>
      <c r="AJ31" s="14" t="str">
        <f>IF(OR(A31="",B31=""),"",IF(COUNTIFS($B$4:B31,B31,$A$4:A31,"&lt;&gt;")=1,MAX($AJ$3:AJ30)+1,""))</f>
        <v/>
      </c>
      <c r="AK31" s="14">
        <f>IF(OR(A31="",NOT(ISNUMBER(L31))),"",L31^2)</f>
        <v>62.41</v>
      </c>
      <c r="AL31" s="14">
        <f>IF(OR(A31="",NOT(ISNUMBER(L31))),0,(L31-INDEX('計算'!$AE$7:$AG$7,X31))/INDEX('計算'!$AE$8:$AG$8,X31))</f>
        <v>0.476250908630418</v>
      </c>
    </row>
    <row r="32">
      <c r="A32" s="8" t="n">
        <v>2129</v>
      </c>
      <c r="B32" s="8" t="n">
        <v>1</v>
      </c>
      <c r="C32" s="9" t="inlineStr">
        <is>
          <t>宮崎　直樹</t>
        </is>
      </c>
      <c r="D32" s="9" t="inlineStr">
        <is>
          <t>みやざき　なおき</t>
        </is>
      </c>
      <c r="E32" s="8" t="inlineStr">
        <is>
          <t>男</t>
        </is>
      </c>
      <c r="F32" s="8" t="n">
        <v>47</v>
      </c>
      <c r="G32" s="8" t="n">
        <v>43</v>
      </c>
      <c r="H32" s="8" t="n">
        <v>50</v>
      </c>
      <c r="I32" s="8" t="n">
        <v>59</v>
      </c>
      <c r="J32" s="8" t="n">
        <v>65</v>
      </c>
      <c r="K32" s="10">
        <f>IF(COUNT(F32:J32)=0,"",ROUND(AVERAGE(F32:J32),1))</f>
        <v>52.8</v>
      </c>
      <c r="L32" s="11" t="n">
        <v>7.5</v>
      </c>
      <c r="M32" s="8" t="inlineStr">
        <is>
          <t>×</t>
        </is>
      </c>
      <c r="N32" s="8" t="n"/>
      <c r="O32" s="8" t="n"/>
      <c r="P32" s="8" t="n"/>
      <c r="Q32" s="12" t="n"/>
      <c r="R32" s="12" t="n"/>
      <c r="S32" s="12" t="n"/>
      <c r="T32" s="9" t="inlineStr">
        <is>
          <t>生徒会</t>
        </is>
      </c>
      <c r="U32" s="13">
        <f>IF(A32="","",INDEX('計算'!$Z$2:$Z$151,AF32))</f>
        <v>2</v>
      </c>
      <c r="V32" s="13">
        <f>IF(A32="","",IFERROR(IF(INDEX('②クラス編成'!$E$9:$E$158,MATCH(A32,'②クラス編成'!$D$9:$D$158,0))="","未",INDEX('②クラス編成'!$E$9:$E$158,MATCH(A32,'②クラス編成'!$D$9:$D$158,0))),"未"))</f>
        <v>2</v>
      </c>
      <c r="W32" s="14" t="str">
        <f>IF(A32="","",A32&amp;" "&amp;C32)</f>
        <v>2129 宮崎　直樹</v>
      </c>
      <c r="X32" s="14">
        <f>IF(A32="","",IF(E32="男",1,IF(E32="女",2,3)))</f>
        <v>1</v>
      </c>
      <c r="Y32" s="14">
        <f>IF(OR(M32="〇",M32="○",M32="◯"),1,0)</f>
        <v>0</v>
      </c>
      <c r="Z32" s="14">
        <f>IF(OR(N32="〇",N32="○",N32="◯"),1,0)</f>
        <v>0</v>
      </c>
      <c r="AA32" s="14">
        <f>IF(OR(O32="〇",O32="○",O32="◯"),1,0)</f>
        <v>0</v>
      </c>
      <c r="AB32" s="14">
        <f>IF(OR(P32="〇",P32="○",P32="◯"),1,0)</f>
        <v>0</v>
      </c>
      <c r="AC32" s="14">
        <f>IF(A32="","",IF(AA32=1,1,IF(Y32=1,2,IF(Z32=1,3,IF(AB32=1,4,5)))))</f>
        <v>5</v>
      </c>
      <c r="AD32" s="14">
        <f>IF(A32="","",IF(K32="",'設定'!$C$37,K32))</f>
        <v>52.8</v>
      </c>
      <c r="AE32" s="14">
        <f>IF(A32="","",AC32*10000000-ROUND(ABS((AD32-'設定'!$C$37)/'設定'!$C$38)*10000,0))</f>
        <v>49992766</v>
      </c>
      <c r="AF32" s="14">
        <f>IF(A32="","",COUNTIF($AE$4:$AE$153,"&lt;"&amp;AE32)+COUNTIFS($AE$4:$AE$153,AE32,$A$4:$A$153,"&lt;"&amp;A32)+1)</f>
        <v>73</v>
      </c>
      <c r="AG32" s="14" t="str">
        <f>IF(Q32="","",IFERROR(VALUE(LEFT(Q32,FIND(" ",Q32&amp;" ")-1)),IFERROR(INDEX($A$4:$A$153,MATCH(Q32,$C$4:$C$153,0)),"")))</f>
        <v/>
      </c>
      <c r="AH32" s="14" t="str">
        <f>IF(R32="","",IFERROR(VALUE(LEFT(R32,FIND(" ",R32&amp;" ")-1)),IFERROR(INDEX($A$4:$A$153,MATCH(R32,$C$4:$C$153,0)),"")))</f>
        <v/>
      </c>
      <c r="AI32" s="14" t="str">
        <f>IF(S32="","",IFERROR(VALUE(LEFT(S32,FIND(" ",S32&amp;" ")-1)),IFERROR(INDEX($A$4:$A$153,MATCH(S32,$C$4:$C$153,0)),"")))</f>
        <v/>
      </c>
      <c r="AJ32" s="14" t="str">
        <f>IF(OR(A32="",B32=""),"",IF(COUNTIFS($B$4:B32,B32,$A$4:A32,"&lt;&gt;")=1,MAX($AJ$3:AJ31)+1,""))</f>
        <v/>
      </c>
      <c r="AK32" s="14">
        <f>IF(OR(A32="",NOT(ISNUMBER(L32))),"",L32^2)</f>
        <v>56.25</v>
      </c>
      <c r="AL32" s="14">
        <f>IF(OR(A32="",NOT(ISNUMBER(L32))),0,(L32-INDEX('計算'!$AE$7:$AG$7,X32))/INDEX('計算'!$AE$8:$AG$8,X32))</f>
        <v>-0.43410481052153</v>
      </c>
    </row>
    <row r="33">
      <c r="A33" s="8" t="n">
        <v>2130</v>
      </c>
      <c r="B33" s="8" t="n">
        <v>1</v>
      </c>
      <c r="C33" s="9" t="inlineStr">
        <is>
          <t>森　愛莉</t>
        </is>
      </c>
      <c r="D33" s="9" t="inlineStr">
        <is>
          <t>もり　あいり</t>
        </is>
      </c>
      <c r="E33" s="8" t="inlineStr">
        <is>
          <t>女</t>
        </is>
      </c>
      <c r="F33" s="8" t="n">
        <v>66</v>
      </c>
      <c r="G33" s="8" t="n">
        <v>53</v>
      </c>
      <c r="H33" s="8" t="n">
        <v>63</v>
      </c>
      <c r="I33" s="8" t="n">
        <v>72</v>
      </c>
      <c r="J33" s="8" t="n">
        <v>63</v>
      </c>
      <c r="K33" s="10">
        <f>IF(COUNT(F33:J33)=0,"",ROUND(AVERAGE(F33:J33),1))</f>
        <v>63.4</v>
      </c>
      <c r="L33" s="11" t="n">
        <v>8.6</v>
      </c>
      <c r="M33" s="8" t="inlineStr">
        <is>
          <t>×</t>
        </is>
      </c>
      <c r="N33" s="8" t="n"/>
      <c r="O33" s="8" t="n"/>
      <c r="P33" s="8" t="n"/>
      <c r="Q33" s="12" t="inlineStr">
        <is>
          <t>2123 原田　杏</t>
        </is>
      </c>
      <c r="R33" s="12" t="n"/>
      <c r="S33" s="12" t="n"/>
      <c r="T33" s="9" t="n"/>
      <c r="U33" s="13">
        <f>IF(A33="","",INDEX('計算'!$Z$2:$Z$151,AF33))</f>
        <v>3</v>
      </c>
      <c r="V33" s="13">
        <f>IF(A33="","",IFERROR(IF(INDEX('②クラス編成'!$E$9:$E$158,MATCH(A33,'②クラス編成'!$D$9:$D$158,0))="","未",INDEX('②クラス編成'!$E$9:$E$158,MATCH(A33,'②クラス編成'!$D$9:$D$158,0))),"未"))</f>
        <v>3</v>
      </c>
      <c r="W33" s="14" t="str">
        <f>IF(A33="","",A33&amp;" "&amp;C33)</f>
        <v>2130 森　愛莉</v>
      </c>
      <c r="X33" s="14">
        <f>IF(A33="","",IF(E33="男",1,IF(E33="女",2,3)))</f>
        <v>2</v>
      </c>
      <c r="Y33" s="14">
        <f>IF(OR(M33="〇",M33="○",M33="◯"),1,0)</f>
        <v>0</v>
      </c>
      <c r="Z33" s="14">
        <f>IF(OR(N33="〇",N33="○",N33="◯"),1,0)</f>
        <v>0</v>
      </c>
      <c r="AA33" s="14">
        <f>IF(OR(O33="〇",O33="○",O33="◯"),1,0)</f>
        <v>0</v>
      </c>
      <c r="AB33" s="14">
        <f>IF(OR(P33="〇",P33="○",P33="◯"),1,0)</f>
        <v>0</v>
      </c>
      <c r="AC33" s="14">
        <f>IF(A33="","",IF(AA33=1,1,IF(Y33=1,2,IF(Z33=1,3,IF(AB33=1,4,5)))))</f>
        <v>5</v>
      </c>
      <c r="AD33" s="14">
        <f>IF(A33="","",IF(K33="",'設定'!$C$37,K33))</f>
        <v>63.4</v>
      </c>
      <c r="AE33" s="14">
        <f>IF(A33="","",AC33*10000000-ROUND(ABS((AD33-'設定'!$C$37)/'設定'!$C$38)*10000,0))</f>
        <v>49999319</v>
      </c>
      <c r="AF33" s="14">
        <f>IF(A33="","",COUNTIF($AE$4:$AE$153,"&lt;"&amp;AE33)+COUNTIFS($AE$4:$AE$153,AE33,$A$4:$A$153,"&lt;"&amp;A33)+1)</f>
        <v>100</v>
      </c>
      <c r="AG33" s="14">
        <f>IF(Q33="","",IFERROR(VALUE(LEFT(Q33,FIND(" ",Q33&amp;" ")-1)),IFERROR(INDEX($A$4:$A$153,MATCH(Q33,$C$4:$C$153,0)),"")))</f>
        <v>2123</v>
      </c>
      <c r="AH33" s="14" t="str">
        <f>IF(R33="","",IFERROR(VALUE(LEFT(R33,FIND(" ",R33&amp;" ")-1)),IFERROR(INDEX($A$4:$A$153,MATCH(R33,$C$4:$C$153,0)),"")))</f>
        <v/>
      </c>
      <c r="AI33" s="14" t="str">
        <f>IF(S33="","",IFERROR(VALUE(LEFT(S33,FIND(" ",S33&amp;" ")-1)),IFERROR(INDEX($A$4:$A$153,MATCH(S33,$C$4:$C$153,0)),"")))</f>
        <v/>
      </c>
      <c r="AJ33" s="14" t="str">
        <f>IF(OR(A33="",B33=""),"",IF(COUNTIFS($B$4:B33,B33,$A$4:A33,"&lt;&gt;")=1,MAX($AJ$3:AJ32)+1,""))</f>
        <v/>
      </c>
      <c r="AK33" s="14">
        <f>IF(OR(A33="",NOT(ISNUMBER(L33))),"",L33^2)</f>
        <v>73.96</v>
      </c>
      <c r="AL33" s="14">
        <f>IF(OR(A33="",NOT(ISNUMBER(L33))),0,(L33-INDEX('計算'!$AE$7:$AG$7,X33))/INDEX('計算'!$AE$8:$AG$8,X33))</f>
        <v>-0.433494630479777</v>
      </c>
    </row>
    <row r="34">
      <c r="A34" s="8" t="n">
        <v>2131</v>
      </c>
      <c r="B34" s="8" t="n">
        <v>1</v>
      </c>
      <c r="C34" s="9" t="inlineStr">
        <is>
          <t>森田　杏</t>
        </is>
      </c>
      <c r="D34" s="9" t="inlineStr">
        <is>
          <t>もりた　あん</t>
        </is>
      </c>
      <c r="E34" s="8" t="inlineStr">
        <is>
          <t>女</t>
        </is>
      </c>
      <c r="F34" s="8" t="n">
        <v>55</v>
      </c>
      <c r="G34" s="8" t="n">
        <v>55</v>
      </c>
      <c r="H34" s="8" t="n">
        <v>62</v>
      </c>
      <c r="I34" s="8" t="n">
        <v>54</v>
      </c>
      <c r="J34" s="8" t="n">
        <v>85</v>
      </c>
      <c r="K34" s="10">
        <f>IF(COUNT(F34:J34)=0,"",ROUND(AVERAGE(F34:J34),1))</f>
        <v>62.2</v>
      </c>
      <c r="L34" s="11" t="n">
        <v>9.6</v>
      </c>
      <c r="M34" s="8" t="inlineStr">
        <is>
          <t>×</t>
        </is>
      </c>
      <c r="N34" s="8" t="n"/>
      <c r="O34" s="8" t="n"/>
      <c r="P34" s="8" t="n"/>
      <c r="Q34" s="12" t="n"/>
      <c r="R34" s="12" t="n"/>
      <c r="S34" s="12" t="n"/>
      <c r="T34" s="9" t="n"/>
      <c r="U34" s="13">
        <f>IF(A34="","",INDEX('計算'!$Z$2:$Z$151,AF34))</f>
        <v>1</v>
      </c>
      <c r="V34" s="13">
        <f>IF(A34="","",IFERROR(IF(INDEX('②クラス編成'!$E$9:$E$158,MATCH(A34,'②クラス編成'!$D$9:$D$158,0))="","未",INDEX('②クラス編成'!$E$9:$E$158,MATCH(A34,'②クラス編成'!$D$9:$D$158,0))),"未"))</f>
        <v>1</v>
      </c>
      <c r="W34" s="14" t="str">
        <f>IF(A34="","",A34&amp;" "&amp;C34)</f>
        <v>2131 森田　杏</v>
      </c>
      <c r="X34" s="14">
        <f>IF(A34="","",IF(E34="男",1,IF(E34="女",2,3)))</f>
        <v>2</v>
      </c>
      <c r="Y34" s="14">
        <f>IF(OR(M34="〇",M34="○",M34="◯"),1,0)</f>
        <v>0</v>
      </c>
      <c r="Z34" s="14">
        <f>IF(OR(N34="〇",N34="○",N34="◯"),1,0)</f>
        <v>0</v>
      </c>
      <c r="AA34" s="14">
        <f>IF(OR(O34="〇",O34="○",O34="◯"),1,0)</f>
        <v>0</v>
      </c>
      <c r="AB34" s="14">
        <f>IF(OR(P34="〇",P34="○",P34="◯"),1,0)</f>
        <v>0</v>
      </c>
      <c r="AC34" s="14">
        <f>IF(A34="","",IF(AA34=1,1,IF(Y34=1,2,IF(Z34=1,3,IF(AB34=1,4,5)))))</f>
        <v>5</v>
      </c>
      <c r="AD34" s="14">
        <f>IF(A34="","",IF(K34="",'設定'!$C$37,K34))</f>
        <v>62.2</v>
      </c>
      <c r="AE34" s="14">
        <f>IF(A34="","",AC34*10000000-ROUND(ABS((AD34-'設定'!$C$37)/'設定'!$C$38)*10000,0))</f>
        <v>49999785</v>
      </c>
      <c r="AF34" s="14">
        <f>IF(A34="","",COUNTIF($AE$4:$AE$153,"&lt;"&amp;AE34)+COUNTIFS($AE$4:$AE$153,AE34,$A$4:$A$153,"&lt;"&amp;A34)+1)</f>
        <v>105</v>
      </c>
      <c r="AG34" s="14" t="str">
        <f>IF(Q34="","",IFERROR(VALUE(LEFT(Q34,FIND(" ",Q34&amp;" ")-1)),IFERROR(INDEX($A$4:$A$153,MATCH(Q34,$C$4:$C$153,0)),"")))</f>
        <v/>
      </c>
      <c r="AH34" s="14" t="str">
        <f>IF(R34="","",IFERROR(VALUE(LEFT(R34,FIND(" ",R34&amp;" ")-1)),IFERROR(INDEX($A$4:$A$153,MATCH(R34,$C$4:$C$153,0)),"")))</f>
        <v/>
      </c>
      <c r="AI34" s="14" t="str">
        <f>IF(S34="","",IFERROR(VALUE(LEFT(S34,FIND(" ",S34&amp;" ")-1)),IFERROR(INDEX($A$4:$A$153,MATCH(S34,$C$4:$C$153,0)),"")))</f>
        <v/>
      </c>
      <c r="AJ34" s="14" t="str">
        <f>IF(OR(A34="",B34=""),"",IF(COUNTIFS($B$4:B34,B34,$A$4:A34,"&lt;&gt;")=1,MAX($AJ$3:AJ33)+1,""))</f>
        <v/>
      </c>
      <c r="AK34" s="14">
        <f>IF(OR(A34="",NOT(ISNUMBER(L34))),"",L34^2)</f>
        <v>92.16</v>
      </c>
      <c r="AL34" s="14">
        <f>IF(OR(A34="",NOT(ISNUMBER(L34))),0,(L34-INDEX('計算'!$AE$7:$AG$7,X34))/INDEX('計算'!$AE$8:$AG$8,X34))</f>
        <v>1.20415175133271</v>
      </c>
    </row>
    <row r="35">
      <c r="A35" s="8" t="n">
        <v>2132</v>
      </c>
      <c r="B35" s="8" t="n">
        <v>1</v>
      </c>
      <c r="C35" s="9" t="inlineStr">
        <is>
          <t>森田　心春</t>
        </is>
      </c>
      <c r="D35" s="9" t="inlineStr">
        <is>
          <t>もりた　こはる</t>
        </is>
      </c>
      <c r="E35" s="8" t="inlineStr">
        <is>
          <t>女</t>
        </is>
      </c>
      <c r="F35" s="8" t="n">
        <v>66</v>
      </c>
      <c r="G35" s="8" t="n">
        <v>76</v>
      </c>
      <c r="H35" s="8" t="n">
        <v>69</v>
      </c>
      <c r="I35" s="8" t="n">
        <v>74</v>
      </c>
      <c r="J35" s="8" t="n">
        <v>79</v>
      </c>
      <c r="K35" s="10">
        <f>IF(COUNT(F35:J35)=0,"",ROUND(AVERAGE(F35:J35),1))</f>
        <v>72.8</v>
      </c>
      <c r="L35" s="11" t="n">
        <v>8</v>
      </c>
      <c r="M35" s="8" t="inlineStr">
        <is>
          <t>×</t>
        </is>
      </c>
      <c r="N35" s="8" t="inlineStr">
        <is>
          <t>〇</t>
        </is>
      </c>
      <c r="O35" s="8" t="n"/>
      <c r="P35" s="8" t="n"/>
      <c r="Q35" s="12" t="n"/>
      <c r="R35" s="12" t="n"/>
      <c r="S35" s="12" t="n"/>
      <c r="T35" s="9" t="n"/>
      <c r="U35" s="13">
        <f>IF(A35="","",INDEX('計算'!$Z$2:$Z$151,AF35))</f>
        <v>2</v>
      </c>
      <c r="V35" s="13">
        <f>IF(A35="","",IFERROR(IF(INDEX('②クラス編成'!$E$9:$E$158,MATCH(A35,'②クラス編成'!$D$9:$D$158,0))="","未",INDEX('②クラス編成'!$E$9:$E$158,MATCH(A35,'②クラス編成'!$D$9:$D$158,0))),"未"))</f>
        <v>2</v>
      </c>
      <c r="W35" s="14" t="str">
        <f>IF(A35="","",A35&amp;" "&amp;C35)</f>
        <v>2132 森田　心春</v>
      </c>
      <c r="X35" s="14">
        <f>IF(A35="","",IF(E35="男",1,IF(E35="女",2,3)))</f>
        <v>2</v>
      </c>
      <c r="Y35" s="14">
        <f>IF(OR(M35="〇",M35="○",M35="◯"),1,0)</f>
        <v>0</v>
      </c>
      <c r="Z35" s="14">
        <f>IF(OR(N35="〇",N35="○",N35="◯"),1,0)</f>
        <v>1</v>
      </c>
      <c r="AA35" s="14">
        <f>IF(OR(O35="〇",O35="○",O35="◯"),1,0)</f>
        <v>0</v>
      </c>
      <c r="AB35" s="14">
        <f>IF(OR(P35="〇",P35="○",P35="◯"),1,0)</f>
        <v>0</v>
      </c>
      <c r="AC35" s="14">
        <f>IF(A35="","",IF(AA35=1,1,IF(Y35=1,2,IF(Z35=1,3,IF(AB35=1,4,5)))))</f>
        <v>3</v>
      </c>
      <c r="AD35" s="14">
        <f>IF(A35="","",IF(K35="",'設定'!$C$37,K35))</f>
        <v>72.8</v>
      </c>
      <c r="AE35" s="14">
        <f>IF(A35="","",AC35*10000000-ROUND(ABS((AD35-'設定'!$C$37)/'設定'!$C$38)*10000,0))</f>
        <v>29992299</v>
      </c>
      <c r="AF35" s="14">
        <f>IF(A35="","",COUNTIF($AE$4:$AE$153,"&lt;"&amp;AE35)+COUNTIFS($AE$4:$AE$153,AE35,$A$4:$A$153,"&lt;"&amp;A35)+1)</f>
        <v>21</v>
      </c>
      <c r="AG35" s="14" t="str">
        <f>IF(Q35="","",IFERROR(VALUE(LEFT(Q35,FIND(" ",Q35&amp;" ")-1)),IFERROR(INDEX($A$4:$A$153,MATCH(Q35,$C$4:$C$153,0)),"")))</f>
        <v/>
      </c>
      <c r="AH35" s="14" t="str">
        <f>IF(R35="","",IFERROR(VALUE(LEFT(R35,FIND(" ",R35&amp;" ")-1)),IFERROR(INDEX($A$4:$A$153,MATCH(R35,$C$4:$C$153,0)),"")))</f>
        <v/>
      </c>
      <c r="AI35" s="14" t="str">
        <f>IF(S35="","",IFERROR(VALUE(LEFT(S35,FIND(" ",S35&amp;" ")-1)),IFERROR(INDEX($A$4:$A$153,MATCH(S35,$C$4:$C$153,0)),"")))</f>
        <v/>
      </c>
      <c r="AJ35" s="14" t="str">
        <f>IF(OR(A35="",B35=""),"",IF(COUNTIFS($B$4:B35,B35,$A$4:A35,"&lt;&gt;")=1,MAX($AJ$3:AJ34)+1,""))</f>
        <v/>
      </c>
      <c r="AK35" s="14">
        <f>IF(OR(A35="",NOT(ISNUMBER(L35))),"",L35^2)</f>
        <v>64</v>
      </c>
      <c r="AL35" s="14">
        <f>IF(OR(A35="",NOT(ISNUMBER(L35))),0,(L35-INDEX('計算'!$AE$7:$AG$7,X35))/INDEX('計算'!$AE$8:$AG$8,X35))</f>
        <v>-1.41608245956727</v>
      </c>
    </row>
    <row r="36">
      <c r="A36" s="8" t="n">
        <v>2133</v>
      </c>
      <c r="B36" s="8" t="n">
        <v>1</v>
      </c>
      <c r="C36" s="9" t="inlineStr">
        <is>
          <t>山崎　遥</t>
        </is>
      </c>
      <c r="D36" s="9" t="inlineStr">
        <is>
          <t>やまざき　はるか</t>
        </is>
      </c>
      <c r="E36" s="8" t="inlineStr">
        <is>
          <t>女</t>
        </is>
      </c>
      <c r="F36" s="8" t="n">
        <v>41</v>
      </c>
      <c r="G36" s="8" t="n">
        <v>50</v>
      </c>
      <c r="H36" s="8" t="n">
        <v>45</v>
      </c>
      <c r="I36" s="8" t="n">
        <v>61</v>
      </c>
      <c r="J36" s="8" t="n">
        <v>50</v>
      </c>
      <c r="K36" s="10">
        <f>IF(COUNT(F36:J36)=0,"",ROUND(AVERAGE(F36:J36),1))</f>
        <v>49.4</v>
      </c>
      <c r="L36" s="11" t="n">
        <v>8.699999999999999</v>
      </c>
      <c r="M36" s="8" t="inlineStr">
        <is>
          <t>×</t>
        </is>
      </c>
      <c r="N36" s="8" t="n"/>
      <c r="O36" s="8" t="n"/>
      <c r="P36" s="8" t="n"/>
      <c r="Q36" s="12" t="n"/>
      <c r="R36" s="12" t="n"/>
      <c r="S36" s="12" t="n"/>
      <c r="T36" s="9" t="n"/>
      <c r="U36" s="13">
        <f>IF(A36="","",INDEX('計算'!$Z$2:$Z$151,AF36))</f>
        <v>2</v>
      </c>
      <c r="V36" s="13">
        <f>IF(A36="","",IFERROR(IF(INDEX('②クラス編成'!$E$9:$E$158,MATCH(A36,'②クラス編成'!$D$9:$D$158,0))="","未",INDEX('②クラス編成'!$E$9:$E$158,MATCH(A36,'②クラス編成'!$D$9:$D$158,0))),"未"))</f>
        <v>2</v>
      </c>
      <c r="W36" s="14" t="str">
        <f>IF(A36="","",A36&amp;" "&amp;C36)</f>
        <v>2133 山崎　遥</v>
      </c>
      <c r="X36" s="14">
        <f>IF(A36="","",IF(E36="男",1,IF(E36="女",2,3)))</f>
        <v>2</v>
      </c>
      <c r="Y36" s="14">
        <f>IF(OR(M36="〇",M36="○",M36="◯"),1,0)</f>
        <v>0</v>
      </c>
      <c r="Z36" s="14">
        <f>IF(OR(N36="〇",N36="○",N36="◯"),1,0)</f>
        <v>0</v>
      </c>
      <c r="AA36" s="14">
        <f>IF(OR(O36="〇",O36="○",O36="◯"),1,0)</f>
        <v>0</v>
      </c>
      <c r="AB36" s="14">
        <f>IF(OR(P36="〇",P36="○",P36="◯"),1,0)</f>
        <v>0</v>
      </c>
      <c r="AC36" s="14">
        <f>IF(A36="","",IF(AA36=1,1,IF(Y36=1,2,IF(Z36=1,3,IF(AB36=1,4,5)))))</f>
        <v>5</v>
      </c>
      <c r="AD36" s="14">
        <f>IF(A36="","",IF(K36="",'設定'!$C$37,K36))</f>
        <v>49.4</v>
      </c>
      <c r="AE36" s="14">
        <f>IF(A36="","",AC36*10000000-ROUND(ABS((AD36-'設定'!$C$37)/'設定'!$C$38)*10000,0))</f>
        <v>49990227</v>
      </c>
      <c r="AF36" s="14">
        <f>IF(A36="","",COUNTIF($AE$4:$AE$153,"&lt;"&amp;AE36)+COUNTIFS($AE$4:$AE$153,AE36,$A$4:$A$153,"&lt;"&amp;A36)+1)</f>
        <v>58</v>
      </c>
      <c r="AG36" s="14" t="str">
        <f>IF(Q36="","",IFERROR(VALUE(LEFT(Q36,FIND(" ",Q36&amp;" ")-1)),IFERROR(INDEX($A$4:$A$153,MATCH(Q36,$C$4:$C$153,0)),"")))</f>
        <v/>
      </c>
      <c r="AH36" s="14" t="str">
        <f>IF(R36="","",IFERROR(VALUE(LEFT(R36,FIND(" ",R36&amp;" ")-1)),IFERROR(INDEX($A$4:$A$153,MATCH(R36,$C$4:$C$153,0)),"")))</f>
        <v/>
      </c>
      <c r="AI36" s="14" t="str">
        <f>IF(S36="","",IFERROR(VALUE(LEFT(S36,FIND(" ",S36&amp;" ")-1)),IFERROR(INDEX($A$4:$A$153,MATCH(S36,$C$4:$C$153,0)),"")))</f>
        <v/>
      </c>
      <c r="AJ36" s="14" t="str">
        <f>IF(OR(A36="",B36=""),"",IF(COUNTIFS($B$4:B36,B36,$A$4:A36,"&lt;&gt;")=1,MAX($AJ$3:AJ35)+1,""))</f>
        <v/>
      </c>
      <c r="AK36" s="14">
        <f>IF(OR(A36="",NOT(ISNUMBER(L36))),"",L36^2)</f>
        <v>75.69</v>
      </c>
      <c r="AL36" s="14">
        <f>IF(OR(A36="",NOT(ISNUMBER(L36))),0,(L36-INDEX('計算'!$AE$7:$AG$7,X36))/INDEX('計算'!$AE$8:$AG$8,X36))</f>
        <v>-0.269729992298529</v>
      </c>
    </row>
    <row r="37">
      <c r="A37" s="8" t="n">
        <v>2134</v>
      </c>
      <c r="B37" s="8" t="n">
        <v>1</v>
      </c>
      <c r="C37" s="9" t="inlineStr">
        <is>
          <t>山下　律</t>
        </is>
      </c>
      <c r="D37" s="9" t="inlineStr">
        <is>
          <t>やました　りつ</t>
        </is>
      </c>
      <c r="E37" s="8" t="inlineStr">
        <is>
          <t>男</t>
        </is>
      </c>
      <c r="F37" s="8" t="n">
        <v>87</v>
      </c>
      <c r="G37" s="8" t="n">
        <v>94</v>
      </c>
      <c r="H37" s="8" t="n">
        <v>74</v>
      </c>
      <c r="I37" s="8" t="n">
        <v>87</v>
      </c>
      <c r="J37" s="8" t="n">
        <v>76</v>
      </c>
      <c r="K37" s="10">
        <f>IF(COUNT(F37:J37)=0,"",ROUND(AVERAGE(F37:J37),1))</f>
        <v>83.6</v>
      </c>
      <c r="L37" s="11" t="n">
        <v>7</v>
      </c>
      <c r="M37" s="8" t="inlineStr">
        <is>
          <t>〇</t>
        </is>
      </c>
      <c r="N37" s="8" t="n"/>
      <c r="O37" s="8" t="n"/>
      <c r="P37" s="8" t="n"/>
      <c r="Q37" s="12" t="n"/>
      <c r="R37" s="12" t="n"/>
      <c r="S37" s="12" t="n"/>
      <c r="T37" s="9" t="n"/>
      <c r="U37" s="13">
        <f>IF(A37="","",INDEX('計算'!$Z$2:$Z$151,AF37))</f>
        <v>2</v>
      </c>
      <c r="V37" s="13">
        <f>IF(A37="","",IFERROR(IF(INDEX('②クラス編成'!$E$9:$E$158,MATCH(A37,'②クラス編成'!$D$9:$D$158,0))="","未",INDEX('②クラス編成'!$E$9:$E$158,MATCH(A37,'②クラス編成'!$D$9:$D$158,0))),"未"))</f>
        <v>2</v>
      </c>
      <c r="W37" s="14" t="str">
        <f>IF(A37="","",A37&amp;" "&amp;C37)</f>
        <v>2134 山下　律</v>
      </c>
      <c r="X37" s="14">
        <f>IF(A37="","",IF(E37="男",1,IF(E37="女",2,3)))</f>
        <v>1</v>
      </c>
      <c r="Y37" s="14">
        <f>IF(OR(M37="〇",M37="○",M37="◯"),1,0)</f>
        <v>1</v>
      </c>
      <c r="Z37" s="14">
        <f>IF(OR(N37="〇",N37="○",N37="◯"),1,0)</f>
        <v>0</v>
      </c>
      <c r="AA37" s="14">
        <f>IF(OR(O37="〇",O37="○",O37="◯"),1,0)</f>
        <v>0</v>
      </c>
      <c r="AB37" s="14">
        <f>IF(OR(P37="〇",P37="○",P37="◯"),1,0)</f>
        <v>0</v>
      </c>
      <c r="AC37" s="14">
        <f>IF(A37="","",IF(AA37=1,1,IF(Y37=1,2,IF(Z37=1,3,IF(AB37=1,4,5)))))</f>
        <v>2</v>
      </c>
      <c r="AD37" s="14">
        <f>IF(A37="","",IF(K37="",'設定'!$C$37,K37))</f>
        <v>83.6</v>
      </c>
      <c r="AE37" s="14">
        <f>IF(A37="","",AC37*10000000-ROUND(ABS((AD37-'設定'!$C$37)/'設定'!$C$38)*10000,0))</f>
        <v>19984234</v>
      </c>
      <c r="AF37" s="14">
        <f>IF(A37="","",COUNTIF($AE$4:$AE$153,"&lt;"&amp;AE37)+COUNTIFS($AE$4:$AE$153,AE37,$A$4:$A$153,"&lt;"&amp;A37)+1)</f>
        <v>8</v>
      </c>
      <c r="AG37" s="14" t="str">
        <f>IF(Q37="","",IFERROR(VALUE(LEFT(Q37,FIND(" ",Q37&amp;" ")-1)),IFERROR(INDEX($A$4:$A$153,MATCH(Q37,$C$4:$C$153,0)),"")))</f>
        <v/>
      </c>
      <c r="AH37" s="14" t="str">
        <f>IF(R37="","",IFERROR(VALUE(LEFT(R37,FIND(" ",R37&amp;" ")-1)),IFERROR(INDEX($A$4:$A$153,MATCH(R37,$C$4:$C$153,0)),"")))</f>
        <v/>
      </c>
      <c r="AI37" s="14" t="str">
        <f>IF(S37="","",IFERROR(VALUE(LEFT(S37,FIND(" ",S37&amp;" ")-1)),IFERROR(INDEX($A$4:$A$153,MATCH(S37,$C$4:$C$153,0)),"")))</f>
        <v/>
      </c>
      <c r="AJ37" s="14" t="str">
        <f>IF(OR(A37="",B37=""),"",IF(COUNTIFS($B$4:B37,B37,$A$4:A37,"&lt;&gt;")=1,MAX($AJ$3:AJ36)+1,""))</f>
        <v/>
      </c>
      <c r="AK37" s="14">
        <f>IF(OR(A37="",NOT(ISNUMBER(L37))),"",L37^2)</f>
        <v>49</v>
      </c>
      <c r="AL37" s="14">
        <f>IF(OR(A37="",NOT(ISNUMBER(L37))),0,(L37-INDEX('計算'!$AE$7:$AG$7,X37))/INDEX('計算'!$AE$8:$AG$8,X37))</f>
        <v>-1.57204945946146</v>
      </c>
    </row>
    <row r="38">
      <c r="A38" s="8" t="n">
        <v>2135</v>
      </c>
      <c r="B38" s="8" t="n">
        <v>1</v>
      </c>
      <c r="C38" s="9" t="inlineStr">
        <is>
          <t>渡辺　圭吾</t>
        </is>
      </c>
      <c r="D38" s="9" t="inlineStr">
        <is>
          <t>わたなべ　けいご</t>
        </is>
      </c>
      <c r="E38" s="8" t="inlineStr">
        <is>
          <t>男</t>
        </is>
      </c>
      <c r="F38" s="8" t="n">
        <v>49</v>
      </c>
      <c r="G38" s="8" t="n">
        <v>52</v>
      </c>
      <c r="H38" s="8" t="n">
        <v>43</v>
      </c>
      <c r="I38" s="8" t="n">
        <v>65</v>
      </c>
      <c r="J38" s="8" t="n">
        <v>52</v>
      </c>
      <c r="K38" s="10">
        <f>IF(COUNT(F38:J38)=0,"",ROUND(AVERAGE(F38:J38),1))</f>
        <v>52.2</v>
      </c>
      <c r="L38" s="11" t="n">
        <v>6.8</v>
      </c>
      <c r="M38" s="8" t="inlineStr">
        <is>
          <t>×</t>
        </is>
      </c>
      <c r="N38" s="8" t="n"/>
      <c r="O38" s="8" t="n"/>
      <c r="P38" s="8" t="n"/>
      <c r="Q38" s="12" t="n"/>
      <c r="R38" s="12" t="n"/>
      <c r="S38" s="12" t="n"/>
      <c r="T38" s="9" t="n"/>
      <c r="U38" s="13">
        <f>IF(A38="","",INDEX('計算'!$Z$2:$Z$151,AF38))</f>
        <v>1</v>
      </c>
      <c r="V38" s="13">
        <f>IF(A38="","",IFERROR(IF(INDEX('②クラス編成'!$E$9:$E$158,MATCH(A38,'②クラス編成'!$D$9:$D$158,0))="","未",INDEX('②クラス編成'!$E$9:$E$158,MATCH(A38,'②クラス編成'!$D$9:$D$158,0))),"未"))</f>
        <v>1</v>
      </c>
      <c r="W38" s="14" t="str">
        <f>IF(A38="","",A38&amp;" "&amp;C38)</f>
        <v>2135 渡辺　圭吾</v>
      </c>
      <c r="X38" s="14">
        <f>IF(A38="","",IF(E38="男",1,IF(E38="女",2,3)))</f>
        <v>1</v>
      </c>
      <c r="Y38" s="14">
        <f>IF(OR(M38="〇",M38="○",M38="◯"),1,0)</f>
        <v>0</v>
      </c>
      <c r="Z38" s="14">
        <f>IF(OR(N38="〇",N38="○",N38="◯"),1,0)</f>
        <v>0</v>
      </c>
      <c r="AA38" s="14">
        <f>IF(OR(O38="〇",O38="○",O38="◯"),1,0)</f>
        <v>0</v>
      </c>
      <c r="AB38" s="14">
        <f>IF(OR(P38="〇",P38="○",P38="◯"),1,0)</f>
        <v>0</v>
      </c>
      <c r="AC38" s="14">
        <f>IF(A38="","",IF(AA38=1,1,IF(Y38=1,2,IF(Z38=1,3,IF(AB38=1,4,5)))))</f>
        <v>5</v>
      </c>
      <c r="AD38" s="14">
        <f>IF(A38="","",IF(K38="",'設定'!$C$37,K38))</f>
        <v>52.2</v>
      </c>
      <c r="AE38" s="14">
        <f>IF(A38="","",AC38*10000000-ROUND(ABS((AD38-'設定'!$C$37)/'設定'!$C$38)*10000,0))</f>
        <v>49992317</v>
      </c>
      <c r="AF38" s="14">
        <f>IF(A38="","",COUNTIF($AE$4:$AE$153,"&lt;"&amp;AE38)+COUNTIFS($AE$4:$AE$153,AE38,$A$4:$A$153,"&lt;"&amp;A38)+1)</f>
        <v>71</v>
      </c>
      <c r="AG38" s="14" t="str">
        <f>IF(Q38="","",IFERROR(VALUE(LEFT(Q38,FIND(" ",Q38&amp;" ")-1)),IFERROR(INDEX($A$4:$A$153,MATCH(Q38,$C$4:$C$153,0)),"")))</f>
        <v/>
      </c>
      <c r="AH38" s="14" t="str">
        <f>IF(R38="","",IFERROR(VALUE(LEFT(R38,FIND(" ",R38&amp;" ")-1)),IFERROR(INDEX($A$4:$A$153,MATCH(R38,$C$4:$C$153,0)),"")))</f>
        <v/>
      </c>
      <c r="AI38" s="14" t="str">
        <f>IF(S38="","",IFERROR(VALUE(LEFT(S38,FIND(" ",S38&amp;" ")-1)),IFERROR(INDEX($A$4:$A$153,MATCH(S38,$C$4:$C$153,0)),"")))</f>
        <v/>
      </c>
      <c r="AJ38" s="14" t="str">
        <f>IF(OR(A38="",B38=""),"",IF(COUNTIFS($B$4:B38,B38,$A$4:A38,"&lt;&gt;")=1,MAX($AJ$3:AJ37)+1,""))</f>
        <v/>
      </c>
      <c r="AK38" s="14">
        <f>IF(OR(A38="",NOT(ISNUMBER(L38))),"",L38^2)</f>
        <v>46.24</v>
      </c>
      <c r="AL38" s="14">
        <f>IF(OR(A38="",NOT(ISNUMBER(L38))),0,(L38-INDEX('計算'!$AE$7:$AG$7,X38))/INDEX('計算'!$AE$8:$AG$8,X38))</f>
        <v>-2.02722731903744</v>
      </c>
    </row>
    <row r="39">
      <c r="A39" s="8" t="n">
        <v>2201</v>
      </c>
      <c r="B39" s="8" t="n">
        <v>2</v>
      </c>
      <c r="C39" s="9" t="inlineStr">
        <is>
          <t>石井　凛</t>
        </is>
      </c>
      <c r="D39" s="9" t="inlineStr">
        <is>
          <t>いしい　りん</t>
        </is>
      </c>
      <c r="E39" s="8" t="inlineStr">
        <is>
          <t>女</t>
        </is>
      </c>
      <c r="F39" s="8" t="n">
        <v>54</v>
      </c>
      <c r="G39" s="8" t="n">
        <v>49</v>
      </c>
      <c r="H39" s="8" t="n">
        <v>58</v>
      </c>
      <c r="I39" s="8" t="n">
        <v>63</v>
      </c>
      <c r="J39" s="8" t="n">
        <v>49</v>
      </c>
      <c r="K39" s="10">
        <f>IF(COUNT(F39:J39)=0,"",ROUND(AVERAGE(F39:J39),1))</f>
        <v>54.6</v>
      </c>
      <c r="L39" s="11" t="n">
        <v>8.5</v>
      </c>
      <c r="M39" s="8" t="inlineStr">
        <is>
          <t>×</t>
        </is>
      </c>
      <c r="N39" s="8" t="n"/>
      <c r="O39" s="8" t="n"/>
      <c r="P39" s="8" t="n"/>
      <c r="Q39" s="12" t="n"/>
      <c r="R39" s="12" t="n"/>
      <c r="S39" s="12" t="n"/>
      <c r="T39" s="9" t="n"/>
      <c r="U39" s="13">
        <f>IF(A39="","",INDEX('計算'!$Z$2:$Z$151,AF39))</f>
        <v>2</v>
      </c>
      <c r="V39" s="13">
        <f>IF(A39="","",IFERROR(IF(INDEX('②クラス編成'!$E$9:$E$158,MATCH(A39,'②クラス編成'!$D$9:$D$158,0))="","未",INDEX('②クラス編成'!$E$9:$E$158,MATCH(A39,'②クラス編成'!$D$9:$D$158,0))),"未"))</f>
        <v>2</v>
      </c>
      <c r="W39" s="14" t="str">
        <f>IF(A39="","",A39&amp;" "&amp;C39)</f>
        <v>2201 石井　凛</v>
      </c>
      <c r="X39" s="14">
        <f>IF(A39="","",IF(E39="男",1,IF(E39="女",2,3)))</f>
        <v>2</v>
      </c>
      <c r="Y39" s="14">
        <f>IF(OR(M39="〇",M39="○",M39="◯"),1,0)</f>
        <v>0</v>
      </c>
      <c r="Z39" s="14">
        <f>IF(OR(N39="〇",N39="○",N39="◯"),1,0)</f>
        <v>0</v>
      </c>
      <c r="AA39" s="14">
        <f>IF(OR(O39="〇",O39="○",O39="◯"),1,0)</f>
        <v>0</v>
      </c>
      <c r="AB39" s="14">
        <f>IF(OR(P39="〇",P39="○",P39="◯"),1,0)</f>
        <v>0</v>
      </c>
      <c r="AC39" s="14">
        <f>IF(A39="","",IF(AA39=1,1,IF(Y39=1,2,IF(Z39=1,3,IF(AB39=1,4,5)))))</f>
        <v>5</v>
      </c>
      <c r="AD39" s="14">
        <f>IF(A39="","",IF(K39="",'設定'!$C$37,K39))</f>
        <v>54.6</v>
      </c>
      <c r="AE39" s="14">
        <f>IF(A39="","",AC39*10000000-ROUND(ABS((AD39-'設定'!$C$37)/'設定'!$C$38)*10000,0))</f>
        <v>49994110</v>
      </c>
      <c r="AF39" s="14">
        <f>IF(A39="","",COUNTIF($AE$4:$AE$153,"&lt;"&amp;AE39)+COUNTIFS($AE$4:$AE$153,AE39,$A$4:$A$153,"&lt;"&amp;A39)+1)</f>
        <v>78</v>
      </c>
      <c r="AG39" s="14" t="str">
        <f>IF(Q39="","",IFERROR(VALUE(LEFT(Q39,FIND(" ",Q39&amp;" ")-1)),IFERROR(INDEX($A$4:$A$153,MATCH(Q39,$C$4:$C$153,0)),"")))</f>
        <v/>
      </c>
      <c r="AH39" s="14" t="str">
        <f>IF(R39="","",IFERROR(VALUE(LEFT(R39,FIND(" ",R39&amp;" ")-1)),IFERROR(INDEX($A$4:$A$153,MATCH(R39,$C$4:$C$153,0)),"")))</f>
        <v/>
      </c>
      <c r="AI39" s="14" t="str">
        <f>IF(S39="","",IFERROR(VALUE(LEFT(S39,FIND(" ",S39&amp;" ")-1)),IFERROR(INDEX($A$4:$A$153,MATCH(S39,$C$4:$C$153,0)),"")))</f>
        <v/>
      </c>
      <c r="AJ39" s="14">
        <f>IF(OR(A39="",B39=""),"",IF(COUNTIFS($B$4:B39,B39,$A$4:A39,"&lt;&gt;")=1,MAX($AJ$3:AJ38)+1,""))</f>
        <v>2</v>
      </c>
      <c r="AK39" s="14">
        <f>IF(OR(A39="",NOT(ISNUMBER(L39))),"",L39^2)</f>
        <v>72.25</v>
      </c>
      <c r="AL39" s="14">
        <f>IF(OR(A39="",NOT(ISNUMBER(L39))),0,(L39-INDEX('計算'!$AE$7:$AG$7,X39))/INDEX('計算'!$AE$8:$AG$8,X39))</f>
        <v>-0.597259268661025</v>
      </c>
    </row>
    <row r="40">
      <c r="A40" s="8" t="n">
        <v>2202</v>
      </c>
      <c r="B40" s="8" t="n">
        <v>2</v>
      </c>
      <c r="C40" s="9" t="inlineStr">
        <is>
          <t>石川　紬</t>
        </is>
      </c>
      <c r="D40" s="9" t="inlineStr">
        <is>
          <t>いしかわ　つむぎ</t>
        </is>
      </c>
      <c r="E40" s="8" t="inlineStr">
        <is>
          <t>女</t>
        </is>
      </c>
      <c r="F40" s="8" t="n">
        <v>36</v>
      </c>
      <c r="G40" s="8" t="n">
        <v>48</v>
      </c>
      <c r="H40" s="8" t="n">
        <v>49</v>
      </c>
      <c r="I40" s="8" t="n">
        <v>50</v>
      </c>
      <c r="J40" s="8" t="n">
        <v>29</v>
      </c>
      <c r="K40" s="10">
        <f>IF(COUNT(F40:J40)=0,"",ROUND(AVERAGE(F40:J40),1))</f>
        <v>42.4</v>
      </c>
      <c r="L40" s="11" t="n">
        <v>8</v>
      </c>
      <c r="M40" s="8" t="inlineStr">
        <is>
          <t>×</t>
        </is>
      </c>
      <c r="N40" s="8" t="n"/>
      <c r="O40" s="8" t="n"/>
      <c r="P40" s="8" t="n"/>
      <c r="Q40" s="12" t="n"/>
      <c r="R40" s="12" t="n"/>
      <c r="S40" s="12" t="n"/>
      <c r="T40" s="9" t="n"/>
      <c r="U40" s="13">
        <f>IF(A40="","",INDEX('計算'!$Z$2:$Z$151,AF40))</f>
        <v>2</v>
      </c>
      <c r="V40" s="13">
        <f>IF(A40="","",IFERROR(IF(INDEX('②クラス編成'!$E$9:$E$158,MATCH(A40,'②クラス編成'!$D$9:$D$158,0))="","未",INDEX('②クラス編成'!$E$9:$E$158,MATCH(A40,'②クラス編成'!$D$9:$D$158,0))),"未"))</f>
        <v>2</v>
      </c>
      <c r="W40" s="14" t="str">
        <f>IF(A40="","",A40&amp;" "&amp;C40)</f>
        <v>2202 石川　紬</v>
      </c>
      <c r="X40" s="14">
        <f>IF(A40="","",IF(E40="男",1,IF(E40="女",2,3)))</f>
        <v>2</v>
      </c>
      <c r="Y40" s="14">
        <f>IF(OR(M40="〇",M40="○",M40="◯"),1,0)</f>
        <v>0</v>
      </c>
      <c r="Z40" s="14">
        <f>IF(OR(N40="〇",N40="○",N40="◯"),1,0)</f>
        <v>0</v>
      </c>
      <c r="AA40" s="14">
        <f>IF(OR(O40="〇",O40="○",O40="◯"),1,0)</f>
        <v>0</v>
      </c>
      <c r="AB40" s="14">
        <f>IF(OR(P40="〇",P40="○",P40="◯"),1,0)</f>
        <v>0</v>
      </c>
      <c r="AC40" s="14">
        <f>IF(A40="","",IF(AA40=1,1,IF(Y40=1,2,IF(Z40=1,3,IF(AB40=1,4,5)))))</f>
        <v>5</v>
      </c>
      <c r="AD40" s="14">
        <f>IF(A40="","",IF(K40="",'設定'!$C$37,K40))</f>
        <v>42.4</v>
      </c>
      <c r="AE40" s="14">
        <f>IF(A40="","",AC40*10000000-ROUND(ABS((AD40-'設定'!$C$37)/'設定'!$C$38)*10000,0))</f>
        <v>49984999</v>
      </c>
      <c r="AF40" s="14">
        <f>IF(A40="","",COUNTIF($AE$4:$AE$153,"&lt;"&amp;AE40)+COUNTIFS($AE$4:$AE$153,AE40,$A$4:$A$153,"&lt;"&amp;A40)+1)</f>
        <v>35</v>
      </c>
      <c r="AG40" s="14" t="str">
        <f>IF(Q40="","",IFERROR(VALUE(LEFT(Q40,FIND(" ",Q40&amp;" ")-1)),IFERROR(INDEX($A$4:$A$153,MATCH(Q40,$C$4:$C$153,0)),"")))</f>
        <v/>
      </c>
      <c r="AH40" s="14" t="str">
        <f>IF(R40="","",IFERROR(VALUE(LEFT(R40,FIND(" ",R40&amp;" ")-1)),IFERROR(INDEX($A$4:$A$153,MATCH(R40,$C$4:$C$153,0)),"")))</f>
        <v/>
      </c>
      <c r="AI40" s="14" t="str">
        <f>IF(S40="","",IFERROR(VALUE(LEFT(S40,FIND(" ",S40&amp;" ")-1)),IFERROR(INDEX($A$4:$A$153,MATCH(S40,$C$4:$C$153,0)),"")))</f>
        <v/>
      </c>
      <c r="AJ40" s="14" t="str">
        <f>IF(OR(A40="",B40=""),"",IF(COUNTIFS($B$4:B40,B40,$A$4:A40,"&lt;&gt;")=1,MAX($AJ$3:AJ39)+1,""))</f>
        <v/>
      </c>
      <c r="AK40" s="14">
        <f>IF(OR(A40="",NOT(ISNUMBER(L40))),"",L40^2)</f>
        <v>64</v>
      </c>
      <c r="AL40" s="14">
        <f>IF(OR(A40="",NOT(ISNUMBER(L40))),0,(L40-INDEX('計算'!$AE$7:$AG$7,X40))/INDEX('計算'!$AE$8:$AG$8,X40))</f>
        <v>-1.41608245956727</v>
      </c>
    </row>
    <row r="41">
      <c r="A41" s="8" t="n">
        <v>2203</v>
      </c>
      <c r="B41" s="8" t="n">
        <v>2</v>
      </c>
      <c r="C41" s="9" t="inlineStr">
        <is>
          <t>石田　心春</t>
        </is>
      </c>
      <c r="D41" s="9" t="inlineStr">
        <is>
          <t>いしだ　こはる</t>
        </is>
      </c>
      <c r="E41" s="8" t="inlineStr">
        <is>
          <t>女</t>
        </is>
      </c>
      <c r="F41" s="8" t="n">
        <v>75</v>
      </c>
      <c r="G41" s="8" t="n">
        <v>77</v>
      </c>
      <c r="H41" s="8" t="n">
        <v>72</v>
      </c>
      <c r="I41" s="8" t="n">
        <v>76</v>
      </c>
      <c r="J41" s="8" t="n">
        <v>72</v>
      </c>
      <c r="K41" s="10">
        <f>IF(COUNT(F41:J41)=0,"",ROUND(AVERAGE(F41:J41),1))</f>
        <v>74.4</v>
      </c>
      <c r="L41" s="11" t="n">
        <v>8.1</v>
      </c>
      <c r="M41" s="8" t="inlineStr">
        <is>
          <t>〇</t>
        </is>
      </c>
      <c r="N41" s="8" t="n"/>
      <c r="O41" s="8" t="n"/>
      <c r="P41" s="8" t="n"/>
      <c r="Q41" s="12" t="n"/>
      <c r="R41" s="12" t="n"/>
      <c r="S41" s="12" t="n"/>
      <c r="T41" s="9" t="n"/>
      <c r="U41" s="13">
        <f>IF(A41="","",INDEX('計算'!$Z$2:$Z$151,AF41))</f>
        <v>1</v>
      </c>
      <c r="V41" s="13">
        <f>IF(A41="","",IFERROR(IF(INDEX('②クラス編成'!$E$9:$E$158,MATCH(A41,'②クラス編成'!$D$9:$D$158,0))="","未",INDEX('②クラス編成'!$E$9:$E$158,MATCH(A41,'②クラス編成'!$D$9:$D$158,0))),"未"))</f>
        <v>1</v>
      </c>
      <c r="W41" s="14" t="str">
        <f>IF(A41="","",A41&amp;" "&amp;C41)</f>
        <v>2203 石田　心春</v>
      </c>
      <c r="X41" s="14">
        <f>IF(A41="","",IF(E41="男",1,IF(E41="女",2,3)))</f>
        <v>2</v>
      </c>
      <c r="Y41" s="14">
        <f>IF(OR(M41="〇",M41="○",M41="◯"),1,0)</f>
        <v>1</v>
      </c>
      <c r="Z41" s="14">
        <f>IF(OR(N41="〇",N41="○",N41="◯"),1,0)</f>
        <v>0</v>
      </c>
      <c r="AA41" s="14">
        <f>IF(OR(O41="〇",O41="○",O41="◯"),1,0)</f>
        <v>0</v>
      </c>
      <c r="AB41" s="14">
        <f>IF(OR(P41="〇",P41="○",P41="◯"),1,0)</f>
        <v>0</v>
      </c>
      <c r="AC41" s="14">
        <f>IF(A41="","",IF(AA41=1,1,IF(Y41=1,2,IF(Z41=1,3,IF(AB41=1,4,5)))))</f>
        <v>2</v>
      </c>
      <c r="AD41" s="14">
        <f>IF(A41="","",IF(K41="",'設定'!$C$37,K41))</f>
        <v>74.4</v>
      </c>
      <c r="AE41" s="14">
        <f>IF(A41="","",AC41*10000000-ROUND(ABS((AD41-'設定'!$C$37)/'設定'!$C$38)*10000,0))</f>
        <v>19991104</v>
      </c>
      <c r="AF41" s="14">
        <f>IF(A41="","",COUNTIF($AE$4:$AE$153,"&lt;"&amp;AE41)+COUNTIFS($AE$4:$AE$153,AE41,$A$4:$A$153,"&lt;"&amp;A41)+1)</f>
        <v>13</v>
      </c>
      <c r="AG41" s="14" t="str">
        <f>IF(Q41="","",IFERROR(VALUE(LEFT(Q41,FIND(" ",Q41&amp;" ")-1)),IFERROR(INDEX($A$4:$A$153,MATCH(Q41,$C$4:$C$153,0)),"")))</f>
        <v/>
      </c>
      <c r="AH41" s="14" t="str">
        <f>IF(R41="","",IFERROR(VALUE(LEFT(R41,FIND(" ",R41&amp;" ")-1)),IFERROR(INDEX($A$4:$A$153,MATCH(R41,$C$4:$C$153,0)),"")))</f>
        <v/>
      </c>
      <c r="AI41" s="14" t="str">
        <f>IF(S41="","",IFERROR(VALUE(LEFT(S41,FIND(" ",S41&amp;" ")-1)),IFERROR(INDEX($A$4:$A$153,MATCH(S41,$C$4:$C$153,0)),"")))</f>
        <v/>
      </c>
      <c r="AJ41" s="14" t="str">
        <f>IF(OR(A41="",B41=""),"",IF(COUNTIFS($B$4:B41,B41,$A$4:A41,"&lt;&gt;")=1,MAX($AJ$3:AJ40)+1,""))</f>
        <v/>
      </c>
      <c r="AK41" s="14">
        <f>IF(OR(A41="",NOT(ISNUMBER(L41))),"",L41^2)</f>
        <v>65.61</v>
      </c>
      <c r="AL41" s="14">
        <f>IF(OR(A41="",NOT(ISNUMBER(L41))),0,(L41-INDEX('計算'!$AE$7:$AG$7,X41))/INDEX('計算'!$AE$8:$AG$8,X41))</f>
        <v>-1.25231782138602</v>
      </c>
    </row>
    <row r="42">
      <c r="A42" s="8" t="n">
        <v>2204</v>
      </c>
      <c r="B42" s="8" t="n">
        <v>2</v>
      </c>
      <c r="C42" s="9" t="inlineStr">
        <is>
          <t>石田　直樹</t>
        </is>
      </c>
      <c r="D42" s="9" t="inlineStr">
        <is>
          <t>いしだ　なおき</t>
        </is>
      </c>
      <c r="E42" s="8" t="inlineStr">
        <is>
          <t>男</t>
        </is>
      </c>
      <c r="F42" s="8" t="n">
        <v>59</v>
      </c>
      <c r="G42" s="8" t="n">
        <v>34</v>
      </c>
      <c r="H42" s="8" t="n">
        <v>39</v>
      </c>
      <c r="I42" s="8" t="n">
        <v>54</v>
      </c>
      <c r="J42" s="8" t="n">
        <v>34</v>
      </c>
      <c r="K42" s="10">
        <f>IF(COUNT(F42:J42)=0,"",ROUND(AVERAGE(F42:J42),1))</f>
        <v>44</v>
      </c>
      <c r="L42" s="11" t="n">
        <v>8</v>
      </c>
      <c r="M42" s="8" t="inlineStr">
        <is>
          <t>×</t>
        </is>
      </c>
      <c r="N42" s="8" t="inlineStr">
        <is>
          <t>〇</t>
        </is>
      </c>
      <c r="O42" s="8" t="n"/>
      <c r="P42" s="8" t="n"/>
      <c r="Q42" s="12" t="n"/>
      <c r="R42" s="12" t="n"/>
      <c r="S42" s="12" t="n"/>
      <c r="T42" s="9" t="inlineStr">
        <is>
          <t>生徒会</t>
        </is>
      </c>
      <c r="U42" s="13">
        <f>IF(A42="","",INDEX('計算'!$Z$2:$Z$151,AF42))</f>
        <v>1</v>
      </c>
      <c r="V42" s="13">
        <f>IF(A42="","",IFERROR(IF(INDEX('②クラス編成'!$E$9:$E$158,MATCH(A42,'②クラス編成'!$D$9:$D$158,0))="","未",INDEX('②クラス編成'!$E$9:$E$158,MATCH(A42,'②クラス編成'!$D$9:$D$158,0))),"未"))</f>
        <v>1</v>
      </c>
      <c r="W42" s="14" t="str">
        <f>IF(A42="","",A42&amp;" "&amp;C42)</f>
        <v>2204 石田　直樹</v>
      </c>
      <c r="X42" s="14">
        <f>IF(A42="","",IF(E42="男",1,IF(E42="女",2,3)))</f>
        <v>1</v>
      </c>
      <c r="Y42" s="14">
        <f>IF(OR(M42="〇",M42="○",M42="◯"),1,0)</f>
        <v>0</v>
      </c>
      <c r="Z42" s="14">
        <f>IF(OR(N42="〇",N42="○",N42="◯"),1,0)</f>
        <v>1</v>
      </c>
      <c r="AA42" s="14">
        <f>IF(OR(O42="〇",O42="○",O42="◯"),1,0)</f>
        <v>0</v>
      </c>
      <c r="AB42" s="14">
        <f>IF(OR(P42="〇",P42="○",P42="◯"),1,0)</f>
        <v>0</v>
      </c>
      <c r="AC42" s="14">
        <f>IF(A42="","",IF(AA42=1,1,IF(Y42=1,2,IF(Z42=1,3,IF(AB42=1,4,5)))))</f>
        <v>3</v>
      </c>
      <c r="AD42" s="14">
        <f>IF(A42="","",IF(K42="",'設定'!$C$37,K42))</f>
        <v>44</v>
      </c>
      <c r="AE42" s="14">
        <f>IF(A42="","",AC42*10000000-ROUND(ABS((AD42-'設定'!$C$37)/'設定'!$C$38)*10000,0))</f>
        <v>29986194</v>
      </c>
      <c r="AF42" s="14">
        <f>IF(A42="","",COUNTIF($AE$4:$AE$153,"&lt;"&amp;AE42)+COUNTIFS($AE$4:$AE$153,AE42,$A$4:$A$153,"&lt;"&amp;A42)+1)</f>
        <v>17</v>
      </c>
      <c r="AG42" s="14" t="str">
        <f>IF(Q42="","",IFERROR(VALUE(LEFT(Q42,FIND(" ",Q42&amp;" ")-1)),IFERROR(INDEX($A$4:$A$153,MATCH(Q42,$C$4:$C$153,0)),"")))</f>
        <v/>
      </c>
      <c r="AH42" s="14" t="str">
        <f>IF(R42="","",IFERROR(VALUE(LEFT(R42,FIND(" ",R42&amp;" ")-1)),IFERROR(INDEX($A$4:$A$153,MATCH(R42,$C$4:$C$153,0)),"")))</f>
        <v/>
      </c>
      <c r="AI42" s="14" t="str">
        <f>IF(S42="","",IFERROR(VALUE(LEFT(S42,FIND(" ",S42&amp;" ")-1)),IFERROR(INDEX($A$4:$A$153,MATCH(S42,$C$4:$C$153,0)),"")))</f>
        <v/>
      </c>
      <c r="AJ42" s="14" t="str">
        <f>IF(OR(A42="",B42=""),"",IF(COUNTIFS($B$4:B42,B42,$A$4:A42,"&lt;&gt;")=1,MAX($AJ$3:AJ41)+1,""))</f>
        <v/>
      </c>
      <c r="AK42" s="14">
        <f>IF(OR(A42="",NOT(ISNUMBER(L42))),"",L42^2)</f>
        <v>64</v>
      </c>
      <c r="AL42" s="14">
        <f>IF(OR(A42="",NOT(ISNUMBER(L42))),0,(L42-INDEX('計算'!$AE$7:$AG$7,X42))/INDEX('計算'!$AE$8:$AG$8,X42))</f>
        <v>0.703839838418404</v>
      </c>
    </row>
    <row r="43">
      <c r="A43" s="8" t="n">
        <v>2205</v>
      </c>
      <c r="B43" s="8" t="n">
        <v>2</v>
      </c>
      <c r="C43" s="9" t="inlineStr">
        <is>
          <t>石田　優奈</t>
        </is>
      </c>
      <c r="D43" s="9" t="inlineStr">
        <is>
          <t>いしだ　ゆうな</t>
        </is>
      </c>
      <c r="E43" s="8" t="inlineStr">
        <is>
          <t>女</t>
        </is>
      </c>
      <c r="F43" s="8" t="n">
        <v>91</v>
      </c>
      <c r="G43" s="8" t="n">
        <v>79</v>
      </c>
      <c r="H43" s="8" t="n">
        <v>73</v>
      </c>
      <c r="I43" s="8" t="n">
        <v>70</v>
      </c>
      <c r="J43" s="8" t="n">
        <v>68</v>
      </c>
      <c r="K43" s="10">
        <f>IF(COUNT(F43:J43)=0,"",ROUND(AVERAGE(F43:J43),1))</f>
        <v>76.2</v>
      </c>
      <c r="L43" s="11" t="n">
        <v>7.8</v>
      </c>
      <c r="M43" s="8" t="inlineStr">
        <is>
          <t>×</t>
        </is>
      </c>
      <c r="N43" s="8" t="n"/>
      <c r="O43" s="8" t="n"/>
      <c r="P43" s="8" t="n"/>
      <c r="Q43" s="12" t="n"/>
      <c r="R43" s="12" t="n"/>
      <c r="S43" s="12" t="n"/>
      <c r="T43" s="9" t="inlineStr">
        <is>
          <t>図書委員</t>
        </is>
      </c>
      <c r="U43" s="13">
        <f>IF(A43="","",INDEX('計算'!$Z$2:$Z$151,AF43))</f>
        <v>3</v>
      </c>
      <c r="V43" s="13">
        <f>IF(A43="","",IFERROR(IF(INDEX('②クラス編成'!$E$9:$E$158,MATCH(A43,'②クラス編成'!$D$9:$D$158,0))="","未",INDEX('②クラス編成'!$E$9:$E$158,MATCH(A43,'②クラス編成'!$D$9:$D$158,0))),"未"))</f>
        <v>3</v>
      </c>
      <c r="W43" s="14" t="str">
        <f>IF(A43="","",A43&amp;" "&amp;C43)</f>
        <v>2205 石田　優奈</v>
      </c>
      <c r="X43" s="14">
        <f>IF(A43="","",IF(E43="男",1,IF(E43="女",2,3)))</f>
        <v>2</v>
      </c>
      <c r="Y43" s="14">
        <f>IF(OR(M43="〇",M43="○",M43="◯"),1,0)</f>
        <v>0</v>
      </c>
      <c r="Z43" s="14">
        <f>IF(OR(N43="〇",N43="○",N43="◯"),1,0)</f>
        <v>0</v>
      </c>
      <c r="AA43" s="14">
        <f>IF(OR(O43="〇",O43="○",O43="◯"),1,0)</f>
        <v>0</v>
      </c>
      <c r="AB43" s="14">
        <f>IF(OR(P43="〇",P43="○",P43="◯"),1,0)</f>
        <v>0</v>
      </c>
      <c r="AC43" s="14">
        <f>IF(A43="","",IF(AA43=1,1,IF(Y43=1,2,IF(Z43=1,3,IF(AB43=1,4,5)))))</f>
        <v>5</v>
      </c>
      <c r="AD43" s="14">
        <f>IF(A43="","",IF(K43="",'設定'!$C$37,K43))</f>
        <v>76.2</v>
      </c>
      <c r="AE43" s="14">
        <f>IF(A43="","",AC43*10000000-ROUND(ABS((AD43-'設定'!$C$37)/'設定'!$C$38)*10000,0))</f>
        <v>49989760</v>
      </c>
      <c r="AF43" s="14">
        <f>IF(A43="","",COUNTIF($AE$4:$AE$153,"&lt;"&amp;AE43)+COUNTIFS($AE$4:$AE$153,AE43,$A$4:$A$153,"&lt;"&amp;A43)+1)</f>
        <v>56</v>
      </c>
      <c r="AG43" s="14" t="str">
        <f>IF(Q43="","",IFERROR(VALUE(LEFT(Q43,FIND(" ",Q43&amp;" ")-1)),IFERROR(INDEX($A$4:$A$153,MATCH(Q43,$C$4:$C$153,0)),"")))</f>
        <v/>
      </c>
      <c r="AH43" s="14" t="str">
        <f>IF(R43="","",IFERROR(VALUE(LEFT(R43,FIND(" ",R43&amp;" ")-1)),IFERROR(INDEX($A$4:$A$153,MATCH(R43,$C$4:$C$153,0)),"")))</f>
        <v/>
      </c>
      <c r="AI43" s="14" t="str">
        <f>IF(S43="","",IFERROR(VALUE(LEFT(S43,FIND(" ",S43&amp;" ")-1)),IFERROR(INDEX($A$4:$A$153,MATCH(S43,$C$4:$C$153,0)),"")))</f>
        <v/>
      </c>
      <c r="AJ43" s="14" t="str">
        <f>IF(OR(A43="",B43=""),"",IF(COUNTIFS($B$4:B43,B43,$A$4:A43,"&lt;&gt;")=1,MAX($AJ$3:AJ42)+1,""))</f>
        <v/>
      </c>
      <c r="AK43" s="14">
        <f>IF(OR(A43="",NOT(ISNUMBER(L43))),"",L43^2)</f>
        <v>60.84</v>
      </c>
      <c r="AL43" s="14">
        <f>IF(OR(A43="",NOT(ISNUMBER(L43))),0,(L43-INDEX('計算'!$AE$7:$AG$7,X43))/INDEX('計算'!$AE$8:$AG$8,X43))</f>
        <v>-1.74361173592977</v>
      </c>
    </row>
    <row r="44">
      <c r="A44" s="8" t="n">
        <v>2206</v>
      </c>
      <c r="B44" s="8" t="n">
        <v>2</v>
      </c>
      <c r="C44" s="9" t="inlineStr">
        <is>
          <t>石田　陸</t>
        </is>
      </c>
      <c r="D44" s="9" t="inlineStr">
        <is>
          <t>いしだ　りく</t>
        </is>
      </c>
      <c r="E44" s="8" t="inlineStr">
        <is>
          <t>男</t>
        </is>
      </c>
      <c r="F44" s="8" t="n">
        <v>88</v>
      </c>
      <c r="G44" s="8" t="n">
        <v>76</v>
      </c>
      <c r="H44" s="8" t="n">
        <v>87</v>
      </c>
      <c r="I44" s="8" t="n">
        <v>64</v>
      </c>
      <c r="J44" s="8" t="n">
        <v>86</v>
      </c>
      <c r="K44" s="10">
        <f>IF(COUNT(F44:J44)=0,"",ROUND(AVERAGE(F44:J44),1))</f>
        <v>80.2</v>
      </c>
      <c r="L44" s="11" t="n">
        <v>7</v>
      </c>
      <c r="M44" s="8" t="inlineStr">
        <is>
          <t>×</t>
        </is>
      </c>
      <c r="N44" s="8" t="n"/>
      <c r="O44" s="8" t="inlineStr">
        <is>
          <t>〇</t>
        </is>
      </c>
      <c r="P44" s="8" t="n"/>
      <c r="Q44" s="12" t="n"/>
      <c r="R44" s="12" t="n"/>
      <c r="S44" s="12" t="n"/>
      <c r="T44" s="9" t="n"/>
      <c r="U44" s="13">
        <f>IF(A44="","",INDEX('計算'!$Z$2:$Z$151,AF44))</f>
        <v>3</v>
      </c>
      <c r="V44" s="13">
        <f>IF(A44="","",IFERROR(IF(INDEX('②クラス編成'!$E$9:$E$158,MATCH(A44,'②クラス編成'!$D$9:$D$158,0))="","未",INDEX('②クラス編成'!$E$9:$E$158,MATCH(A44,'②クラス編成'!$D$9:$D$158,0))),"未"))</f>
        <v>3</v>
      </c>
      <c r="W44" s="14" t="str">
        <f>IF(A44="","",A44&amp;" "&amp;C44)</f>
        <v>2206 石田　陸</v>
      </c>
      <c r="X44" s="14">
        <f>IF(A44="","",IF(E44="男",1,IF(E44="女",2,3)))</f>
        <v>1</v>
      </c>
      <c r="Y44" s="14">
        <f>IF(OR(M44="〇",M44="○",M44="◯"),1,0)</f>
        <v>0</v>
      </c>
      <c r="Z44" s="14">
        <f>IF(OR(N44="〇",N44="○",N44="◯"),1,0)</f>
        <v>0</v>
      </c>
      <c r="AA44" s="14">
        <f>IF(OR(O44="〇",O44="○",O44="◯"),1,0)</f>
        <v>1</v>
      </c>
      <c r="AB44" s="14">
        <f>IF(OR(P44="〇",P44="○",P44="◯"),1,0)</f>
        <v>0</v>
      </c>
      <c r="AC44" s="14">
        <f>IF(A44="","",IF(AA44=1,1,IF(Y44=1,2,IF(Z44=1,3,IF(AB44=1,4,5)))))</f>
        <v>1</v>
      </c>
      <c r="AD44" s="14">
        <f>IF(A44="","",IF(K44="",'設定'!$C$37,K44))</f>
        <v>80.2</v>
      </c>
      <c r="AE44" s="14">
        <f>IF(A44="","",AC44*10000000-ROUND(ABS((AD44-'設定'!$C$37)/'設定'!$C$38)*10000,0))</f>
        <v>9986773</v>
      </c>
      <c r="AF44" s="14">
        <f>IF(A44="","",COUNTIF($AE$4:$AE$153,"&lt;"&amp;AE44)+COUNTIFS($AE$4:$AE$153,AE44,$A$4:$A$153,"&lt;"&amp;A44)+1)</f>
        <v>3</v>
      </c>
      <c r="AG44" s="14" t="str">
        <f>IF(Q44="","",IFERROR(VALUE(LEFT(Q44,FIND(" ",Q44&amp;" ")-1)),IFERROR(INDEX($A$4:$A$153,MATCH(Q44,$C$4:$C$153,0)),"")))</f>
        <v/>
      </c>
      <c r="AH44" s="14" t="str">
        <f>IF(R44="","",IFERROR(VALUE(LEFT(R44,FIND(" ",R44&amp;" ")-1)),IFERROR(INDEX($A$4:$A$153,MATCH(R44,$C$4:$C$153,0)),"")))</f>
        <v/>
      </c>
      <c r="AI44" s="14" t="str">
        <f>IF(S44="","",IFERROR(VALUE(LEFT(S44,FIND(" ",S44&amp;" ")-1)),IFERROR(INDEX($A$4:$A$153,MATCH(S44,$C$4:$C$153,0)),"")))</f>
        <v/>
      </c>
      <c r="AJ44" s="14" t="str">
        <f>IF(OR(A44="",B44=""),"",IF(COUNTIFS($B$4:B44,B44,$A$4:A44,"&lt;&gt;")=1,MAX($AJ$3:AJ43)+1,""))</f>
        <v/>
      </c>
      <c r="AK44" s="14">
        <f>IF(OR(A44="",NOT(ISNUMBER(L44))),"",L44^2)</f>
        <v>49</v>
      </c>
      <c r="AL44" s="14">
        <f>IF(OR(A44="",NOT(ISNUMBER(L44))),0,(L44-INDEX('計算'!$AE$7:$AG$7,X44))/INDEX('計算'!$AE$8:$AG$8,X44))</f>
        <v>-1.57204945946146</v>
      </c>
    </row>
    <row r="45">
      <c r="A45" s="8" t="n">
        <v>2207</v>
      </c>
      <c r="B45" s="8" t="n">
        <v>2</v>
      </c>
      <c r="C45" s="9" t="inlineStr">
        <is>
          <t>伊藤　美桜</t>
        </is>
      </c>
      <c r="D45" s="9" t="inlineStr">
        <is>
          <t>いとう　みお</t>
        </is>
      </c>
      <c r="E45" s="8" t="inlineStr">
        <is>
          <t>女</t>
        </is>
      </c>
      <c r="F45" s="8" t="n">
        <v>56</v>
      </c>
      <c r="G45" s="8" t="n">
        <v>30</v>
      </c>
      <c r="H45" s="8" t="n">
        <v>54</v>
      </c>
      <c r="I45" s="8" t="n">
        <v>57</v>
      </c>
      <c r="J45" s="8" t="n">
        <v>43</v>
      </c>
      <c r="K45" s="10">
        <f>IF(COUNT(F45:J45)=0,"",ROUND(AVERAGE(F45:J45),1))</f>
        <v>48</v>
      </c>
      <c r="L45" s="11" t="n">
        <v>8.800000000000001</v>
      </c>
      <c r="M45" s="8" t="inlineStr">
        <is>
          <t>×</t>
        </is>
      </c>
      <c r="N45" s="8" t="n"/>
      <c r="O45" s="8" t="n"/>
      <c r="P45" s="8" t="n"/>
      <c r="Q45" s="12" t="n"/>
      <c r="R45" s="12" t="n"/>
      <c r="S45" s="12" t="inlineStr">
        <is>
          <t>2234 吉田　陽翔</t>
        </is>
      </c>
      <c r="T45" s="9" t="n"/>
      <c r="U45" s="13">
        <f>IF(A45="","",INDEX('計算'!$Z$2:$Z$151,AF45))</f>
        <v>1</v>
      </c>
      <c r="V45" s="13">
        <f>IF(A45="","",IFERROR(IF(INDEX('②クラス編成'!$E$9:$E$158,MATCH(A45,'②クラス編成'!$D$9:$D$158,0))="","未",INDEX('②クラス編成'!$E$9:$E$158,MATCH(A45,'②クラス編成'!$D$9:$D$158,0))),"未"))</f>
        <v>1</v>
      </c>
      <c r="W45" s="14" t="str">
        <f>IF(A45="","",A45&amp;" "&amp;C45)</f>
        <v>2207 伊藤　美桜</v>
      </c>
      <c r="X45" s="14">
        <f>IF(A45="","",IF(E45="男",1,IF(E45="女",2,3)))</f>
        <v>2</v>
      </c>
      <c r="Y45" s="14">
        <f>IF(OR(M45="〇",M45="○",M45="◯"),1,0)</f>
        <v>0</v>
      </c>
      <c r="Z45" s="14">
        <f>IF(OR(N45="〇",N45="○",N45="◯"),1,0)</f>
        <v>0</v>
      </c>
      <c r="AA45" s="14">
        <f>IF(OR(O45="〇",O45="○",O45="◯"),1,0)</f>
        <v>0</v>
      </c>
      <c r="AB45" s="14">
        <f>IF(OR(P45="〇",P45="○",P45="◯"),1,0)</f>
        <v>0</v>
      </c>
      <c r="AC45" s="14">
        <f>IF(A45="","",IF(AA45=1,1,IF(Y45=1,2,IF(Z45=1,3,IF(AB45=1,4,5)))))</f>
        <v>5</v>
      </c>
      <c r="AD45" s="14">
        <f>IF(A45="","",IF(K45="",'設定'!$C$37,K45))</f>
        <v>48</v>
      </c>
      <c r="AE45" s="14">
        <f>IF(A45="","",AC45*10000000-ROUND(ABS((AD45-'設定'!$C$37)/'設定'!$C$38)*10000,0))</f>
        <v>49989181</v>
      </c>
      <c r="AF45" s="14">
        <f>IF(A45="","",COUNTIF($AE$4:$AE$153,"&lt;"&amp;AE45)+COUNTIFS($AE$4:$AE$153,AE45,$A$4:$A$153,"&lt;"&amp;A45)+1)</f>
        <v>53</v>
      </c>
      <c r="AG45" s="14" t="str">
        <f>IF(Q45="","",IFERROR(VALUE(LEFT(Q45,FIND(" ",Q45&amp;" ")-1)),IFERROR(INDEX($A$4:$A$153,MATCH(Q45,$C$4:$C$153,0)),"")))</f>
        <v/>
      </c>
      <c r="AH45" s="14" t="str">
        <f>IF(R45="","",IFERROR(VALUE(LEFT(R45,FIND(" ",R45&amp;" ")-1)),IFERROR(INDEX($A$4:$A$153,MATCH(R45,$C$4:$C$153,0)),"")))</f>
        <v/>
      </c>
      <c r="AI45" s="14">
        <f>IF(S45="","",IFERROR(VALUE(LEFT(S45,FIND(" ",S45&amp;" ")-1)),IFERROR(INDEX($A$4:$A$153,MATCH(S45,$C$4:$C$153,0)),"")))</f>
        <v>2234</v>
      </c>
      <c r="AJ45" s="14" t="str">
        <f>IF(OR(A45="",B45=""),"",IF(COUNTIFS($B$4:B45,B45,$A$4:A45,"&lt;&gt;")=1,MAX($AJ$3:AJ44)+1,""))</f>
        <v/>
      </c>
      <c r="AK45" s="14">
        <f>IF(OR(A45="",NOT(ISNUMBER(L45))),"",L45^2)</f>
        <v>77.44</v>
      </c>
      <c r="AL45" s="14">
        <f>IF(OR(A45="",NOT(ISNUMBER(L45))),0,(L45-INDEX('計算'!$AE$7:$AG$7,X45))/INDEX('計算'!$AE$8:$AG$8,X45))</f>
        <v>-0.105965354117278</v>
      </c>
    </row>
    <row r="46">
      <c r="A46" s="8" t="n">
        <v>2208</v>
      </c>
      <c r="B46" s="8" t="n">
        <v>2</v>
      </c>
      <c r="C46" s="9" t="inlineStr">
        <is>
          <t>江口　美桜</t>
        </is>
      </c>
      <c r="D46" s="9" t="inlineStr">
        <is>
          <t>えぐち　みお</t>
        </is>
      </c>
      <c r="E46" s="8" t="inlineStr">
        <is>
          <t>女</t>
        </is>
      </c>
      <c r="F46" s="8" t="n">
        <v>84</v>
      </c>
      <c r="G46" s="8" t="n">
        <v>76</v>
      </c>
      <c r="H46" s="8" t="n">
        <v>98</v>
      </c>
      <c r="I46" s="8" t="n">
        <v>70</v>
      </c>
      <c r="J46" s="8" t="n">
        <v>72</v>
      </c>
      <c r="K46" s="10">
        <f>IF(COUNT(F46:J46)=0,"",ROUND(AVERAGE(F46:J46),1))</f>
        <v>80</v>
      </c>
      <c r="L46" s="11" t="n">
        <v>8.699999999999999</v>
      </c>
      <c r="M46" s="8" t="inlineStr">
        <is>
          <t>×</t>
        </is>
      </c>
      <c r="N46" s="8" t="n"/>
      <c r="O46" s="8" t="n"/>
      <c r="P46" s="8" t="n"/>
      <c r="Q46" s="12" t="n"/>
      <c r="R46" s="12" t="n"/>
      <c r="S46" s="12" t="n"/>
      <c r="T46" s="9" t="n"/>
      <c r="U46" s="13">
        <f>IF(A46="","",INDEX('計算'!$Z$2:$Z$151,AF46))</f>
        <v>2</v>
      </c>
      <c r="V46" s="13">
        <f>IF(A46="","",IFERROR(IF(INDEX('②クラス編成'!$E$9:$E$158,MATCH(A46,'②クラス編成'!$D$9:$D$158,0))="","未",INDEX('②クラス編成'!$E$9:$E$158,MATCH(A46,'②クラス編成'!$D$9:$D$158,0))),"未"))</f>
        <v>2</v>
      </c>
      <c r="W46" s="14" t="str">
        <f>IF(A46="","",A46&amp;" "&amp;C46)</f>
        <v>2208 江口　美桜</v>
      </c>
      <c r="X46" s="14">
        <f>IF(A46="","",IF(E46="男",1,IF(E46="女",2,3)))</f>
        <v>2</v>
      </c>
      <c r="Y46" s="14">
        <f>IF(OR(M46="〇",M46="○",M46="◯"),1,0)</f>
        <v>0</v>
      </c>
      <c r="Z46" s="14">
        <f>IF(OR(N46="〇",N46="○",N46="◯"),1,0)</f>
        <v>0</v>
      </c>
      <c r="AA46" s="14">
        <f>IF(OR(O46="〇",O46="○",O46="◯"),1,0)</f>
        <v>0</v>
      </c>
      <c r="AB46" s="14">
        <f>IF(OR(P46="〇",P46="○",P46="◯"),1,0)</f>
        <v>0</v>
      </c>
      <c r="AC46" s="14">
        <f>IF(A46="","",IF(AA46=1,1,IF(Y46=1,2,IF(Z46=1,3,IF(AB46=1,4,5)))))</f>
        <v>5</v>
      </c>
      <c r="AD46" s="14">
        <f>IF(A46="","",IF(K46="",'設定'!$C$37,K46))</f>
        <v>80</v>
      </c>
      <c r="AE46" s="14">
        <f>IF(A46="","",AC46*10000000-ROUND(ABS((AD46-'設定'!$C$37)/'設定'!$C$38)*10000,0))</f>
        <v>49986922</v>
      </c>
      <c r="AF46" s="14">
        <f>IF(A46="","",COUNTIF($AE$4:$AE$153,"&lt;"&amp;AE46)+COUNTIFS($AE$4:$AE$153,AE46,$A$4:$A$153,"&lt;"&amp;A46)+1)</f>
        <v>39</v>
      </c>
      <c r="AG46" s="14" t="str">
        <f>IF(Q46="","",IFERROR(VALUE(LEFT(Q46,FIND(" ",Q46&amp;" ")-1)),IFERROR(INDEX($A$4:$A$153,MATCH(Q46,$C$4:$C$153,0)),"")))</f>
        <v/>
      </c>
      <c r="AH46" s="14" t="str">
        <f>IF(R46="","",IFERROR(VALUE(LEFT(R46,FIND(" ",R46&amp;" ")-1)),IFERROR(INDEX($A$4:$A$153,MATCH(R46,$C$4:$C$153,0)),"")))</f>
        <v/>
      </c>
      <c r="AI46" s="14" t="str">
        <f>IF(S46="","",IFERROR(VALUE(LEFT(S46,FIND(" ",S46&amp;" ")-1)),IFERROR(INDEX($A$4:$A$153,MATCH(S46,$C$4:$C$153,0)),"")))</f>
        <v/>
      </c>
      <c r="AJ46" s="14" t="str">
        <f>IF(OR(A46="",B46=""),"",IF(COUNTIFS($B$4:B46,B46,$A$4:A46,"&lt;&gt;")=1,MAX($AJ$3:AJ45)+1,""))</f>
        <v/>
      </c>
      <c r="AK46" s="14">
        <f>IF(OR(A46="",NOT(ISNUMBER(L46))),"",L46^2)</f>
        <v>75.69</v>
      </c>
      <c r="AL46" s="14">
        <f>IF(OR(A46="",NOT(ISNUMBER(L46))),0,(L46-INDEX('計算'!$AE$7:$AG$7,X46))/INDEX('計算'!$AE$8:$AG$8,X46))</f>
        <v>-0.269729992298529</v>
      </c>
    </row>
    <row r="47">
      <c r="A47" s="8" t="n">
        <v>2209</v>
      </c>
      <c r="B47" s="8" t="n">
        <v>2</v>
      </c>
      <c r="C47" s="9" t="inlineStr">
        <is>
          <t>遠藤　杏</t>
        </is>
      </c>
      <c r="D47" s="9" t="inlineStr">
        <is>
          <t>えんどう　あん</t>
        </is>
      </c>
      <c r="E47" s="8" t="inlineStr">
        <is>
          <t>女</t>
        </is>
      </c>
      <c r="F47" s="8" t="n">
        <v>72</v>
      </c>
      <c r="G47" s="8" t="n">
        <v>65</v>
      </c>
      <c r="H47" s="8" t="n">
        <v>73</v>
      </c>
      <c r="I47" s="8" t="n">
        <v>69</v>
      </c>
      <c r="J47" s="8" t="n">
        <v>69</v>
      </c>
      <c r="K47" s="10">
        <f>IF(COUNT(F47:J47)=0,"",ROUND(AVERAGE(F47:J47),1))</f>
        <v>69.6</v>
      </c>
      <c r="L47" s="11" t="n">
        <v>8.699999999999999</v>
      </c>
      <c r="M47" s="8" t="inlineStr">
        <is>
          <t>×</t>
        </is>
      </c>
      <c r="N47" s="8" t="n"/>
      <c r="O47" s="8" t="n"/>
      <c r="P47" s="8" t="n"/>
      <c r="Q47" s="12" t="n"/>
      <c r="R47" s="12" t="n"/>
      <c r="S47" s="12" t="n"/>
      <c r="T47" s="9" t="inlineStr">
        <is>
          <t>部活：卓球</t>
        </is>
      </c>
      <c r="U47" s="13">
        <f>IF(A47="","",INDEX('計算'!$Z$2:$Z$151,AF47))</f>
        <v>3</v>
      </c>
      <c r="V47" s="13">
        <f>IF(A47="","",IFERROR(IF(INDEX('②クラス編成'!$E$9:$E$158,MATCH(A47,'②クラス編成'!$D$9:$D$158,0))="","未",INDEX('②クラス編成'!$E$9:$E$158,MATCH(A47,'②クラス編成'!$D$9:$D$158,0))),"未"))</f>
        <v>3</v>
      </c>
      <c r="W47" s="14" t="str">
        <f>IF(A47="","",A47&amp;" "&amp;C47)</f>
        <v>2209 遠藤　杏</v>
      </c>
      <c r="X47" s="14">
        <f>IF(A47="","",IF(E47="男",1,IF(E47="女",2,3)))</f>
        <v>2</v>
      </c>
      <c r="Y47" s="14">
        <f>IF(OR(M47="〇",M47="○",M47="◯"),1,0)</f>
        <v>0</v>
      </c>
      <c r="Z47" s="14">
        <f>IF(OR(N47="〇",N47="○",N47="◯"),1,0)</f>
        <v>0</v>
      </c>
      <c r="AA47" s="14">
        <f>IF(OR(O47="〇",O47="○",O47="◯"),1,0)</f>
        <v>0</v>
      </c>
      <c r="AB47" s="14">
        <f>IF(OR(P47="〇",P47="○",P47="◯"),1,0)</f>
        <v>0</v>
      </c>
      <c r="AC47" s="14">
        <f>IF(A47="","",IF(AA47=1,1,IF(Y47=1,2,IF(Z47=1,3,IF(AB47=1,4,5)))))</f>
        <v>5</v>
      </c>
      <c r="AD47" s="14">
        <f>IF(A47="","",IF(K47="",'設定'!$C$37,K47))</f>
        <v>69.6</v>
      </c>
      <c r="AE47" s="14">
        <f>IF(A47="","",AC47*10000000-ROUND(ABS((AD47-'設定'!$C$37)/'設定'!$C$38)*10000,0))</f>
        <v>49994689</v>
      </c>
      <c r="AF47" s="14">
        <f>IF(A47="","",COUNTIF($AE$4:$AE$153,"&lt;"&amp;AE47)+COUNTIFS($AE$4:$AE$153,AE47,$A$4:$A$153,"&lt;"&amp;A47)+1)</f>
        <v>81</v>
      </c>
      <c r="AG47" s="14" t="str">
        <f>IF(Q47="","",IFERROR(VALUE(LEFT(Q47,FIND(" ",Q47&amp;" ")-1)),IFERROR(INDEX($A$4:$A$153,MATCH(Q47,$C$4:$C$153,0)),"")))</f>
        <v/>
      </c>
      <c r="AH47" s="14" t="str">
        <f>IF(R47="","",IFERROR(VALUE(LEFT(R47,FIND(" ",R47&amp;" ")-1)),IFERROR(INDEX($A$4:$A$153,MATCH(R47,$C$4:$C$153,0)),"")))</f>
        <v/>
      </c>
      <c r="AI47" s="14" t="str">
        <f>IF(S47="","",IFERROR(VALUE(LEFT(S47,FIND(" ",S47&amp;" ")-1)),IFERROR(INDEX($A$4:$A$153,MATCH(S47,$C$4:$C$153,0)),"")))</f>
        <v/>
      </c>
      <c r="AJ47" s="14" t="str">
        <f>IF(OR(A47="",B47=""),"",IF(COUNTIFS($B$4:B47,B47,$A$4:A47,"&lt;&gt;")=1,MAX($AJ$3:AJ46)+1,""))</f>
        <v/>
      </c>
      <c r="AK47" s="14">
        <f>IF(OR(A47="",NOT(ISNUMBER(L47))),"",L47^2)</f>
        <v>75.69</v>
      </c>
      <c r="AL47" s="14">
        <f>IF(OR(A47="",NOT(ISNUMBER(L47))),0,(L47-INDEX('計算'!$AE$7:$AG$7,X47))/INDEX('計算'!$AE$8:$AG$8,X47))</f>
        <v>-0.269729992298529</v>
      </c>
    </row>
    <row r="48">
      <c r="A48" s="8" t="n">
        <v>2210</v>
      </c>
      <c r="B48" s="8" t="n">
        <v>2</v>
      </c>
      <c r="C48" s="9" t="inlineStr">
        <is>
          <t>岡田　樹</t>
        </is>
      </c>
      <c r="D48" s="9" t="inlineStr">
        <is>
          <t>おかだ　いつき</t>
        </is>
      </c>
      <c r="E48" s="8" t="inlineStr">
        <is>
          <t>男</t>
        </is>
      </c>
      <c r="F48" s="8" t="n">
        <v>46</v>
      </c>
      <c r="G48" s="8" t="n">
        <v>61</v>
      </c>
      <c r="H48" s="8" t="n">
        <v>42</v>
      </c>
      <c r="I48" s="8" t="n">
        <v>68</v>
      </c>
      <c r="J48" s="8" t="n">
        <v>48</v>
      </c>
      <c r="K48" s="10">
        <f>IF(COUNT(F48:J48)=0,"",ROUND(AVERAGE(F48:J48),1))</f>
        <v>53</v>
      </c>
      <c r="L48" s="11" t="n">
        <v>6.8</v>
      </c>
      <c r="M48" s="8" t="inlineStr">
        <is>
          <t>×</t>
        </is>
      </c>
      <c r="N48" s="8" t="inlineStr">
        <is>
          <t>〇</t>
        </is>
      </c>
      <c r="O48" s="8" t="n"/>
      <c r="P48" s="8" t="n"/>
      <c r="Q48" s="12" t="n"/>
      <c r="R48" s="12" t="n"/>
      <c r="S48" s="12" t="n"/>
      <c r="T48" s="9" t="n"/>
      <c r="U48" s="13">
        <f>IF(A48="","",INDEX('計算'!$Z$2:$Z$151,AF48))</f>
        <v>1</v>
      </c>
      <c r="V48" s="13">
        <f>IF(A48="","",IFERROR(IF(INDEX('②クラス編成'!$E$9:$E$158,MATCH(A48,'②クラス編成'!$D$9:$D$158,0))="","未",INDEX('②クラス編成'!$E$9:$E$158,MATCH(A48,'②クラス編成'!$D$9:$D$158,0))),"未"))</f>
        <v>1</v>
      </c>
      <c r="W48" s="14" t="str">
        <f>IF(A48="","",A48&amp;" "&amp;C48)</f>
        <v>2210 岡田　樹</v>
      </c>
      <c r="X48" s="14">
        <f>IF(A48="","",IF(E48="男",1,IF(E48="女",2,3)))</f>
        <v>1</v>
      </c>
      <c r="Y48" s="14">
        <f>IF(OR(M48="〇",M48="○",M48="◯"),1,0)</f>
        <v>0</v>
      </c>
      <c r="Z48" s="14">
        <f>IF(OR(N48="〇",N48="○",N48="◯"),1,0)</f>
        <v>1</v>
      </c>
      <c r="AA48" s="14">
        <f>IF(OR(O48="〇",O48="○",O48="◯"),1,0)</f>
        <v>0</v>
      </c>
      <c r="AB48" s="14">
        <f>IF(OR(P48="〇",P48="○",P48="◯"),1,0)</f>
        <v>0</v>
      </c>
      <c r="AC48" s="14">
        <f>IF(A48="","",IF(AA48=1,1,IF(Y48=1,2,IF(Z48=1,3,IF(AB48=1,4,5)))))</f>
        <v>3</v>
      </c>
      <c r="AD48" s="14">
        <f>IF(A48="","",IF(K48="",'設定'!$C$37,K48))</f>
        <v>53</v>
      </c>
      <c r="AE48" s="14">
        <f>IF(A48="","",AC48*10000000-ROUND(ABS((AD48-'設定'!$C$37)/'設定'!$C$38)*10000,0))</f>
        <v>29992915</v>
      </c>
      <c r="AF48" s="14">
        <f>IF(A48="","",COUNTIF($AE$4:$AE$153,"&lt;"&amp;AE48)+COUNTIFS($AE$4:$AE$153,AE48,$A$4:$A$153,"&lt;"&amp;A48)+1)</f>
        <v>22</v>
      </c>
      <c r="AG48" s="14" t="str">
        <f>IF(Q48="","",IFERROR(VALUE(LEFT(Q48,FIND(" ",Q48&amp;" ")-1)),IFERROR(INDEX($A$4:$A$153,MATCH(Q48,$C$4:$C$153,0)),"")))</f>
        <v/>
      </c>
      <c r="AH48" s="14" t="str">
        <f>IF(R48="","",IFERROR(VALUE(LEFT(R48,FIND(" ",R48&amp;" ")-1)),IFERROR(INDEX($A$4:$A$153,MATCH(R48,$C$4:$C$153,0)),"")))</f>
        <v/>
      </c>
      <c r="AI48" s="14" t="str">
        <f>IF(S48="","",IFERROR(VALUE(LEFT(S48,FIND(" ",S48&amp;" ")-1)),IFERROR(INDEX($A$4:$A$153,MATCH(S48,$C$4:$C$153,0)),"")))</f>
        <v/>
      </c>
      <c r="AJ48" s="14" t="str">
        <f>IF(OR(A48="",B48=""),"",IF(COUNTIFS($B$4:B48,B48,$A$4:A48,"&lt;&gt;")=1,MAX($AJ$3:AJ47)+1,""))</f>
        <v/>
      </c>
      <c r="AK48" s="14">
        <f>IF(OR(A48="",NOT(ISNUMBER(L48))),"",L48^2)</f>
        <v>46.24</v>
      </c>
      <c r="AL48" s="14">
        <f>IF(OR(A48="",NOT(ISNUMBER(L48))),0,(L48-INDEX('計算'!$AE$7:$AG$7,X48))/INDEX('計算'!$AE$8:$AG$8,X48))</f>
        <v>-2.02722731903744</v>
      </c>
    </row>
    <row r="49">
      <c r="A49" s="8" t="n">
        <v>2211</v>
      </c>
      <c r="B49" s="8" t="n">
        <v>2</v>
      </c>
      <c r="C49" s="9" t="inlineStr">
        <is>
          <t>小川　陽葵</t>
        </is>
      </c>
      <c r="D49" s="9" t="inlineStr">
        <is>
          <t>おがわ　ひまり</t>
        </is>
      </c>
      <c r="E49" s="8" t="inlineStr">
        <is>
          <t>女</t>
        </is>
      </c>
      <c r="F49" s="8" t="n">
        <v>54</v>
      </c>
      <c r="G49" s="8" t="n">
        <v>42</v>
      </c>
      <c r="H49" s="8" t="n">
        <v>52</v>
      </c>
      <c r="I49" s="8" t="n">
        <v>37</v>
      </c>
      <c r="J49" s="8" t="n">
        <v>51</v>
      </c>
      <c r="K49" s="10">
        <f>IF(COUNT(F49:J49)=0,"",ROUND(AVERAGE(F49:J49),1))</f>
        <v>47.2</v>
      </c>
      <c r="L49" s="11" t="n">
        <v>8.800000000000001</v>
      </c>
      <c r="M49" s="8" t="inlineStr">
        <is>
          <t>〇</t>
        </is>
      </c>
      <c r="N49" s="8" t="n"/>
      <c r="O49" s="8" t="n"/>
      <c r="P49" s="8" t="n"/>
      <c r="Q49" s="12" t="n"/>
      <c r="R49" s="12" t="n"/>
      <c r="S49" s="12" t="n"/>
      <c r="T49" s="9" t="n"/>
      <c r="U49" s="13">
        <f>IF(A49="","",INDEX('計算'!$Z$2:$Z$151,AF49))</f>
        <v>2</v>
      </c>
      <c r="V49" s="13">
        <f>IF(A49="","",IFERROR(IF(INDEX('②クラス編成'!$E$9:$E$158,MATCH(A49,'②クラス編成'!$D$9:$D$158,0))="","未",INDEX('②クラス編成'!$E$9:$E$158,MATCH(A49,'②クラス編成'!$D$9:$D$158,0))),"未"))</f>
        <v>2</v>
      </c>
      <c r="W49" s="14" t="str">
        <f>IF(A49="","",A49&amp;" "&amp;C49)</f>
        <v>2211 小川　陽葵</v>
      </c>
      <c r="X49" s="14">
        <f>IF(A49="","",IF(E49="男",1,IF(E49="女",2,3)))</f>
        <v>2</v>
      </c>
      <c r="Y49" s="14">
        <f>IF(OR(M49="〇",M49="○",M49="◯"),1,0)</f>
        <v>1</v>
      </c>
      <c r="Z49" s="14">
        <f>IF(OR(N49="〇",N49="○",N49="◯"),1,0)</f>
        <v>0</v>
      </c>
      <c r="AA49" s="14">
        <f>IF(OR(O49="〇",O49="○",O49="◯"),1,0)</f>
        <v>0</v>
      </c>
      <c r="AB49" s="14">
        <f>IF(OR(P49="〇",P49="○",P49="◯"),1,0)</f>
        <v>0</v>
      </c>
      <c r="AC49" s="14">
        <f>IF(A49="","",IF(AA49=1,1,IF(Y49=1,2,IF(Z49=1,3,IF(AB49=1,4,5)))))</f>
        <v>2</v>
      </c>
      <c r="AD49" s="14">
        <f>IF(A49="","",IF(K49="",'設定'!$C$37,K49))</f>
        <v>47.2</v>
      </c>
      <c r="AE49" s="14">
        <f>IF(A49="","",AC49*10000000-ROUND(ABS((AD49-'設定'!$C$37)/'設定'!$C$38)*10000,0))</f>
        <v>19988584</v>
      </c>
      <c r="AF49" s="14">
        <f>IF(A49="","",COUNTIF($AE$4:$AE$153,"&lt;"&amp;AE49)+COUNTIFS($AE$4:$AE$153,AE49,$A$4:$A$153,"&lt;"&amp;A49)+1)</f>
        <v>11</v>
      </c>
      <c r="AG49" s="14" t="str">
        <f>IF(Q49="","",IFERROR(VALUE(LEFT(Q49,FIND(" ",Q49&amp;" ")-1)),IFERROR(INDEX($A$4:$A$153,MATCH(Q49,$C$4:$C$153,0)),"")))</f>
        <v/>
      </c>
      <c r="AH49" s="14" t="str">
        <f>IF(R49="","",IFERROR(VALUE(LEFT(R49,FIND(" ",R49&amp;" ")-1)),IFERROR(INDEX($A$4:$A$153,MATCH(R49,$C$4:$C$153,0)),"")))</f>
        <v/>
      </c>
      <c r="AI49" s="14" t="str">
        <f>IF(S49="","",IFERROR(VALUE(LEFT(S49,FIND(" ",S49&amp;" ")-1)),IFERROR(INDEX($A$4:$A$153,MATCH(S49,$C$4:$C$153,0)),"")))</f>
        <v/>
      </c>
      <c r="AJ49" s="14" t="str">
        <f>IF(OR(A49="",B49=""),"",IF(COUNTIFS($B$4:B49,B49,$A$4:A49,"&lt;&gt;")=1,MAX($AJ$3:AJ48)+1,""))</f>
        <v/>
      </c>
      <c r="AK49" s="14">
        <f>IF(OR(A49="",NOT(ISNUMBER(L49))),"",L49^2)</f>
        <v>77.44</v>
      </c>
      <c r="AL49" s="14">
        <f>IF(OR(A49="",NOT(ISNUMBER(L49))),0,(L49-INDEX('計算'!$AE$7:$AG$7,X49))/INDEX('計算'!$AE$8:$AG$8,X49))</f>
        <v>-0.105965354117278</v>
      </c>
    </row>
    <row r="50">
      <c r="A50" s="8" t="n">
        <v>2212</v>
      </c>
      <c r="B50" s="8" t="n">
        <v>2</v>
      </c>
      <c r="C50" s="9" t="inlineStr">
        <is>
          <t>小野　一輝</t>
        </is>
      </c>
      <c r="D50" s="9" t="inlineStr">
        <is>
          <t>おの　かずき</t>
        </is>
      </c>
      <c r="E50" s="8" t="inlineStr">
        <is>
          <t>男</t>
        </is>
      </c>
      <c r="F50" s="8" t="n">
        <v>56</v>
      </c>
      <c r="G50" s="8" t="n">
        <v>73</v>
      </c>
      <c r="H50" s="8" t="n">
        <v>77</v>
      </c>
      <c r="I50" s="8" t="n">
        <v>91</v>
      </c>
      <c r="J50" s="8" t="n">
        <v>72</v>
      </c>
      <c r="K50" s="10">
        <f>IF(COUNT(F50:J50)=0,"",ROUND(AVERAGE(F50:J50),1))</f>
        <v>73.8</v>
      </c>
      <c r="L50" s="11" t="n">
        <v>7.8</v>
      </c>
      <c r="M50" s="8" t="inlineStr">
        <is>
          <t>×</t>
        </is>
      </c>
      <c r="N50" s="8" t="n"/>
      <c r="O50" s="8" t="n"/>
      <c r="P50" s="8" t="n"/>
      <c r="Q50" s="12" t="n"/>
      <c r="R50" s="12" t="n"/>
      <c r="S50" s="12" t="n"/>
      <c r="T50" s="9" t="n"/>
      <c r="U50" s="13">
        <f>IF(A50="","",INDEX('計算'!$Z$2:$Z$151,AF50))</f>
        <v>2</v>
      </c>
      <c r="V50" s="13">
        <f>IF(A50="","",IFERROR(IF(INDEX('②クラス編成'!$E$9:$E$158,MATCH(A50,'②クラス編成'!$D$9:$D$158,0))="","未",INDEX('②クラス編成'!$E$9:$E$158,MATCH(A50,'②クラス編成'!$D$9:$D$158,0))),"未"))</f>
        <v>2</v>
      </c>
      <c r="W50" s="14" t="str">
        <f>IF(A50="","",A50&amp;" "&amp;C50)</f>
        <v>2212 小野　一輝</v>
      </c>
      <c r="X50" s="14">
        <f>IF(A50="","",IF(E50="男",1,IF(E50="女",2,3)))</f>
        <v>1</v>
      </c>
      <c r="Y50" s="14">
        <f>IF(OR(M50="〇",M50="○",M50="◯"),1,0)</f>
        <v>0</v>
      </c>
      <c r="Z50" s="14">
        <f>IF(OR(N50="〇",N50="○",N50="◯"),1,0)</f>
        <v>0</v>
      </c>
      <c r="AA50" s="14">
        <f>IF(OR(O50="〇",O50="○",O50="◯"),1,0)</f>
        <v>0</v>
      </c>
      <c r="AB50" s="14">
        <f>IF(OR(P50="〇",P50="○",P50="◯"),1,0)</f>
        <v>0</v>
      </c>
      <c r="AC50" s="14">
        <f>IF(A50="","",IF(AA50=1,1,IF(Y50=1,2,IF(Z50=1,3,IF(AB50=1,4,5)))))</f>
        <v>5</v>
      </c>
      <c r="AD50" s="14">
        <f>IF(A50="","",IF(K50="",'設定'!$C$37,K50))</f>
        <v>73.8</v>
      </c>
      <c r="AE50" s="14">
        <f>IF(A50="","",AC50*10000000-ROUND(ABS((AD50-'設定'!$C$37)/'設定'!$C$38)*10000,0))</f>
        <v>49991552</v>
      </c>
      <c r="AF50" s="14">
        <f>IF(A50="","",COUNTIF($AE$4:$AE$153,"&lt;"&amp;AE50)+COUNTIFS($AE$4:$AE$153,AE50,$A$4:$A$153,"&lt;"&amp;A50)+1)</f>
        <v>64</v>
      </c>
      <c r="AG50" s="14" t="str">
        <f>IF(Q50="","",IFERROR(VALUE(LEFT(Q50,FIND(" ",Q50&amp;" ")-1)),IFERROR(INDEX($A$4:$A$153,MATCH(Q50,$C$4:$C$153,0)),"")))</f>
        <v/>
      </c>
      <c r="AH50" s="14" t="str">
        <f>IF(R50="","",IFERROR(VALUE(LEFT(R50,FIND(" ",R50&amp;" ")-1)),IFERROR(INDEX($A$4:$A$153,MATCH(R50,$C$4:$C$153,0)),"")))</f>
        <v/>
      </c>
      <c r="AI50" s="14" t="str">
        <f>IF(S50="","",IFERROR(VALUE(LEFT(S50,FIND(" ",S50&amp;" ")-1)),IFERROR(INDEX($A$4:$A$153,MATCH(S50,$C$4:$C$153,0)),"")))</f>
        <v/>
      </c>
      <c r="AJ50" s="14" t="str">
        <f>IF(OR(A50="",B50=""),"",IF(COUNTIFS($B$4:B50,B50,$A$4:A50,"&lt;&gt;")=1,MAX($AJ$3:AJ49)+1,""))</f>
        <v/>
      </c>
      <c r="AK50" s="14">
        <f>IF(OR(A50="",NOT(ISNUMBER(L50))),"",L50^2)</f>
        <v>60.84</v>
      </c>
      <c r="AL50" s="14">
        <f>IF(OR(A50="",NOT(ISNUMBER(L50))),0,(L50-INDEX('計算'!$AE$7:$AG$7,X50))/INDEX('計算'!$AE$8:$AG$8,X50))</f>
        <v>0.24866197884243</v>
      </c>
    </row>
    <row r="51">
      <c r="A51" s="8" t="n">
        <v>2213</v>
      </c>
      <c r="B51" s="8" t="n">
        <v>2</v>
      </c>
      <c r="C51" s="9" t="inlineStr">
        <is>
          <t>小野　翔太</t>
        </is>
      </c>
      <c r="D51" s="9" t="inlineStr">
        <is>
          <t>おの　しょうた</t>
        </is>
      </c>
      <c r="E51" s="8" t="inlineStr">
        <is>
          <t>男</t>
        </is>
      </c>
      <c r="F51" s="8" t="n">
        <v>42</v>
      </c>
      <c r="G51" s="8" t="n">
        <v>35</v>
      </c>
      <c r="H51" s="8" t="n">
        <v>53</v>
      </c>
      <c r="I51" s="8" t="n">
        <v>45</v>
      </c>
      <c r="J51" s="8" t="n">
        <v>48</v>
      </c>
      <c r="K51" s="10">
        <f>IF(COUNT(F51:J51)=0,"",ROUND(AVERAGE(F51:J51),1))</f>
        <v>44.6</v>
      </c>
      <c r="L51" s="11" t="n">
        <v>7.5</v>
      </c>
      <c r="M51" s="8" t="inlineStr">
        <is>
          <t>×</t>
        </is>
      </c>
      <c r="N51" s="8" t="n"/>
      <c r="O51" s="8" t="n"/>
      <c r="P51" s="8" t="n"/>
      <c r="Q51" s="12" t="n"/>
      <c r="R51" s="12" t="n"/>
      <c r="S51" s="12" t="n"/>
      <c r="T51" s="9" t="n"/>
      <c r="U51" s="13">
        <f>IF(A51="","",INDEX('計算'!$Z$2:$Z$151,AF51))</f>
        <v>3</v>
      </c>
      <c r="V51" s="13">
        <f>IF(A51="","",IFERROR(IF(INDEX('②クラス編成'!$E$9:$E$158,MATCH(A51,'②クラス編成'!$D$9:$D$158,0))="","未",INDEX('②クラス編成'!$E$9:$E$158,MATCH(A51,'②クラス編成'!$D$9:$D$158,0))),"未"))</f>
        <v>3</v>
      </c>
      <c r="W51" s="14" t="str">
        <f>IF(A51="","",A51&amp;" "&amp;C51)</f>
        <v>2213 小野　翔太</v>
      </c>
      <c r="X51" s="14">
        <f>IF(A51="","",IF(E51="男",1,IF(E51="女",2,3)))</f>
        <v>1</v>
      </c>
      <c r="Y51" s="14">
        <f>IF(OR(M51="〇",M51="○",M51="◯"),1,0)</f>
        <v>0</v>
      </c>
      <c r="Z51" s="14">
        <f>IF(OR(N51="〇",N51="○",N51="◯"),1,0)</f>
        <v>0</v>
      </c>
      <c r="AA51" s="14">
        <f>IF(OR(O51="〇",O51="○",O51="◯"),1,0)</f>
        <v>0</v>
      </c>
      <c r="AB51" s="14">
        <f>IF(OR(P51="〇",P51="○",P51="◯"),1,0)</f>
        <v>0</v>
      </c>
      <c r="AC51" s="14">
        <f>IF(A51="","",IF(AA51=1,1,IF(Y51=1,2,IF(Z51=1,3,IF(AB51=1,4,5)))))</f>
        <v>5</v>
      </c>
      <c r="AD51" s="14">
        <f>IF(A51="","",IF(K51="",'設定'!$C$37,K51))</f>
        <v>44.6</v>
      </c>
      <c r="AE51" s="14">
        <f>IF(A51="","",AC51*10000000-ROUND(ABS((AD51-'設定'!$C$37)/'設定'!$C$38)*10000,0))</f>
        <v>49986642</v>
      </c>
      <c r="AF51" s="14">
        <f>IF(A51="","",COUNTIF($AE$4:$AE$153,"&lt;"&amp;AE51)+COUNTIFS($AE$4:$AE$153,AE51,$A$4:$A$153,"&lt;"&amp;A51)+1)</f>
        <v>37</v>
      </c>
      <c r="AG51" s="14" t="str">
        <f>IF(Q51="","",IFERROR(VALUE(LEFT(Q51,FIND(" ",Q51&amp;" ")-1)),IFERROR(INDEX($A$4:$A$153,MATCH(Q51,$C$4:$C$153,0)),"")))</f>
        <v/>
      </c>
      <c r="AH51" s="14" t="str">
        <f>IF(R51="","",IFERROR(VALUE(LEFT(R51,FIND(" ",R51&amp;" ")-1)),IFERROR(INDEX($A$4:$A$153,MATCH(R51,$C$4:$C$153,0)),"")))</f>
        <v/>
      </c>
      <c r="AI51" s="14" t="str">
        <f>IF(S51="","",IFERROR(VALUE(LEFT(S51,FIND(" ",S51&amp;" ")-1)),IFERROR(INDEX($A$4:$A$153,MATCH(S51,$C$4:$C$153,0)),"")))</f>
        <v/>
      </c>
      <c r="AJ51" s="14" t="str">
        <f>IF(OR(A51="",B51=""),"",IF(COUNTIFS($B$4:B51,B51,$A$4:A51,"&lt;&gt;")=1,MAX($AJ$3:AJ50)+1,""))</f>
        <v/>
      </c>
      <c r="AK51" s="14">
        <f>IF(OR(A51="",NOT(ISNUMBER(L51))),"",L51^2)</f>
        <v>56.25</v>
      </c>
      <c r="AL51" s="14">
        <f>IF(OR(A51="",NOT(ISNUMBER(L51))),0,(L51-INDEX('計算'!$AE$7:$AG$7,X51))/INDEX('計算'!$AE$8:$AG$8,X51))</f>
        <v>-0.43410481052153</v>
      </c>
    </row>
    <row r="52">
      <c r="A52" s="8" t="n">
        <v>2214</v>
      </c>
      <c r="B52" s="8" t="n">
        <v>2</v>
      </c>
      <c r="C52" s="9" t="inlineStr">
        <is>
          <t>金子　咲良</t>
        </is>
      </c>
      <c r="D52" s="9" t="inlineStr">
        <is>
          <t>かねこ　さくら</t>
        </is>
      </c>
      <c r="E52" s="8" t="inlineStr">
        <is>
          <t>女</t>
        </is>
      </c>
      <c r="F52" s="8" t="n">
        <v>84</v>
      </c>
      <c r="G52" s="8" t="n">
        <v>88</v>
      </c>
      <c r="H52" s="8" t="n">
        <v>73</v>
      </c>
      <c r="I52" s="8" t="n">
        <v>72</v>
      </c>
      <c r="J52" s="8" t="n">
        <v>74</v>
      </c>
      <c r="K52" s="10">
        <f>IF(COUNT(F52:J52)=0,"",ROUND(AVERAGE(F52:J52),1))</f>
        <v>78.2</v>
      </c>
      <c r="L52" s="11" t="n">
        <v>9.9</v>
      </c>
      <c r="M52" s="8" t="inlineStr">
        <is>
          <t>×</t>
        </is>
      </c>
      <c r="N52" s="8" t="n"/>
      <c r="O52" s="8" t="n"/>
      <c r="P52" s="8" t="inlineStr">
        <is>
          <t>〇</t>
        </is>
      </c>
      <c r="Q52" s="12" t="n"/>
      <c r="R52" s="12" t="n"/>
      <c r="S52" s="12" t="n"/>
      <c r="T52" s="9" t="n"/>
      <c r="U52" s="13">
        <f>IF(A52="","",INDEX('計算'!$Z$2:$Z$151,AF52))</f>
        <v>1</v>
      </c>
      <c r="V52" s="13">
        <f>IF(A52="","",IFERROR(IF(INDEX('②クラス編成'!$E$9:$E$158,MATCH(A52,'②クラス編成'!$D$9:$D$158,0))="","未",INDEX('②クラス編成'!$E$9:$E$158,MATCH(A52,'②クラス編成'!$D$9:$D$158,0))),"未"))</f>
        <v>1</v>
      </c>
      <c r="W52" s="14" t="str">
        <f>IF(A52="","",A52&amp;" "&amp;C52)</f>
        <v>2214 金子　咲良</v>
      </c>
      <c r="X52" s="14">
        <f>IF(A52="","",IF(E52="男",1,IF(E52="女",2,3)))</f>
        <v>2</v>
      </c>
      <c r="Y52" s="14">
        <f>IF(OR(M52="〇",M52="○",M52="◯"),1,0)</f>
        <v>0</v>
      </c>
      <c r="Z52" s="14">
        <f>IF(OR(N52="〇",N52="○",N52="◯"),1,0)</f>
        <v>0</v>
      </c>
      <c r="AA52" s="14">
        <f>IF(OR(O52="〇",O52="○",O52="◯"),1,0)</f>
        <v>0</v>
      </c>
      <c r="AB52" s="14">
        <f>IF(OR(P52="〇",P52="○",P52="◯"),1,0)</f>
        <v>1</v>
      </c>
      <c r="AC52" s="14">
        <f>IF(A52="","",IF(AA52=1,1,IF(Y52=1,2,IF(Z52=1,3,IF(AB52=1,4,5)))))</f>
        <v>4</v>
      </c>
      <c r="AD52" s="14">
        <f>IF(A52="","",IF(K52="",'設定'!$C$37,K52))</f>
        <v>78.2</v>
      </c>
      <c r="AE52" s="14">
        <f>IF(A52="","",AC52*10000000-ROUND(ABS((AD52-'設定'!$C$37)/'設定'!$C$38)*10000,0))</f>
        <v>39988266</v>
      </c>
      <c r="AF52" s="14">
        <f>IF(A52="","",COUNTIF($AE$4:$AE$153,"&lt;"&amp;AE52)+COUNTIFS($AE$4:$AE$153,AE52,$A$4:$A$153,"&lt;"&amp;A52)+1)</f>
        <v>26</v>
      </c>
      <c r="AG52" s="14" t="str">
        <f>IF(Q52="","",IFERROR(VALUE(LEFT(Q52,FIND(" ",Q52&amp;" ")-1)),IFERROR(INDEX($A$4:$A$153,MATCH(Q52,$C$4:$C$153,0)),"")))</f>
        <v/>
      </c>
      <c r="AH52" s="14" t="str">
        <f>IF(R52="","",IFERROR(VALUE(LEFT(R52,FIND(" ",R52&amp;" ")-1)),IFERROR(INDEX($A$4:$A$153,MATCH(R52,$C$4:$C$153,0)),"")))</f>
        <v/>
      </c>
      <c r="AI52" s="14" t="str">
        <f>IF(S52="","",IFERROR(VALUE(LEFT(S52,FIND(" ",S52&amp;" ")-1)),IFERROR(INDEX($A$4:$A$153,MATCH(S52,$C$4:$C$153,0)),"")))</f>
        <v/>
      </c>
      <c r="AJ52" s="14" t="str">
        <f>IF(OR(A52="",B52=""),"",IF(COUNTIFS($B$4:B52,B52,$A$4:A52,"&lt;&gt;")=1,MAX($AJ$3:AJ51)+1,""))</f>
        <v/>
      </c>
      <c r="AK52" s="14">
        <f>IF(OR(A52="",NOT(ISNUMBER(L52))),"",L52^2)</f>
        <v>98.01</v>
      </c>
      <c r="AL52" s="14">
        <f>IF(OR(A52="",NOT(ISNUMBER(L52))),0,(L52-INDEX('計算'!$AE$7:$AG$7,X52))/INDEX('計算'!$AE$8:$AG$8,X52))</f>
        <v>1.69544566587646</v>
      </c>
    </row>
    <row r="53">
      <c r="A53" s="8" t="n">
        <v>2215</v>
      </c>
      <c r="B53" s="8" t="n">
        <v>2</v>
      </c>
      <c r="C53" s="9" t="inlineStr">
        <is>
          <t>金子　颯太</t>
        </is>
      </c>
      <c r="D53" s="9" t="inlineStr">
        <is>
          <t>かねこ　そうた</t>
        </is>
      </c>
      <c r="E53" s="8" t="inlineStr">
        <is>
          <t>男</t>
        </is>
      </c>
      <c r="F53" s="8" t="n">
        <v>36</v>
      </c>
      <c r="G53" s="8" t="n">
        <v>37</v>
      </c>
      <c r="H53" s="8" t="n">
        <v>35</v>
      </c>
      <c r="I53" s="8" t="n">
        <v>62</v>
      </c>
      <c r="J53" s="8" t="n">
        <v>54</v>
      </c>
      <c r="K53" s="10">
        <f>IF(COUNT(F53:J53)=0,"",ROUND(AVERAGE(F53:J53),1))</f>
        <v>44.8</v>
      </c>
      <c r="L53" s="11" t="n">
        <v>8.1</v>
      </c>
      <c r="M53" s="8" t="inlineStr">
        <is>
          <t>×</t>
        </is>
      </c>
      <c r="N53" s="8" t="n"/>
      <c r="O53" s="8" t="n"/>
      <c r="P53" s="8" t="n"/>
      <c r="Q53" s="12" t="n"/>
      <c r="R53" s="12" t="n"/>
      <c r="S53" s="12" t="n"/>
      <c r="T53" s="9" t="n"/>
      <c r="U53" s="13">
        <f>IF(A53="","",INDEX('計算'!$Z$2:$Z$151,AF53))</f>
        <v>2</v>
      </c>
      <c r="V53" s="13">
        <f>IF(A53="","",IFERROR(IF(INDEX('②クラス編成'!$E$9:$E$158,MATCH(A53,'②クラス編成'!$D$9:$D$158,0))="","未",INDEX('②クラス編成'!$E$9:$E$158,MATCH(A53,'②クラス編成'!$D$9:$D$158,0))),"未"))</f>
        <v>2</v>
      </c>
      <c r="W53" s="14" t="str">
        <f>IF(A53="","",A53&amp;" "&amp;C53)</f>
        <v>2215 金子　颯太</v>
      </c>
      <c r="X53" s="14">
        <f>IF(A53="","",IF(E53="男",1,IF(E53="女",2,3)))</f>
        <v>1</v>
      </c>
      <c r="Y53" s="14">
        <f>IF(OR(M53="〇",M53="○",M53="◯"),1,0)</f>
        <v>0</v>
      </c>
      <c r="Z53" s="14">
        <f>IF(OR(N53="〇",N53="○",N53="◯"),1,0)</f>
        <v>0</v>
      </c>
      <c r="AA53" s="14">
        <f>IF(OR(O53="〇",O53="○",O53="◯"),1,0)</f>
        <v>0</v>
      </c>
      <c r="AB53" s="14">
        <f>IF(OR(P53="〇",P53="○",P53="◯"),1,0)</f>
        <v>0</v>
      </c>
      <c r="AC53" s="14">
        <f>IF(A53="","",IF(AA53=1,1,IF(Y53=1,2,IF(Z53=1,3,IF(AB53=1,4,5)))))</f>
        <v>5</v>
      </c>
      <c r="AD53" s="14">
        <f>IF(A53="","",IF(K53="",'設定'!$C$37,K53))</f>
        <v>44.8</v>
      </c>
      <c r="AE53" s="14">
        <f>IF(A53="","",AC53*10000000-ROUND(ABS((AD53-'設定'!$C$37)/'設定'!$C$38)*10000,0))</f>
        <v>49986791</v>
      </c>
      <c r="AF53" s="14">
        <f>IF(A53="","",COUNTIF($AE$4:$AE$153,"&lt;"&amp;AE53)+COUNTIFS($AE$4:$AE$153,AE53,$A$4:$A$153,"&lt;"&amp;A53)+1)</f>
        <v>38</v>
      </c>
      <c r="AG53" s="14" t="str">
        <f>IF(Q53="","",IFERROR(VALUE(LEFT(Q53,FIND(" ",Q53&amp;" ")-1)),IFERROR(INDEX($A$4:$A$153,MATCH(Q53,$C$4:$C$153,0)),"")))</f>
        <v/>
      </c>
      <c r="AH53" s="14" t="str">
        <f>IF(R53="","",IFERROR(VALUE(LEFT(R53,FIND(" ",R53&amp;" ")-1)),IFERROR(INDEX($A$4:$A$153,MATCH(R53,$C$4:$C$153,0)),"")))</f>
        <v/>
      </c>
      <c r="AI53" s="14" t="str">
        <f>IF(S53="","",IFERROR(VALUE(LEFT(S53,FIND(" ",S53&amp;" ")-1)),IFERROR(INDEX($A$4:$A$153,MATCH(S53,$C$4:$C$153,0)),"")))</f>
        <v/>
      </c>
      <c r="AJ53" s="14" t="str">
        <f>IF(OR(A53="",B53=""),"",IF(COUNTIFS($B$4:B53,B53,$A$4:A53,"&lt;&gt;")=1,MAX($AJ$3:AJ52)+1,""))</f>
        <v/>
      </c>
      <c r="AK53" s="14">
        <f>IF(OR(A53="",NOT(ISNUMBER(L53))),"",L53^2)</f>
        <v>65.61</v>
      </c>
      <c r="AL53" s="14">
        <f>IF(OR(A53="",NOT(ISNUMBER(L53))),0,(L53-INDEX('計算'!$AE$7:$AG$7,X53))/INDEX('計算'!$AE$8:$AG$8,X53))</f>
        <v>0.93142876820639</v>
      </c>
    </row>
    <row r="54">
      <c r="A54" s="8" t="n">
        <v>2216</v>
      </c>
      <c r="B54" s="8" t="n">
        <v>2</v>
      </c>
      <c r="C54" s="9" t="inlineStr">
        <is>
          <t>後藤　美咲</t>
        </is>
      </c>
      <c r="D54" s="9" t="inlineStr">
        <is>
          <t>ごとう　みさき</t>
        </is>
      </c>
      <c r="E54" s="8" t="inlineStr">
        <is>
          <t>女</t>
        </is>
      </c>
      <c r="F54" s="8" t="n">
        <v>62</v>
      </c>
      <c r="G54" s="8" t="n">
        <v>60</v>
      </c>
      <c r="H54" s="8" t="n">
        <v>60</v>
      </c>
      <c r="I54" s="8" t="n">
        <v>77</v>
      </c>
      <c r="J54" s="8" t="n">
        <v>66</v>
      </c>
      <c r="K54" s="10">
        <f>IF(COUNT(F54:J54)=0,"",ROUND(AVERAGE(F54:J54),1))</f>
        <v>65</v>
      </c>
      <c r="L54" s="11" t="n">
        <v>10</v>
      </c>
      <c r="M54" s="8" t="inlineStr">
        <is>
          <t>×</t>
        </is>
      </c>
      <c r="N54" s="8" t="n"/>
      <c r="O54" s="8" t="n"/>
      <c r="P54" s="8" t="n"/>
      <c r="Q54" s="12" t="n"/>
      <c r="R54" s="12" t="n"/>
      <c r="S54" s="12" t="n"/>
      <c r="T54" s="9" t="n"/>
      <c r="U54" s="13">
        <f>IF(A54="","",INDEX('計算'!$Z$2:$Z$151,AF54))</f>
        <v>2</v>
      </c>
      <c r="V54" s="13">
        <f>IF(A54="","",IFERROR(IF(INDEX('②クラス編成'!$E$9:$E$158,MATCH(A54,'②クラス編成'!$D$9:$D$158,0))="","未",INDEX('②クラス編成'!$E$9:$E$158,MATCH(A54,'②クラス編成'!$D$9:$D$158,0))),"未"))</f>
        <v>2</v>
      </c>
      <c r="W54" s="14" t="str">
        <f>IF(A54="","",A54&amp;" "&amp;C54)</f>
        <v>2216 後藤　美咲</v>
      </c>
      <c r="X54" s="14">
        <f>IF(A54="","",IF(E54="男",1,IF(E54="女",2,3)))</f>
        <v>2</v>
      </c>
      <c r="Y54" s="14">
        <f>IF(OR(M54="〇",M54="○",M54="◯"),1,0)</f>
        <v>0</v>
      </c>
      <c r="Z54" s="14">
        <f>IF(OR(N54="〇",N54="○",N54="◯"),1,0)</f>
        <v>0</v>
      </c>
      <c r="AA54" s="14">
        <f>IF(OR(O54="〇",O54="○",O54="◯"),1,0)</f>
        <v>0</v>
      </c>
      <c r="AB54" s="14">
        <f>IF(OR(P54="〇",P54="○",P54="◯"),1,0)</f>
        <v>0</v>
      </c>
      <c r="AC54" s="14">
        <f>IF(A54="","",IF(AA54=1,1,IF(Y54=1,2,IF(Z54=1,3,IF(AB54=1,4,5)))))</f>
        <v>5</v>
      </c>
      <c r="AD54" s="14">
        <f>IF(A54="","",IF(K54="",'設定'!$C$37,K54))</f>
        <v>65</v>
      </c>
      <c r="AE54" s="14">
        <f>IF(A54="","",AC54*10000000-ROUND(ABS((AD54-'設定'!$C$37)/'設定'!$C$38)*10000,0))</f>
        <v>49998124</v>
      </c>
      <c r="AF54" s="14">
        <f>IF(A54="","",COUNTIF($AE$4:$AE$153,"&lt;"&amp;AE54)+COUNTIFS($AE$4:$AE$153,AE54,$A$4:$A$153,"&lt;"&amp;A54)+1)</f>
        <v>95</v>
      </c>
      <c r="AG54" s="14" t="str">
        <f>IF(Q54="","",IFERROR(VALUE(LEFT(Q54,FIND(" ",Q54&amp;" ")-1)),IFERROR(INDEX($A$4:$A$153,MATCH(Q54,$C$4:$C$153,0)),"")))</f>
        <v/>
      </c>
      <c r="AH54" s="14" t="str">
        <f>IF(R54="","",IFERROR(VALUE(LEFT(R54,FIND(" ",R54&amp;" ")-1)),IFERROR(INDEX($A$4:$A$153,MATCH(R54,$C$4:$C$153,0)),"")))</f>
        <v/>
      </c>
      <c r="AI54" s="14" t="str">
        <f>IF(S54="","",IFERROR(VALUE(LEFT(S54,FIND(" ",S54&amp;" ")-1)),IFERROR(INDEX($A$4:$A$153,MATCH(S54,$C$4:$C$153,0)),"")))</f>
        <v/>
      </c>
      <c r="AJ54" s="14" t="str">
        <f>IF(OR(A54="",B54=""),"",IF(COUNTIFS($B$4:B54,B54,$A$4:A54,"&lt;&gt;")=1,MAX($AJ$3:AJ53)+1,""))</f>
        <v/>
      </c>
      <c r="AK54" s="14">
        <f>IF(OR(A54="",NOT(ISNUMBER(L54))),"",L54^2)</f>
        <v>100</v>
      </c>
      <c r="AL54" s="14">
        <f>IF(OR(A54="",NOT(ISNUMBER(L54))),0,(L54-INDEX('計算'!$AE$7:$AG$7,X54))/INDEX('計算'!$AE$8:$AG$8,X54))</f>
        <v>1.8592103040577</v>
      </c>
    </row>
    <row r="55">
      <c r="A55" s="8" t="n">
        <v>2217</v>
      </c>
      <c r="B55" s="8" t="n">
        <v>2</v>
      </c>
      <c r="C55" s="9" t="inlineStr">
        <is>
          <t>佐藤　大和</t>
        </is>
      </c>
      <c r="D55" s="9" t="inlineStr">
        <is>
          <t>さとう　やまと</t>
        </is>
      </c>
      <c r="E55" s="8" t="inlineStr">
        <is>
          <t>男</t>
        </is>
      </c>
      <c r="F55" s="8" t="n">
        <v>63</v>
      </c>
      <c r="G55" s="8" t="n">
        <v>40</v>
      </c>
      <c r="H55" s="8" t="n">
        <v>51</v>
      </c>
      <c r="I55" s="8" t="n">
        <v>41</v>
      </c>
      <c r="J55" s="8" t="n">
        <v>54</v>
      </c>
      <c r="K55" s="10">
        <f>IF(COUNT(F55:J55)=0,"",ROUND(AVERAGE(F55:J55),1))</f>
        <v>49.8</v>
      </c>
      <c r="L55" s="11" t="n">
        <v>7.6</v>
      </c>
      <c r="M55" s="8" t="inlineStr">
        <is>
          <t>×</t>
        </is>
      </c>
      <c r="N55" s="8" t="n"/>
      <c r="O55" s="8" t="n"/>
      <c r="P55" s="8" t="n"/>
      <c r="Q55" s="12" t="n"/>
      <c r="R55" s="12" t="n"/>
      <c r="S55" s="12" t="n"/>
      <c r="T55" s="9" t="n"/>
      <c r="U55" s="13">
        <f>IF(A55="","",INDEX('計算'!$Z$2:$Z$151,AF55))</f>
        <v>2</v>
      </c>
      <c r="V55" s="13">
        <f>IF(A55="","",IFERROR(IF(INDEX('②クラス編成'!$E$9:$E$158,MATCH(A55,'②クラス編成'!$D$9:$D$158,0))="","未",INDEX('②クラス編成'!$E$9:$E$158,MATCH(A55,'②クラス編成'!$D$9:$D$158,0))),"未"))</f>
        <v>2</v>
      </c>
      <c r="W55" s="14" t="str">
        <f>IF(A55="","",A55&amp;" "&amp;C55)</f>
        <v>2217 佐藤　大和</v>
      </c>
      <c r="X55" s="14">
        <f>IF(A55="","",IF(E55="男",1,IF(E55="女",2,3)))</f>
        <v>1</v>
      </c>
      <c r="Y55" s="14">
        <f>IF(OR(M55="〇",M55="○",M55="◯"),1,0)</f>
        <v>0</v>
      </c>
      <c r="Z55" s="14">
        <f>IF(OR(N55="〇",N55="○",N55="◯"),1,0)</f>
        <v>0</v>
      </c>
      <c r="AA55" s="14">
        <f>IF(OR(O55="〇",O55="○",O55="◯"),1,0)</f>
        <v>0</v>
      </c>
      <c r="AB55" s="14">
        <f>IF(OR(P55="〇",P55="○",P55="◯"),1,0)</f>
        <v>0</v>
      </c>
      <c r="AC55" s="14">
        <f>IF(A55="","",IF(AA55=1,1,IF(Y55=1,2,IF(Z55=1,3,IF(AB55=1,4,5)))))</f>
        <v>5</v>
      </c>
      <c r="AD55" s="14">
        <f>IF(A55="","",IF(K55="",'設定'!$C$37,K55))</f>
        <v>49.8</v>
      </c>
      <c r="AE55" s="14">
        <f>IF(A55="","",AC55*10000000-ROUND(ABS((AD55-'設定'!$C$37)/'設定'!$C$38)*10000,0))</f>
        <v>49990525</v>
      </c>
      <c r="AF55" s="14">
        <f>IF(A55="","",COUNTIF($AE$4:$AE$153,"&lt;"&amp;AE55)+COUNTIFS($AE$4:$AE$153,AE55,$A$4:$A$153,"&lt;"&amp;A55)+1)</f>
        <v>60</v>
      </c>
      <c r="AG55" s="14" t="str">
        <f>IF(Q55="","",IFERROR(VALUE(LEFT(Q55,FIND(" ",Q55&amp;" ")-1)),IFERROR(INDEX($A$4:$A$153,MATCH(Q55,$C$4:$C$153,0)),"")))</f>
        <v/>
      </c>
      <c r="AH55" s="14" t="str">
        <f>IF(R55="","",IFERROR(VALUE(LEFT(R55,FIND(" ",R55&amp;" ")-1)),IFERROR(INDEX($A$4:$A$153,MATCH(R55,$C$4:$C$153,0)),"")))</f>
        <v/>
      </c>
      <c r="AI55" s="14" t="str">
        <f>IF(S55="","",IFERROR(VALUE(LEFT(S55,FIND(" ",S55&amp;" ")-1)),IFERROR(INDEX($A$4:$A$153,MATCH(S55,$C$4:$C$153,0)),"")))</f>
        <v/>
      </c>
      <c r="AJ55" s="14" t="str">
        <f>IF(OR(A55="",B55=""),"",IF(COUNTIFS($B$4:B55,B55,$A$4:A55,"&lt;&gt;")=1,MAX($AJ$3:AJ54)+1,""))</f>
        <v/>
      </c>
      <c r="AK55" s="14">
        <f>IF(OR(A55="",NOT(ISNUMBER(L55))),"",L55^2)</f>
        <v>57.76</v>
      </c>
      <c r="AL55" s="14">
        <f>IF(OR(A55="",NOT(ISNUMBER(L55))),0,(L55-INDEX('計算'!$AE$7:$AG$7,X55))/INDEX('計算'!$AE$8:$AG$8,X55))</f>
        <v>-0.206515880733544</v>
      </c>
    </row>
    <row r="56">
      <c r="A56" s="8" t="n">
        <v>2218</v>
      </c>
      <c r="B56" s="8" t="n">
        <v>2</v>
      </c>
      <c r="C56" s="9" t="inlineStr">
        <is>
          <t>柴田　大和</t>
        </is>
      </c>
      <c r="D56" s="9" t="inlineStr">
        <is>
          <t>しばた　やまと</t>
        </is>
      </c>
      <c r="E56" s="8" t="inlineStr">
        <is>
          <t>男</t>
        </is>
      </c>
      <c r="F56" s="8" t="n">
        <v>56</v>
      </c>
      <c r="G56" s="8" t="n">
        <v>100</v>
      </c>
      <c r="H56" s="8" t="n">
        <v>69</v>
      </c>
      <c r="I56" s="8" t="n">
        <v>79</v>
      </c>
      <c r="J56" s="8" t="n">
        <v>83</v>
      </c>
      <c r="K56" s="10">
        <f>IF(COUNT(F56:J56)=0,"",ROUND(AVERAGE(F56:J56),1))</f>
        <v>77.4</v>
      </c>
      <c r="L56" s="11" t="n">
        <v>7.9</v>
      </c>
      <c r="M56" s="8" t="inlineStr">
        <is>
          <t>×</t>
        </is>
      </c>
      <c r="N56" s="8" t="n"/>
      <c r="O56" s="8" t="n"/>
      <c r="P56" s="8" t="n"/>
      <c r="Q56" s="12" t="n"/>
      <c r="R56" s="12" t="n"/>
      <c r="S56" s="12" t="n"/>
      <c r="T56" s="9" t="inlineStr">
        <is>
          <t>部活：陸上</t>
        </is>
      </c>
      <c r="U56" s="13">
        <f>IF(A56="","",INDEX('計算'!$Z$2:$Z$151,AF56))</f>
        <v>1</v>
      </c>
      <c r="V56" s="13">
        <f>IF(A56="","",IFERROR(IF(INDEX('②クラス編成'!$E$9:$E$158,MATCH(A56,'②クラス編成'!$D$9:$D$158,0))="","未",INDEX('②クラス編成'!$E$9:$E$158,MATCH(A56,'②クラス編成'!$D$9:$D$158,0))),"未"))</f>
        <v>1</v>
      </c>
      <c r="W56" s="14" t="str">
        <f>IF(A56="","",A56&amp;" "&amp;C56)</f>
        <v>2218 柴田　大和</v>
      </c>
      <c r="X56" s="14">
        <f>IF(A56="","",IF(E56="男",1,IF(E56="女",2,3)))</f>
        <v>1</v>
      </c>
      <c r="Y56" s="14">
        <f>IF(OR(M56="〇",M56="○",M56="◯"),1,0)</f>
        <v>0</v>
      </c>
      <c r="Z56" s="14">
        <f>IF(OR(N56="〇",N56="○",N56="◯"),1,0)</f>
        <v>0</v>
      </c>
      <c r="AA56" s="14">
        <f>IF(OR(O56="〇",O56="○",O56="◯"),1,0)</f>
        <v>0</v>
      </c>
      <c r="AB56" s="14">
        <f>IF(OR(P56="〇",P56="○",P56="◯"),1,0)</f>
        <v>0</v>
      </c>
      <c r="AC56" s="14">
        <f>IF(A56="","",IF(AA56=1,1,IF(Y56=1,2,IF(Z56=1,3,IF(AB56=1,4,5)))))</f>
        <v>5</v>
      </c>
      <c r="AD56" s="14">
        <f>IF(A56="","",IF(K56="",'設定'!$C$37,K56))</f>
        <v>77.4</v>
      </c>
      <c r="AE56" s="14">
        <f>IF(A56="","",AC56*10000000-ROUND(ABS((AD56-'設定'!$C$37)/'設定'!$C$38)*10000,0))</f>
        <v>49988864</v>
      </c>
      <c r="AF56" s="14">
        <f>IF(A56="","",COUNTIF($AE$4:$AE$153,"&lt;"&amp;AE56)+COUNTIFS($AE$4:$AE$153,AE56,$A$4:$A$153,"&lt;"&amp;A56)+1)</f>
        <v>48</v>
      </c>
      <c r="AG56" s="14" t="str">
        <f>IF(Q56="","",IFERROR(VALUE(LEFT(Q56,FIND(" ",Q56&amp;" ")-1)),IFERROR(INDEX($A$4:$A$153,MATCH(Q56,$C$4:$C$153,0)),"")))</f>
        <v/>
      </c>
      <c r="AH56" s="14" t="str">
        <f>IF(R56="","",IFERROR(VALUE(LEFT(R56,FIND(" ",R56&amp;" ")-1)),IFERROR(INDEX($A$4:$A$153,MATCH(R56,$C$4:$C$153,0)),"")))</f>
        <v/>
      </c>
      <c r="AI56" s="14" t="str">
        <f>IF(S56="","",IFERROR(VALUE(LEFT(S56,FIND(" ",S56&amp;" ")-1)),IFERROR(INDEX($A$4:$A$153,MATCH(S56,$C$4:$C$153,0)),"")))</f>
        <v/>
      </c>
      <c r="AJ56" s="14" t="str">
        <f>IF(OR(A56="",B56=""),"",IF(COUNTIFS($B$4:B56,B56,$A$4:A56,"&lt;&gt;")=1,MAX($AJ$3:AJ55)+1,""))</f>
        <v/>
      </c>
      <c r="AK56" s="14">
        <f>IF(OR(A56="",NOT(ISNUMBER(L56))),"",L56^2)</f>
        <v>62.41</v>
      </c>
      <c r="AL56" s="14">
        <f>IF(OR(A56="",NOT(ISNUMBER(L56))),0,(L56-INDEX('計算'!$AE$7:$AG$7,X56))/INDEX('計算'!$AE$8:$AG$8,X56))</f>
        <v>0.476250908630418</v>
      </c>
    </row>
    <row r="57">
      <c r="A57" s="8" t="n">
        <v>2219</v>
      </c>
      <c r="B57" s="8" t="n">
        <v>2</v>
      </c>
      <c r="C57" s="9" t="inlineStr">
        <is>
          <t>鈴木　葵</t>
        </is>
      </c>
      <c r="D57" s="9" t="inlineStr">
        <is>
          <t>すずき　あおい</t>
        </is>
      </c>
      <c r="E57" s="8" t="inlineStr">
        <is>
          <t>女</t>
        </is>
      </c>
      <c r="F57" s="8" t="n">
        <v>59</v>
      </c>
      <c r="G57" s="8" t="n">
        <v>66</v>
      </c>
      <c r="H57" s="8" t="n">
        <v>51</v>
      </c>
      <c r="I57" s="8" t="n">
        <v>44</v>
      </c>
      <c r="J57" s="8" t="n">
        <v>39</v>
      </c>
      <c r="K57" s="10">
        <f>IF(COUNT(F57:J57)=0,"",ROUND(AVERAGE(F57:J57),1))</f>
        <v>51.8</v>
      </c>
      <c r="L57" s="11" t="n">
        <v>8.1</v>
      </c>
      <c r="M57" s="8" t="inlineStr">
        <is>
          <t>×</t>
        </is>
      </c>
      <c r="N57" s="8" t="n"/>
      <c r="O57" s="8" t="n"/>
      <c r="P57" s="8" t="n"/>
      <c r="Q57" s="12" t="n"/>
      <c r="R57" s="12" t="n"/>
      <c r="S57" s="12" t="n"/>
      <c r="T57" s="9" t="n"/>
      <c r="U57" s="13">
        <f>IF(A57="","",INDEX('計算'!$Z$2:$Z$151,AF57))</f>
        <v>1</v>
      </c>
      <c r="V57" s="13">
        <f>IF(A57="","",IFERROR(IF(INDEX('②クラス編成'!$E$9:$E$158,MATCH(A57,'②クラス編成'!$D$9:$D$158,0))="","未",INDEX('②クラス編成'!$E$9:$E$158,MATCH(A57,'②クラス編成'!$D$9:$D$158,0))),"未"))</f>
        <v>1</v>
      </c>
      <c r="W57" s="14" t="str">
        <f>IF(A57="","",A57&amp;" "&amp;C57)</f>
        <v>2219 鈴木　葵</v>
      </c>
      <c r="X57" s="14">
        <f>IF(A57="","",IF(E57="男",1,IF(E57="女",2,3)))</f>
        <v>2</v>
      </c>
      <c r="Y57" s="14">
        <f>IF(OR(M57="〇",M57="○",M57="◯"),1,0)</f>
        <v>0</v>
      </c>
      <c r="Z57" s="14">
        <f>IF(OR(N57="〇",N57="○",N57="◯"),1,0)</f>
        <v>0</v>
      </c>
      <c r="AA57" s="14">
        <f>IF(OR(O57="〇",O57="○",O57="◯"),1,0)</f>
        <v>0</v>
      </c>
      <c r="AB57" s="14">
        <f>IF(OR(P57="〇",P57="○",P57="◯"),1,0)</f>
        <v>0</v>
      </c>
      <c r="AC57" s="14">
        <f>IF(A57="","",IF(AA57=1,1,IF(Y57=1,2,IF(Z57=1,3,IF(AB57=1,4,5)))))</f>
        <v>5</v>
      </c>
      <c r="AD57" s="14">
        <f>IF(A57="","",IF(K57="",'設定'!$C$37,K57))</f>
        <v>51.8</v>
      </c>
      <c r="AE57" s="14">
        <f>IF(A57="","",AC57*10000000-ROUND(ABS((AD57-'設定'!$C$37)/'設定'!$C$38)*10000,0))</f>
        <v>49992019</v>
      </c>
      <c r="AF57" s="14">
        <f>IF(A57="","",COUNTIF($AE$4:$AE$153,"&lt;"&amp;AE57)+COUNTIFS($AE$4:$AE$153,AE57,$A$4:$A$153,"&lt;"&amp;A57)+1)</f>
        <v>68</v>
      </c>
      <c r="AG57" s="14" t="str">
        <f>IF(Q57="","",IFERROR(VALUE(LEFT(Q57,FIND(" ",Q57&amp;" ")-1)),IFERROR(INDEX($A$4:$A$153,MATCH(Q57,$C$4:$C$153,0)),"")))</f>
        <v/>
      </c>
      <c r="AH57" s="14" t="str">
        <f>IF(R57="","",IFERROR(VALUE(LEFT(R57,FIND(" ",R57&amp;" ")-1)),IFERROR(INDEX($A$4:$A$153,MATCH(R57,$C$4:$C$153,0)),"")))</f>
        <v/>
      </c>
      <c r="AI57" s="14" t="str">
        <f>IF(S57="","",IFERROR(VALUE(LEFT(S57,FIND(" ",S57&amp;" ")-1)),IFERROR(INDEX($A$4:$A$153,MATCH(S57,$C$4:$C$153,0)),"")))</f>
        <v/>
      </c>
      <c r="AJ57" s="14" t="str">
        <f>IF(OR(A57="",B57=""),"",IF(COUNTIFS($B$4:B57,B57,$A$4:A57,"&lt;&gt;")=1,MAX($AJ$3:AJ56)+1,""))</f>
        <v/>
      </c>
      <c r="AK57" s="14">
        <f>IF(OR(A57="",NOT(ISNUMBER(L57))),"",L57^2)</f>
        <v>65.61</v>
      </c>
      <c r="AL57" s="14">
        <f>IF(OR(A57="",NOT(ISNUMBER(L57))),0,(L57-INDEX('計算'!$AE$7:$AG$7,X57))/INDEX('計算'!$AE$8:$AG$8,X57))</f>
        <v>-1.25231782138602</v>
      </c>
    </row>
    <row r="58">
      <c r="A58" s="8" t="n">
        <v>2220</v>
      </c>
      <c r="B58" s="8" t="n">
        <v>2</v>
      </c>
      <c r="C58" s="9" t="inlineStr">
        <is>
          <t>竹内　駿</t>
        </is>
      </c>
      <c r="D58" s="9" t="inlineStr">
        <is>
          <t>たけうち　しゅん</t>
        </is>
      </c>
      <c r="E58" s="8" t="inlineStr">
        <is>
          <t>男</t>
        </is>
      </c>
      <c r="F58" s="8" t="n">
        <v>56</v>
      </c>
      <c r="G58" s="8" t="n">
        <v>59</v>
      </c>
      <c r="H58" s="8" t="n">
        <v>28</v>
      </c>
      <c r="I58" s="8" t="n">
        <v>67</v>
      </c>
      <c r="J58" s="8" t="n">
        <v>62</v>
      </c>
      <c r="K58" s="10">
        <f>IF(COUNT(F58:J58)=0,"",ROUND(AVERAGE(F58:J58),1))</f>
        <v>54.4</v>
      </c>
      <c r="L58" s="11" t="n">
        <v>8</v>
      </c>
      <c r="M58" s="8" t="inlineStr">
        <is>
          <t>×</t>
        </is>
      </c>
      <c r="N58" s="8" t="n"/>
      <c r="O58" s="8" t="n"/>
      <c r="P58" s="8" t="n"/>
      <c r="Q58" s="12" t="n"/>
      <c r="R58" s="12" t="n"/>
      <c r="S58" s="12" t="n"/>
      <c r="T58" s="9" t="n"/>
      <c r="U58" s="13">
        <f>IF(A58="","",INDEX('計算'!$Z$2:$Z$151,AF58))</f>
        <v>1</v>
      </c>
      <c r="V58" s="13">
        <f>IF(A58="","",IFERROR(IF(INDEX('②クラス編成'!$E$9:$E$158,MATCH(A58,'②クラス編成'!$D$9:$D$158,0))="","未",INDEX('②クラス編成'!$E$9:$E$158,MATCH(A58,'②クラス編成'!$D$9:$D$158,0))),"未"))</f>
        <v>1</v>
      </c>
      <c r="W58" s="14" t="str">
        <f>IF(A58="","",A58&amp;" "&amp;C58)</f>
        <v>2220 竹内　駿</v>
      </c>
      <c r="X58" s="14">
        <f>IF(A58="","",IF(E58="男",1,IF(E58="女",2,3)))</f>
        <v>1</v>
      </c>
      <c r="Y58" s="14">
        <f>IF(OR(M58="〇",M58="○",M58="◯"),1,0)</f>
        <v>0</v>
      </c>
      <c r="Z58" s="14">
        <f>IF(OR(N58="〇",N58="○",N58="◯"),1,0)</f>
        <v>0</v>
      </c>
      <c r="AA58" s="14">
        <f>IF(OR(O58="〇",O58="○",O58="◯"),1,0)</f>
        <v>0</v>
      </c>
      <c r="AB58" s="14">
        <f>IF(OR(P58="〇",P58="○",P58="◯"),1,0)</f>
        <v>0</v>
      </c>
      <c r="AC58" s="14">
        <f>IF(A58="","",IF(AA58=1,1,IF(Y58=1,2,IF(Z58=1,3,IF(AB58=1,4,5)))))</f>
        <v>5</v>
      </c>
      <c r="AD58" s="14">
        <f>IF(A58="","",IF(K58="",'設定'!$C$37,K58))</f>
        <v>54.4</v>
      </c>
      <c r="AE58" s="14">
        <f>IF(A58="","",AC58*10000000-ROUND(ABS((AD58-'設定'!$C$37)/'設定'!$C$38)*10000,0))</f>
        <v>49993960</v>
      </c>
      <c r="AF58" s="14">
        <f>IF(A58="","",COUNTIF($AE$4:$AE$153,"&lt;"&amp;AE58)+COUNTIFS($AE$4:$AE$153,AE58,$A$4:$A$153,"&lt;"&amp;A58)+1)</f>
        <v>76</v>
      </c>
      <c r="AG58" s="14" t="str">
        <f>IF(Q58="","",IFERROR(VALUE(LEFT(Q58,FIND(" ",Q58&amp;" ")-1)),IFERROR(INDEX($A$4:$A$153,MATCH(Q58,$C$4:$C$153,0)),"")))</f>
        <v/>
      </c>
      <c r="AH58" s="14" t="str">
        <f>IF(R58="","",IFERROR(VALUE(LEFT(R58,FIND(" ",R58&amp;" ")-1)),IFERROR(INDEX($A$4:$A$153,MATCH(R58,$C$4:$C$153,0)),"")))</f>
        <v/>
      </c>
      <c r="AI58" s="14" t="str">
        <f>IF(S58="","",IFERROR(VALUE(LEFT(S58,FIND(" ",S58&amp;" ")-1)),IFERROR(INDEX($A$4:$A$153,MATCH(S58,$C$4:$C$153,0)),"")))</f>
        <v/>
      </c>
      <c r="AJ58" s="14" t="str">
        <f>IF(OR(A58="",B58=""),"",IF(COUNTIFS($B$4:B58,B58,$A$4:A58,"&lt;&gt;")=1,MAX($AJ$3:AJ57)+1,""))</f>
        <v/>
      </c>
      <c r="AK58" s="14">
        <f>IF(OR(A58="",NOT(ISNUMBER(L58))),"",L58^2)</f>
        <v>64</v>
      </c>
      <c r="AL58" s="14">
        <f>IF(OR(A58="",NOT(ISNUMBER(L58))),0,(L58-INDEX('計算'!$AE$7:$AG$7,X58))/INDEX('計算'!$AE$8:$AG$8,X58))</f>
        <v>0.703839838418404</v>
      </c>
    </row>
    <row r="59">
      <c r="A59" s="8" t="n">
        <v>2221</v>
      </c>
      <c r="B59" s="8" t="n">
        <v>2</v>
      </c>
      <c r="C59" s="9" t="inlineStr">
        <is>
          <t>竹内　律</t>
        </is>
      </c>
      <c r="D59" s="9" t="inlineStr">
        <is>
          <t>たけうち　りつ</t>
        </is>
      </c>
      <c r="E59" s="8" t="inlineStr">
        <is>
          <t>男</t>
        </is>
      </c>
      <c r="F59" s="8" t="n">
        <v>69</v>
      </c>
      <c r="G59" s="8" t="n">
        <v>60</v>
      </c>
      <c r="H59" s="8" t="n">
        <v>61</v>
      </c>
      <c r="I59" s="8" t="n">
        <v>74</v>
      </c>
      <c r="J59" s="8" t="n">
        <v>63</v>
      </c>
      <c r="K59" s="10">
        <f>IF(COUNT(F59:J59)=0,"",ROUND(AVERAGE(F59:J59),1))</f>
        <v>65.4</v>
      </c>
      <c r="L59" s="11" t="n">
        <v>8.199999999999999</v>
      </c>
      <c r="M59" s="8" t="inlineStr">
        <is>
          <t>×</t>
        </is>
      </c>
      <c r="N59" s="8" t="n"/>
      <c r="O59" s="8" t="inlineStr">
        <is>
          <t>〇</t>
        </is>
      </c>
      <c r="P59" s="8" t="n"/>
      <c r="Q59" s="12" t="n"/>
      <c r="R59" s="12" t="n"/>
      <c r="S59" s="12" t="n"/>
      <c r="T59" s="9" t="n"/>
      <c r="U59" s="13">
        <f>IF(A59="","",INDEX('計算'!$Z$2:$Z$151,AF59))</f>
        <v>3</v>
      </c>
      <c r="V59" s="13">
        <f>IF(A59="","",IFERROR(IF(INDEX('②クラス編成'!$E$9:$E$158,MATCH(A59,'②クラス編成'!$D$9:$D$158,0))="","未",INDEX('②クラス編成'!$E$9:$E$158,MATCH(A59,'②クラス編成'!$D$9:$D$158,0))),"未"))</f>
        <v>3</v>
      </c>
      <c r="W59" s="14" t="str">
        <f>IF(A59="","",A59&amp;" "&amp;C59)</f>
        <v>2221 竹内　律</v>
      </c>
      <c r="X59" s="14">
        <f>IF(A59="","",IF(E59="男",1,IF(E59="女",2,3)))</f>
        <v>1</v>
      </c>
      <c r="Y59" s="14">
        <f>IF(OR(M59="〇",M59="○",M59="◯"),1,0)</f>
        <v>0</v>
      </c>
      <c r="Z59" s="14">
        <f>IF(OR(N59="〇",N59="○",N59="◯"),1,0)</f>
        <v>0</v>
      </c>
      <c r="AA59" s="14">
        <f>IF(OR(O59="〇",O59="○",O59="◯"),1,0)</f>
        <v>1</v>
      </c>
      <c r="AB59" s="14">
        <f>IF(OR(P59="〇",P59="○",P59="◯"),1,0)</f>
        <v>0</v>
      </c>
      <c r="AC59" s="14">
        <f>IF(A59="","",IF(AA59=1,1,IF(Y59=1,2,IF(Z59=1,3,IF(AB59=1,4,5)))))</f>
        <v>1</v>
      </c>
      <c r="AD59" s="14">
        <f>IF(A59="","",IF(K59="",'設定'!$C$37,K59))</f>
        <v>65.4</v>
      </c>
      <c r="AE59" s="14">
        <f>IF(A59="","",AC59*10000000-ROUND(ABS((AD59-'設定'!$C$37)/'設定'!$C$38)*10000,0))</f>
        <v>9997825</v>
      </c>
      <c r="AF59" s="14">
        <f>IF(A59="","",COUNTIF($AE$4:$AE$153,"&lt;"&amp;AE59)+COUNTIFS($AE$4:$AE$153,AE59,$A$4:$A$153,"&lt;"&amp;A59)+1)</f>
        <v>6</v>
      </c>
      <c r="AG59" s="14" t="str">
        <f>IF(Q59="","",IFERROR(VALUE(LEFT(Q59,FIND(" ",Q59&amp;" ")-1)),IFERROR(INDEX($A$4:$A$153,MATCH(Q59,$C$4:$C$153,0)),"")))</f>
        <v/>
      </c>
      <c r="AH59" s="14" t="str">
        <f>IF(R59="","",IFERROR(VALUE(LEFT(R59,FIND(" ",R59&amp;" ")-1)),IFERROR(INDEX($A$4:$A$153,MATCH(R59,$C$4:$C$153,0)),"")))</f>
        <v/>
      </c>
      <c r="AI59" s="14" t="str">
        <f>IF(S59="","",IFERROR(VALUE(LEFT(S59,FIND(" ",S59&amp;" ")-1)),IFERROR(INDEX($A$4:$A$153,MATCH(S59,$C$4:$C$153,0)),"")))</f>
        <v/>
      </c>
      <c r="AJ59" s="14" t="str">
        <f>IF(OR(A59="",B59=""),"",IF(COUNTIFS($B$4:B59,B59,$A$4:A59,"&lt;&gt;")=1,MAX($AJ$3:AJ58)+1,""))</f>
        <v/>
      </c>
      <c r="AK59" s="14">
        <f>IF(OR(A59="",NOT(ISNUMBER(L59))),"",L59^2)</f>
        <v>67.24</v>
      </c>
      <c r="AL59" s="14">
        <f>IF(OR(A59="",NOT(ISNUMBER(L59))),0,(L59-INDEX('計算'!$AE$7:$AG$7,X59))/INDEX('計算'!$AE$8:$AG$8,X59))</f>
        <v>1.15901769799438</v>
      </c>
    </row>
    <row r="60">
      <c r="A60" s="8" t="n">
        <v>2222</v>
      </c>
      <c r="B60" s="8" t="n">
        <v>2</v>
      </c>
      <c r="C60" s="9" t="inlineStr">
        <is>
          <t>中山　颯太</t>
        </is>
      </c>
      <c r="D60" s="9" t="inlineStr">
        <is>
          <t>なかやま　そうた</t>
        </is>
      </c>
      <c r="E60" s="8" t="inlineStr">
        <is>
          <t>男</t>
        </is>
      </c>
      <c r="F60" s="8" t="n">
        <v>58</v>
      </c>
      <c r="G60" s="8" t="n">
        <v>75</v>
      </c>
      <c r="H60" s="8" t="n">
        <v>65</v>
      </c>
      <c r="I60" s="8" t="n">
        <v>45</v>
      </c>
      <c r="J60" s="8" t="n">
        <v>75</v>
      </c>
      <c r="K60" s="10">
        <f>IF(COUNT(F60:J60)=0,"",ROUND(AVERAGE(F60:J60),1))</f>
        <v>63.6</v>
      </c>
      <c r="L60" s="11" t="n">
        <v>8.1</v>
      </c>
      <c r="M60" s="8" t="inlineStr">
        <is>
          <t>×</t>
        </is>
      </c>
      <c r="N60" s="8" t="n"/>
      <c r="O60" s="8" t="n"/>
      <c r="P60" s="8" t="inlineStr">
        <is>
          <t>〇</t>
        </is>
      </c>
      <c r="Q60" s="12" t="n"/>
      <c r="R60" s="12" t="n"/>
      <c r="S60" s="12" t="n"/>
      <c r="T60" s="9" t="n"/>
      <c r="U60" s="13">
        <f>IF(A60="","",INDEX('計算'!$Z$2:$Z$151,AF60))</f>
        <v>2</v>
      </c>
      <c r="V60" s="13">
        <f>IF(A60="","",IFERROR(IF(INDEX('②クラス編成'!$E$9:$E$158,MATCH(A60,'②クラス編成'!$D$9:$D$158,0))="","未",INDEX('②クラス編成'!$E$9:$E$158,MATCH(A60,'②クラス編成'!$D$9:$D$158,0))),"未"))</f>
        <v>2</v>
      </c>
      <c r="W60" s="14" t="str">
        <f>IF(A60="","",A60&amp;" "&amp;C60)</f>
        <v>2222 中山　颯太</v>
      </c>
      <c r="X60" s="14">
        <f>IF(A60="","",IF(E60="男",1,IF(E60="女",2,3)))</f>
        <v>1</v>
      </c>
      <c r="Y60" s="14">
        <f>IF(OR(M60="〇",M60="○",M60="◯"),1,0)</f>
        <v>0</v>
      </c>
      <c r="Z60" s="14">
        <f>IF(OR(N60="〇",N60="○",N60="◯"),1,0)</f>
        <v>0</v>
      </c>
      <c r="AA60" s="14">
        <f>IF(OR(O60="〇",O60="○",O60="◯"),1,0)</f>
        <v>0</v>
      </c>
      <c r="AB60" s="14">
        <f>IF(OR(P60="〇",P60="○",P60="◯"),1,0)</f>
        <v>1</v>
      </c>
      <c r="AC60" s="14">
        <f>IF(A60="","",IF(AA60=1,1,IF(Y60=1,2,IF(Z60=1,3,IF(AB60=1,4,5)))))</f>
        <v>4</v>
      </c>
      <c r="AD60" s="14">
        <f>IF(A60="","",IF(K60="",'設定'!$C$37,K60))</f>
        <v>63.6</v>
      </c>
      <c r="AE60" s="14">
        <f>IF(A60="","",AC60*10000000-ROUND(ABS((AD60-'設定'!$C$37)/'設定'!$C$38)*10000,0))</f>
        <v>39999169</v>
      </c>
      <c r="AF60" s="14">
        <f>IF(A60="","",COUNTIF($AE$4:$AE$153,"&lt;"&amp;AE60)+COUNTIFS($AE$4:$AE$153,AE60,$A$4:$A$153,"&lt;"&amp;A60)+1)</f>
        <v>28</v>
      </c>
      <c r="AG60" s="14" t="str">
        <f>IF(Q60="","",IFERROR(VALUE(LEFT(Q60,FIND(" ",Q60&amp;" ")-1)),IFERROR(INDEX($A$4:$A$153,MATCH(Q60,$C$4:$C$153,0)),"")))</f>
        <v/>
      </c>
      <c r="AH60" s="14" t="str">
        <f>IF(R60="","",IFERROR(VALUE(LEFT(R60,FIND(" ",R60&amp;" ")-1)),IFERROR(INDEX($A$4:$A$153,MATCH(R60,$C$4:$C$153,0)),"")))</f>
        <v/>
      </c>
      <c r="AI60" s="14" t="str">
        <f>IF(S60="","",IFERROR(VALUE(LEFT(S60,FIND(" ",S60&amp;" ")-1)),IFERROR(INDEX($A$4:$A$153,MATCH(S60,$C$4:$C$153,0)),"")))</f>
        <v/>
      </c>
      <c r="AJ60" s="14" t="str">
        <f>IF(OR(A60="",B60=""),"",IF(COUNTIFS($B$4:B60,B60,$A$4:A60,"&lt;&gt;")=1,MAX($AJ$3:AJ59)+1,""))</f>
        <v/>
      </c>
      <c r="AK60" s="14">
        <f>IF(OR(A60="",NOT(ISNUMBER(L60))),"",L60^2)</f>
        <v>65.61</v>
      </c>
      <c r="AL60" s="14">
        <f>IF(OR(A60="",NOT(ISNUMBER(L60))),0,(L60-INDEX('計算'!$AE$7:$AG$7,X60))/INDEX('計算'!$AE$8:$AG$8,X60))</f>
        <v>0.93142876820639</v>
      </c>
    </row>
    <row r="61">
      <c r="A61" s="8" t="n">
        <v>2223</v>
      </c>
      <c r="B61" s="8" t="n">
        <v>2</v>
      </c>
      <c r="C61" s="9" t="inlineStr">
        <is>
          <t>橋本　琴音</t>
        </is>
      </c>
      <c r="D61" s="9" t="inlineStr">
        <is>
          <t>はしもと　ことね</t>
        </is>
      </c>
      <c r="E61" s="8" t="inlineStr">
        <is>
          <t>女</t>
        </is>
      </c>
      <c r="F61" s="8" t="n">
        <v>65</v>
      </c>
      <c r="G61" s="8" t="n">
        <v>88</v>
      </c>
      <c r="H61" s="8" t="n">
        <v>74</v>
      </c>
      <c r="I61" s="8" t="n">
        <v>58</v>
      </c>
      <c r="J61" s="8" t="n">
        <v>63</v>
      </c>
      <c r="K61" s="10">
        <f>IF(COUNT(F61:J61)=0,"",ROUND(AVERAGE(F61:J61),1))</f>
        <v>69.6</v>
      </c>
      <c r="L61" s="11" t="n">
        <v>9.1</v>
      </c>
      <c r="M61" s="8" t="inlineStr">
        <is>
          <t>×</t>
        </is>
      </c>
      <c r="N61" s="8" t="inlineStr">
        <is>
          <t>〇</t>
        </is>
      </c>
      <c r="O61" s="8" t="n"/>
      <c r="P61" s="8" t="n"/>
      <c r="Q61" s="12" t="n"/>
      <c r="R61" s="12" t="n"/>
      <c r="S61" s="12" t="n"/>
      <c r="T61" s="9" t="n"/>
      <c r="U61" s="13">
        <f>IF(A61="","",INDEX('計算'!$Z$2:$Z$151,AF61))</f>
        <v>3</v>
      </c>
      <c r="V61" s="13">
        <f>IF(A61="","",IFERROR(IF(INDEX('②クラス編成'!$E$9:$E$158,MATCH(A61,'②クラス編成'!$D$9:$D$158,0))="","未",INDEX('②クラス編成'!$E$9:$E$158,MATCH(A61,'②クラス編成'!$D$9:$D$158,0))),"未"))</f>
        <v>3</v>
      </c>
      <c r="W61" s="14" t="str">
        <f>IF(A61="","",A61&amp;" "&amp;C61)</f>
        <v>2223 橋本　琴音</v>
      </c>
      <c r="X61" s="14">
        <f>IF(A61="","",IF(E61="男",1,IF(E61="女",2,3)))</f>
        <v>2</v>
      </c>
      <c r="Y61" s="14">
        <f>IF(OR(M61="〇",M61="○",M61="◯"),1,0)</f>
        <v>0</v>
      </c>
      <c r="Z61" s="14">
        <f>IF(OR(N61="〇",N61="○",N61="◯"),1,0)</f>
        <v>1</v>
      </c>
      <c r="AA61" s="14">
        <f>IF(OR(O61="〇",O61="○",O61="◯"),1,0)</f>
        <v>0</v>
      </c>
      <c r="AB61" s="14">
        <f>IF(OR(P61="〇",P61="○",P61="◯"),1,0)</f>
        <v>0</v>
      </c>
      <c r="AC61" s="14">
        <f>IF(A61="","",IF(AA61=1,1,IF(Y61=1,2,IF(Z61=1,3,IF(AB61=1,4,5)))))</f>
        <v>3</v>
      </c>
      <c r="AD61" s="14">
        <f>IF(A61="","",IF(K61="",'設定'!$C$37,K61))</f>
        <v>69.6</v>
      </c>
      <c r="AE61" s="14">
        <f>IF(A61="","",AC61*10000000-ROUND(ABS((AD61-'設定'!$C$37)/'設定'!$C$38)*10000,0))</f>
        <v>29994689</v>
      </c>
      <c r="AF61" s="14">
        <f>IF(A61="","",COUNTIF($AE$4:$AE$153,"&lt;"&amp;AE61)+COUNTIFS($AE$4:$AE$153,AE61,$A$4:$A$153,"&lt;"&amp;A61)+1)</f>
        <v>23</v>
      </c>
      <c r="AG61" s="14" t="str">
        <f>IF(Q61="","",IFERROR(VALUE(LEFT(Q61,FIND(" ",Q61&amp;" ")-1)),IFERROR(INDEX($A$4:$A$153,MATCH(Q61,$C$4:$C$153,0)),"")))</f>
        <v/>
      </c>
      <c r="AH61" s="14" t="str">
        <f>IF(R61="","",IFERROR(VALUE(LEFT(R61,FIND(" ",R61&amp;" ")-1)),IFERROR(INDEX($A$4:$A$153,MATCH(R61,$C$4:$C$153,0)),"")))</f>
        <v/>
      </c>
      <c r="AI61" s="14" t="str">
        <f>IF(S61="","",IFERROR(VALUE(LEFT(S61,FIND(" ",S61&amp;" ")-1)),IFERROR(INDEX($A$4:$A$153,MATCH(S61,$C$4:$C$153,0)),"")))</f>
        <v/>
      </c>
      <c r="AJ61" s="14" t="str">
        <f>IF(OR(A61="",B61=""),"",IF(COUNTIFS($B$4:B61,B61,$A$4:A61,"&lt;&gt;")=1,MAX($AJ$3:AJ60)+1,""))</f>
        <v/>
      </c>
      <c r="AK61" s="14">
        <f>IF(OR(A61="",NOT(ISNUMBER(L61))),"",L61^2)</f>
        <v>82.81</v>
      </c>
      <c r="AL61" s="14">
        <f>IF(OR(A61="",NOT(ISNUMBER(L61))),0,(L61-INDEX('計算'!$AE$7:$AG$7,X61))/INDEX('計算'!$AE$8:$AG$8,X61))</f>
        <v>0.385328560426466</v>
      </c>
    </row>
    <row r="62">
      <c r="A62" s="8" t="n">
        <v>2224</v>
      </c>
      <c r="B62" s="8" t="n">
        <v>2</v>
      </c>
      <c r="C62" s="9" t="inlineStr">
        <is>
          <t>福田　美咲</t>
        </is>
      </c>
      <c r="D62" s="9" t="inlineStr">
        <is>
          <t>ふくだ　みさき</t>
        </is>
      </c>
      <c r="E62" s="8" t="inlineStr">
        <is>
          <t>女</t>
        </is>
      </c>
      <c r="F62" s="8" t="n">
        <v>30</v>
      </c>
      <c r="G62" s="8" t="n">
        <v>54</v>
      </c>
      <c r="H62" s="8" t="n">
        <v>40</v>
      </c>
      <c r="I62" s="8" t="n">
        <v>28</v>
      </c>
      <c r="J62" s="8" t="n">
        <v>42</v>
      </c>
      <c r="K62" s="10">
        <f>IF(COUNT(F62:J62)=0,"",ROUND(AVERAGE(F62:J62),1))</f>
        <v>38.8</v>
      </c>
      <c r="L62" s="11" t="n">
        <v>8.800000000000001</v>
      </c>
      <c r="M62" s="8" t="inlineStr">
        <is>
          <t>×</t>
        </is>
      </c>
      <c r="N62" s="8" t="n"/>
      <c r="O62" s="8" t="n"/>
      <c r="P62" s="8" t="n"/>
      <c r="Q62" s="12" t="inlineStr">
        <is>
          <t>2216 後藤　美咲</t>
        </is>
      </c>
      <c r="R62" s="12" t="n"/>
      <c r="S62" s="12" t="n"/>
      <c r="T62" s="9" t="n"/>
      <c r="U62" s="13">
        <f>IF(A62="","",INDEX('計算'!$Z$2:$Z$151,AF62))</f>
        <v>3</v>
      </c>
      <c r="V62" s="13">
        <f>IF(A62="","",IFERROR(IF(INDEX('②クラス編成'!$E$9:$E$158,MATCH(A62,'②クラス編成'!$D$9:$D$158,0))="","未",INDEX('②クラス編成'!$E$9:$E$158,MATCH(A62,'②クラス編成'!$D$9:$D$158,0))),"未"))</f>
        <v>3</v>
      </c>
      <c r="W62" s="14" t="str">
        <f>IF(A62="","",A62&amp;" "&amp;C62)</f>
        <v>2224 福田　美咲</v>
      </c>
      <c r="X62" s="14">
        <f>IF(A62="","",IF(E62="男",1,IF(E62="女",2,3)))</f>
        <v>2</v>
      </c>
      <c r="Y62" s="14">
        <f>IF(OR(M62="〇",M62="○",M62="◯"),1,0)</f>
        <v>0</v>
      </c>
      <c r="Z62" s="14">
        <f>IF(OR(N62="〇",N62="○",N62="◯"),1,0)</f>
        <v>0</v>
      </c>
      <c r="AA62" s="14">
        <f>IF(OR(O62="〇",O62="○",O62="◯"),1,0)</f>
        <v>0</v>
      </c>
      <c r="AB62" s="14">
        <f>IF(OR(P62="〇",P62="○",P62="◯"),1,0)</f>
        <v>0</v>
      </c>
      <c r="AC62" s="14">
        <f>IF(A62="","",IF(AA62=1,1,IF(Y62=1,2,IF(Z62=1,3,IF(AB62=1,4,5)))))</f>
        <v>5</v>
      </c>
      <c r="AD62" s="14">
        <f>IF(A62="","",IF(K62="",'設定'!$C$37,K62))</f>
        <v>38.8</v>
      </c>
      <c r="AE62" s="14">
        <f>IF(A62="","",AC62*10000000-ROUND(ABS((AD62-'設定'!$C$37)/'設定'!$C$38)*10000,0))</f>
        <v>49982311</v>
      </c>
      <c r="AF62" s="14">
        <f>IF(A62="","",COUNTIF($AE$4:$AE$153,"&lt;"&amp;AE62)+COUNTIFS($AE$4:$AE$153,AE62,$A$4:$A$153,"&lt;"&amp;A62)+1)</f>
        <v>31</v>
      </c>
      <c r="AG62" s="14">
        <f>IF(Q62="","",IFERROR(VALUE(LEFT(Q62,FIND(" ",Q62&amp;" ")-1)),IFERROR(INDEX($A$4:$A$153,MATCH(Q62,$C$4:$C$153,0)),"")))</f>
        <v>2216</v>
      </c>
      <c r="AH62" s="14" t="str">
        <f>IF(R62="","",IFERROR(VALUE(LEFT(R62,FIND(" ",R62&amp;" ")-1)),IFERROR(INDEX($A$4:$A$153,MATCH(R62,$C$4:$C$153,0)),"")))</f>
        <v/>
      </c>
      <c r="AI62" s="14" t="str">
        <f>IF(S62="","",IFERROR(VALUE(LEFT(S62,FIND(" ",S62&amp;" ")-1)),IFERROR(INDEX($A$4:$A$153,MATCH(S62,$C$4:$C$153,0)),"")))</f>
        <v/>
      </c>
      <c r="AJ62" s="14" t="str">
        <f>IF(OR(A62="",B62=""),"",IF(COUNTIFS($B$4:B62,B62,$A$4:A62,"&lt;&gt;")=1,MAX($AJ$3:AJ61)+1,""))</f>
        <v/>
      </c>
      <c r="AK62" s="14">
        <f>IF(OR(A62="",NOT(ISNUMBER(L62))),"",L62^2)</f>
        <v>77.44</v>
      </c>
      <c r="AL62" s="14">
        <f>IF(OR(A62="",NOT(ISNUMBER(L62))),0,(L62-INDEX('計算'!$AE$7:$AG$7,X62))/INDEX('計算'!$AE$8:$AG$8,X62))</f>
        <v>-0.105965354117278</v>
      </c>
    </row>
    <row r="63">
      <c r="A63" s="8" t="n">
        <v>2225</v>
      </c>
      <c r="B63" s="8" t="n">
        <v>2</v>
      </c>
      <c r="C63" s="9" t="inlineStr">
        <is>
          <t>藤井　大和</t>
        </is>
      </c>
      <c r="D63" s="9" t="inlineStr">
        <is>
          <t>ふじい　やまと</t>
        </is>
      </c>
      <c r="E63" s="8" t="inlineStr">
        <is>
          <t>男</t>
        </is>
      </c>
      <c r="F63" s="8" t="n">
        <v>78</v>
      </c>
      <c r="G63" s="8" t="n">
        <v>79</v>
      </c>
      <c r="H63" s="8" t="n">
        <v>84</v>
      </c>
      <c r="I63" s="8" t="n">
        <v>70</v>
      </c>
      <c r="J63" s="8" t="n">
        <v>79</v>
      </c>
      <c r="K63" s="10">
        <f>IF(COUNT(F63:J63)=0,"",ROUND(AVERAGE(F63:J63),1))</f>
        <v>78</v>
      </c>
      <c r="L63" s="11" t="n">
        <v>7.2</v>
      </c>
      <c r="M63" s="8" t="inlineStr">
        <is>
          <t>×</t>
        </is>
      </c>
      <c r="N63" s="8" t="n"/>
      <c r="O63" s="8" t="n"/>
      <c r="P63" s="8" t="n"/>
      <c r="Q63" s="12" t="n"/>
      <c r="R63" s="12" t="n"/>
      <c r="S63" s="12" t="n"/>
      <c r="T63" s="9" t="n"/>
      <c r="U63" s="13">
        <f>IF(A63="","",INDEX('計算'!$Z$2:$Z$151,AF63))</f>
        <v>3</v>
      </c>
      <c r="V63" s="13">
        <f>IF(A63="","",IFERROR(IF(INDEX('②クラス編成'!$E$9:$E$158,MATCH(A63,'②クラス編成'!$D$9:$D$158,0))="","未",INDEX('②クラス編成'!$E$9:$E$158,MATCH(A63,'②クラス編成'!$D$9:$D$158,0))),"未"))</f>
        <v>3</v>
      </c>
      <c r="W63" s="14" t="str">
        <f>IF(A63="","",A63&amp;" "&amp;C63)</f>
        <v>2225 藤井　大和</v>
      </c>
      <c r="X63" s="14">
        <f>IF(A63="","",IF(E63="男",1,IF(E63="女",2,3)))</f>
        <v>1</v>
      </c>
      <c r="Y63" s="14">
        <f>IF(OR(M63="〇",M63="○",M63="◯"),1,0)</f>
        <v>0</v>
      </c>
      <c r="Z63" s="14">
        <f>IF(OR(N63="〇",N63="○",N63="◯"),1,0)</f>
        <v>0</v>
      </c>
      <c r="AA63" s="14">
        <f>IF(OR(O63="〇",O63="○",O63="◯"),1,0)</f>
        <v>0</v>
      </c>
      <c r="AB63" s="14">
        <f>IF(OR(P63="〇",P63="○",P63="◯"),1,0)</f>
        <v>0</v>
      </c>
      <c r="AC63" s="14">
        <f>IF(A63="","",IF(AA63=1,1,IF(Y63=1,2,IF(Z63=1,3,IF(AB63=1,4,5)))))</f>
        <v>5</v>
      </c>
      <c r="AD63" s="14">
        <f>IF(A63="","",IF(K63="",'設定'!$C$37,K63))</f>
        <v>78</v>
      </c>
      <c r="AE63" s="14">
        <f>IF(A63="","",AC63*10000000-ROUND(ABS((AD63-'設定'!$C$37)/'設定'!$C$38)*10000,0))</f>
        <v>49988416</v>
      </c>
      <c r="AF63" s="14">
        <f>IF(A63="","",COUNTIF($AE$4:$AE$153,"&lt;"&amp;AE63)+COUNTIFS($AE$4:$AE$153,AE63,$A$4:$A$153,"&lt;"&amp;A63)+1)</f>
        <v>46</v>
      </c>
      <c r="AG63" s="14" t="str">
        <f>IF(Q63="","",IFERROR(VALUE(LEFT(Q63,FIND(" ",Q63&amp;" ")-1)),IFERROR(INDEX($A$4:$A$153,MATCH(Q63,$C$4:$C$153,0)),"")))</f>
        <v/>
      </c>
      <c r="AH63" s="14" t="str">
        <f>IF(R63="","",IFERROR(VALUE(LEFT(R63,FIND(" ",R63&amp;" ")-1)),IFERROR(INDEX($A$4:$A$153,MATCH(R63,$C$4:$C$153,0)),"")))</f>
        <v/>
      </c>
      <c r="AI63" s="14" t="str">
        <f>IF(S63="","",IFERROR(VALUE(LEFT(S63,FIND(" ",S63&amp;" ")-1)),IFERROR(INDEX($A$4:$A$153,MATCH(S63,$C$4:$C$153,0)),"")))</f>
        <v/>
      </c>
      <c r="AJ63" s="14" t="str">
        <f>IF(OR(A63="",B63=""),"",IF(COUNTIFS($B$4:B63,B63,$A$4:A63,"&lt;&gt;")=1,MAX($AJ$3:AJ62)+1,""))</f>
        <v/>
      </c>
      <c r="AK63" s="14">
        <f>IF(OR(A63="",NOT(ISNUMBER(L63))),"",L63^2)</f>
        <v>51.84</v>
      </c>
      <c r="AL63" s="14">
        <f>IF(OR(A63="",NOT(ISNUMBER(L63))),0,(L63-INDEX('計算'!$AE$7:$AG$7,X63))/INDEX('計算'!$AE$8:$AG$8,X63))</f>
        <v>-1.11687159988549</v>
      </c>
    </row>
    <row r="64">
      <c r="A64" s="8" t="n">
        <v>2226</v>
      </c>
      <c r="B64" s="8" t="n">
        <v>2</v>
      </c>
      <c r="C64" s="9" t="inlineStr">
        <is>
          <t>藤田　彩花</t>
        </is>
      </c>
      <c r="D64" s="9" t="inlineStr">
        <is>
          <t>ふじた　あやか</t>
        </is>
      </c>
      <c r="E64" s="8" t="inlineStr">
        <is>
          <t>女</t>
        </is>
      </c>
      <c r="F64" s="8" t="n">
        <v>61</v>
      </c>
      <c r="G64" s="8" t="n">
        <v>67</v>
      </c>
      <c r="H64" s="8" t="n">
        <v>48</v>
      </c>
      <c r="I64" s="8" t="n">
        <v>66</v>
      </c>
      <c r="J64" s="8" t="n">
        <v>55</v>
      </c>
      <c r="K64" s="10">
        <f>IF(COUNT(F64:J64)=0,"",ROUND(AVERAGE(F64:J64),1))</f>
        <v>59.4</v>
      </c>
      <c r="L64" s="11" t="n">
        <v>8.9</v>
      </c>
      <c r="M64" s="8" t="inlineStr">
        <is>
          <t>×</t>
        </is>
      </c>
      <c r="N64" s="8" t="n"/>
      <c r="O64" s="8" t="n"/>
      <c r="P64" s="8" t="n"/>
      <c r="Q64" s="12" t="inlineStr">
        <is>
          <t>2231 森田　美羽</t>
        </is>
      </c>
      <c r="R64" s="12" t="n"/>
      <c r="S64" s="12" t="n"/>
      <c r="T64" s="9" t="n"/>
      <c r="U64" s="13">
        <f>IF(A64="","",INDEX('計算'!$Z$2:$Z$151,AF64))</f>
        <v>1</v>
      </c>
      <c r="V64" s="13">
        <f>IF(A64="","",IFERROR(IF(INDEX('②クラス編成'!$E$9:$E$158,MATCH(A64,'②クラス編成'!$D$9:$D$158,0))="","未",INDEX('②クラス編成'!$E$9:$E$158,MATCH(A64,'②クラス編成'!$D$9:$D$158,0))),"未"))</f>
        <v>1</v>
      </c>
      <c r="W64" s="14" t="str">
        <f>IF(A64="","",A64&amp;" "&amp;C64)</f>
        <v>2226 藤田　彩花</v>
      </c>
      <c r="X64" s="14">
        <f>IF(A64="","",IF(E64="男",1,IF(E64="女",2,3)))</f>
        <v>2</v>
      </c>
      <c r="Y64" s="14">
        <f>IF(OR(M64="〇",M64="○",M64="◯"),1,0)</f>
        <v>0</v>
      </c>
      <c r="Z64" s="14">
        <f>IF(OR(N64="〇",N64="○",N64="◯"),1,0)</f>
        <v>0</v>
      </c>
      <c r="AA64" s="14">
        <f>IF(OR(O64="〇",O64="○",O64="◯"),1,0)</f>
        <v>0</v>
      </c>
      <c r="AB64" s="14">
        <f>IF(OR(P64="〇",P64="○",P64="◯"),1,0)</f>
        <v>0</v>
      </c>
      <c r="AC64" s="14">
        <f>IF(A64="","",IF(AA64=1,1,IF(Y64=1,2,IF(Z64=1,3,IF(AB64=1,4,5)))))</f>
        <v>5</v>
      </c>
      <c r="AD64" s="14">
        <f>IF(A64="","",IF(K64="",'設定'!$C$37,K64))</f>
        <v>59.4</v>
      </c>
      <c r="AE64" s="14">
        <f>IF(A64="","",AC64*10000000-ROUND(ABS((AD64-'設定'!$C$37)/'設定'!$C$38)*10000,0))</f>
        <v>49997694</v>
      </c>
      <c r="AF64" s="14">
        <f>IF(A64="","",COUNTIF($AE$4:$AE$153,"&lt;"&amp;AE64)+COUNTIFS($AE$4:$AE$153,AE64,$A$4:$A$153,"&lt;"&amp;A64)+1)</f>
        <v>93</v>
      </c>
      <c r="AG64" s="14">
        <f>IF(Q64="","",IFERROR(VALUE(LEFT(Q64,FIND(" ",Q64&amp;" ")-1)),IFERROR(INDEX($A$4:$A$153,MATCH(Q64,$C$4:$C$153,0)),"")))</f>
        <v>2231</v>
      </c>
      <c r="AH64" s="14" t="str">
        <f>IF(R64="","",IFERROR(VALUE(LEFT(R64,FIND(" ",R64&amp;" ")-1)),IFERROR(INDEX($A$4:$A$153,MATCH(R64,$C$4:$C$153,0)),"")))</f>
        <v/>
      </c>
      <c r="AI64" s="14" t="str">
        <f>IF(S64="","",IFERROR(VALUE(LEFT(S64,FIND(" ",S64&amp;" ")-1)),IFERROR(INDEX($A$4:$A$153,MATCH(S64,$C$4:$C$153,0)),"")))</f>
        <v/>
      </c>
      <c r="AJ64" s="14" t="str">
        <f>IF(OR(A64="",B64=""),"",IF(COUNTIFS($B$4:B64,B64,$A$4:A64,"&lt;&gt;")=1,MAX($AJ$3:AJ63)+1,""))</f>
        <v/>
      </c>
      <c r="AK64" s="14">
        <f>IF(OR(A64="",NOT(ISNUMBER(L64))),"",L64^2)</f>
        <v>79.21</v>
      </c>
      <c r="AL64" s="14">
        <f>IF(OR(A64="",NOT(ISNUMBER(L64))),0,(L64-INDEX('計算'!$AE$7:$AG$7,X64))/INDEX('計算'!$AE$8:$AG$8,X64))</f>
        <v>0.0577992840639699</v>
      </c>
    </row>
    <row r="65">
      <c r="A65" s="8" t="n">
        <v>2227</v>
      </c>
      <c r="B65" s="8" t="n">
        <v>2</v>
      </c>
      <c r="C65" s="9" t="inlineStr">
        <is>
          <t>三浦　蓮</t>
        </is>
      </c>
      <c r="D65" s="9" t="inlineStr">
        <is>
          <t>みうら　れん</t>
        </is>
      </c>
      <c r="E65" s="8" t="inlineStr">
        <is>
          <t>男</t>
        </is>
      </c>
      <c r="F65" s="8" t="n">
        <v>60</v>
      </c>
      <c r="G65" s="8" t="n">
        <v>71</v>
      </c>
      <c r="H65" s="8" t="n">
        <v>59</v>
      </c>
      <c r="I65" s="8" t="n">
        <v>74</v>
      </c>
      <c r="J65" s="8" t="n">
        <v>58</v>
      </c>
      <c r="K65" s="10">
        <f>IF(COUNT(F65:J65)=0,"",ROUND(AVERAGE(F65:J65),1))</f>
        <v>64.4</v>
      </c>
      <c r="L65" s="11" t="n">
        <v>8.4</v>
      </c>
      <c r="M65" s="8" t="inlineStr">
        <is>
          <t>×</t>
        </is>
      </c>
      <c r="N65" s="8" t="n"/>
      <c r="O65" s="8" t="n"/>
      <c r="P65" s="8" t="n"/>
      <c r="Q65" s="12" t="n"/>
      <c r="R65" s="12" t="n"/>
      <c r="S65" s="12" t="n"/>
      <c r="T65" s="9" t="n"/>
      <c r="U65" s="13">
        <f>IF(A65="","",INDEX('計算'!$Z$2:$Z$151,AF65))</f>
        <v>2</v>
      </c>
      <c r="V65" s="13">
        <f>IF(A65="","",IFERROR(IF(INDEX('②クラス編成'!$E$9:$E$158,MATCH(A65,'②クラス編成'!$D$9:$D$158,0))="","未",INDEX('②クラス編成'!$E$9:$E$158,MATCH(A65,'②クラス編成'!$D$9:$D$158,0))),"未"))</f>
        <v>2</v>
      </c>
      <c r="W65" s="14" t="str">
        <f>IF(A65="","",A65&amp;" "&amp;C65)</f>
        <v>2227 三浦　蓮</v>
      </c>
      <c r="X65" s="14">
        <f>IF(A65="","",IF(E65="男",1,IF(E65="女",2,3)))</f>
        <v>1</v>
      </c>
      <c r="Y65" s="14">
        <f>IF(OR(M65="〇",M65="○",M65="◯"),1,0)</f>
        <v>0</v>
      </c>
      <c r="Z65" s="14">
        <f>IF(OR(N65="〇",N65="○",N65="◯"),1,0)</f>
        <v>0</v>
      </c>
      <c r="AA65" s="14">
        <f>IF(OR(O65="〇",O65="○",O65="◯"),1,0)</f>
        <v>0</v>
      </c>
      <c r="AB65" s="14">
        <f>IF(OR(P65="〇",P65="○",P65="◯"),1,0)</f>
        <v>0</v>
      </c>
      <c r="AC65" s="14">
        <f>IF(A65="","",IF(AA65=1,1,IF(Y65=1,2,IF(Z65=1,3,IF(AB65=1,4,5)))))</f>
        <v>5</v>
      </c>
      <c r="AD65" s="14">
        <f>IF(A65="","",IF(K65="",'設定'!$C$37,K65))</f>
        <v>64.4</v>
      </c>
      <c r="AE65" s="14">
        <f>IF(A65="","",AC65*10000000-ROUND(ABS((AD65-'設定'!$C$37)/'設定'!$C$38)*10000,0))</f>
        <v>49998572</v>
      </c>
      <c r="AF65" s="14">
        <f>IF(A65="","",COUNTIF($AE$4:$AE$153,"&lt;"&amp;AE65)+COUNTIFS($AE$4:$AE$153,AE65,$A$4:$A$153,"&lt;"&amp;A65)+1)</f>
        <v>96</v>
      </c>
      <c r="AG65" s="14" t="str">
        <f>IF(Q65="","",IFERROR(VALUE(LEFT(Q65,FIND(" ",Q65&amp;" ")-1)),IFERROR(INDEX($A$4:$A$153,MATCH(Q65,$C$4:$C$153,0)),"")))</f>
        <v/>
      </c>
      <c r="AH65" s="14" t="str">
        <f>IF(R65="","",IFERROR(VALUE(LEFT(R65,FIND(" ",R65&amp;" ")-1)),IFERROR(INDEX($A$4:$A$153,MATCH(R65,$C$4:$C$153,0)),"")))</f>
        <v/>
      </c>
      <c r="AI65" s="14" t="str">
        <f>IF(S65="","",IFERROR(VALUE(LEFT(S65,FIND(" ",S65&amp;" ")-1)),IFERROR(INDEX($A$4:$A$153,MATCH(S65,$C$4:$C$153,0)),"")))</f>
        <v/>
      </c>
      <c r="AJ65" s="14" t="str">
        <f>IF(OR(A65="",B65=""),"",IF(COUNTIFS($B$4:B65,B65,$A$4:A65,"&lt;&gt;")=1,MAX($AJ$3:AJ64)+1,""))</f>
        <v/>
      </c>
      <c r="AK65" s="14">
        <f>IF(OR(A65="",NOT(ISNUMBER(L65))),"",L65^2)</f>
        <v>70.56</v>
      </c>
      <c r="AL65" s="14">
        <f>IF(OR(A65="",NOT(ISNUMBER(L65))),0,(L65-INDEX('計算'!$AE$7:$AG$7,X65))/INDEX('計算'!$AE$8:$AG$8,X65))</f>
        <v>1.61419555757035</v>
      </c>
    </row>
    <row r="66">
      <c r="A66" s="8" t="n">
        <v>2228</v>
      </c>
      <c r="B66" s="8" t="n">
        <v>2</v>
      </c>
      <c r="C66" s="9" t="inlineStr">
        <is>
          <t>宮崎　紬</t>
        </is>
      </c>
      <c r="D66" s="9" t="inlineStr">
        <is>
          <t>みやざき　つむぎ</t>
        </is>
      </c>
      <c r="E66" s="8" t="inlineStr">
        <is>
          <t>女</t>
        </is>
      </c>
      <c r="F66" s="8" t="n">
        <v>74</v>
      </c>
      <c r="G66" s="8" t="n">
        <v>84</v>
      </c>
      <c r="H66" s="8" t="n">
        <v>76</v>
      </c>
      <c r="I66" s="8" t="n">
        <v>100</v>
      </c>
      <c r="J66" s="8" t="n">
        <v>81</v>
      </c>
      <c r="K66" s="10">
        <f>IF(COUNT(F66:J66)=0,"",ROUND(AVERAGE(F66:J66),1))</f>
        <v>83</v>
      </c>
      <c r="L66" s="11" t="n">
        <v>9.4</v>
      </c>
      <c r="M66" s="8" t="inlineStr">
        <is>
          <t>×</t>
        </is>
      </c>
      <c r="N66" s="8" t="n"/>
      <c r="O66" s="8" t="n"/>
      <c r="P66" s="8" t="n"/>
      <c r="Q66" s="12" t="n"/>
      <c r="R66" s="12" t="n"/>
      <c r="S66" s="12" t="n"/>
      <c r="T66" s="9" t="n"/>
      <c r="U66" s="13">
        <f>IF(A66="","",INDEX('計算'!$Z$2:$Z$151,AF66))</f>
        <v>3</v>
      </c>
      <c r="V66" s="13">
        <f>IF(A66="","",IFERROR(IF(INDEX('②クラス編成'!$E$9:$E$158,MATCH(A66,'②クラス編成'!$D$9:$D$158,0))="","未",INDEX('②クラス編成'!$E$9:$E$158,MATCH(A66,'②クラス編成'!$D$9:$D$158,0))),"未"))</f>
        <v>3</v>
      </c>
      <c r="W66" s="14" t="str">
        <f>IF(A66="","",A66&amp;" "&amp;C66)</f>
        <v>2228 宮崎　紬</v>
      </c>
      <c r="X66" s="14">
        <f>IF(A66="","",IF(E66="男",1,IF(E66="女",2,3)))</f>
        <v>2</v>
      </c>
      <c r="Y66" s="14">
        <f>IF(OR(M66="〇",M66="○",M66="◯"),1,0)</f>
        <v>0</v>
      </c>
      <c r="Z66" s="14">
        <f>IF(OR(N66="〇",N66="○",N66="◯"),1,0)</f>
        <v>0</v>
      </c>
      <c r="AA66" s="14">
        <f>IF(OR(O66="〇",O66="○",O66="◯"),1,0)</f>
        <v>0</v>
      </c>
      <c r="AB66" s="14">
        <f>IF(OR(P66="〇",P66="○",P66="◯"),1,0)</f>
        <v>0</v>
      </c>
      <c r="AC66" s="14">
        <f>IF(A66="","",IF(AA66=1,1,IF(Y66=1,2,IF(Z66=1,3,IF(AB66=1,4,5)))))</f>
        <v>5</v>
      </c>
      <c r="AD66" s="14">
        <f>IF(A66="","",IF(K66="",'設定'!$C$37,K66))</f>
        <v>83</v>
      </c>
      <c r="AE66" s="14">
        <f>IF(A66="","",AC66*10000000-ROUND(ABS((AD66-'設定'!$C$37)/'設定'!$C$38)*10000,0))</f>
        <v>49984682</v>
      </c>
      <c r="AF66" s="14">
        <f>IF(A66="","",COUNTIF($AE$4:$AE$153,"&lt;"&amp;AE66)+COUNTIFS($AE$4:$AE$153,AE66,$A$4:$A$153,"&lt;"&amp;A66)+1)</f>
        <v>34</v>
      </c>
      <c r="AG66" s="14" t="str">
        <f>IF(Q66="","",IFERROR(VALUE(LEFT(Q66,FIND(" ",Q66&amp;" ")-1)),IFERROR(INDEX($A$4:$A$153,MATCH(Q66,$C$4:$C$153,0)),"")))</f>
        <v/>
      </c>
      <c r="AH66" s="14" t="str">
        <f>IF(R66="","",IFERROR(VALUE(LEFT(R66,FIND(" ",R66&amp;" ")-1)),IFERROR(INDEX($A$4:$A$153,MATCH(R66,$C$4:$C$153,0)),"")))</f>
        <v/>
      </c>
      <c r="AI66" s="14" t="str">
        <f>IF(S66="","",IFERROR(VALUE(LEFT(S66,FIND(" ",S66&amp;" ")-1)),IFERROR(INDEX($A$4:$A$153,MATCH(S66,$C$4:$C$153,0)),"")))</f>
        <v/>
      </c>
      <c r="AJ66" s="14" t="str">
        <f>IF(OR(A66="",B66=""),"",IF(COUNTIFS($B$4:B66,B66,$A$4:A66,"&lt;&gt;")=1,MAX($AJ$3:AJ65)+1,""))</f>
        <v/>
      </c>
      <c r="AK66" s="14">
        <f>IF(OR(A66="",NOT(ISNUMBER(L66))),"",L66^2)</f>
        <v>88.36</v>
      </c>
      <c r="AL66" s="14">
        <f>IF(OR(A66="",NOT(ISNUMBER(L66))),0,(L66-INDEX('計算'!$AE$7:$AG$7,X66))/INDEX('計算'!$AE$8:$AG$8,X66))</f>
        <v>0.876622474970213</v>
      </c>
    </row>
    <row r="67">
      <c r="A67" s="8" t="n">
        <v>2229</v>
      </c>
      <c r="B67" s="8" t="n">
        <v>2</v>
      </c>
      <c r="C67" s="9" t="inlineStr">
        <is>
          <t>森　大翔</t>
        </is>
      </c>
      <c r="D67" s="9" t="inlineStr">
        <is>
          <t>もり　ひろと</t>
        </is>
      </c>
      <c r="E67" s="8" t="inlineStr">
        <is>
          <t>男</t>
        </is>
      </c>
      <c r="F67" s="8" t="n">
        <v>86</v>
      </c>
      <c r="G67" s="8" t="n">
        <v>71</v>
      </c>
      <c r="H67" s="8" t="n">
        <v>87</v>
      </c>
      <c r="I67" s="8" t="n">
        <v>69</v>
      </c>
      <c r="J67" s="8" t="n">
        <v>86</v>
      </c>
      <c r="K67" s="10">
        <f>IF(COUNT(F67:J67)=0,"",ROUND(AVERAGE(F67:J67),1))</f>
        <v>79.8</v>
      </c>
      <c r="L67" s="11" t="n">
        <v>7.7</v>
      </c>
      <c r="M67" s="8" t="inlineStr">
        <is>
          <t>×</t>
        </is>
      </c>
      <c r="N67" s="8" t="n"/>
      <c r="O67" s="8" t="n"/>
      <c r="P67" s="8" t="inlineStr">
        <is>
          <t>〇</t>
        </is>
      </c>
      <c r="Q67" s="12" t="n"/>
      <c r="R67" s="12" t="n"/>
      <c r="S67" s="12" t="n"/>
      <c r="T67" s="9" t="n"/>
      <c r="U67" s="13">
        <f>IF(A67="","",INDEX('計算'!$Z$2:$Z$151,AF67))</f>
        <v>2</v>
      </c>
      <c r="V67" s="13">
        <f>IF(A67="","",IFERROR(IF(INDEX('②クラス編成'!$E$9:$E$158,MATCH(A67,'②クラス編成'!$D$9:$D$158,0))="","未",INDEX('②クラス編成'!$E$9:$E$158,MATCH(A67,'②クラス編成'!$D$9:$D$158,0))),"未"))</f>
        <v>2</v>
      </c>
      <c r="W67" s="14" t="str">
        <f>IF(A67="","",A67&amp;" "&amp;C67)</f>
        <v>2229 森　大翔</v>
      </c>
      <c r="X67" s="14">
        <f>IF(A67="","",IF(E67="男",1,IF(E67="女",2,3)))</f>
        <v>1</v>
      </c>
      <c r="Y67" s="14">
        <f>IF(OR(M67="〇",M67="○",M67="◯"),1,0)</f>
        <v>0</v>
      </c>
      <c r="Z67" s="14">
        <f>IF(OR(N67="〇",N67="○",N67="◯"),1,0)</f>
        <v>0</v>
      </c>
      <c r="AA67" s="14">
        <f>IF(OR(O67="〇",O67="○",O67="◯"),1,0)</f>
        <v>0</v>
      </c>
      <c r="AB67" s="14">
        <f>IF(OR(P67="〇",P67="○",P67="◯"),1,0)</f>
        <v>1</v>
      </c>
      <c r="AC67" s="14">
        <f>IF(A67="","",IF(AA67=1,1,IF(Y67=1,2,IF(Z67=1,3,IF(AB67=1,4,5)))))</f>
        <v>4</v>
      </c>
      <c r="AD67" s="14">
        <f>IF(A67="","",IF(K67="",'設定'!$C$37,K67))</f>
        <v>79.8</v>
      </c>
      <c r="AE67" s="14">
        <f>IF(A67="","",AC67*10000000-ROUND(ABS((AD67-'設定'!$C$37)/'設定'!$C$38)*10000,0))</f>
        <v>39987072</v>
      </c>
      <c r="AF67" s="14">
        <f>IF(A67="","",COUNTIF($AE$4:$AE$153,"&lt;"&amp;AE67)+COUNTIFS($AE$4:$AE$153,AE67,$A$4:$A$153,"&lt;"&amp;A67)+1)</f>
        <v>25</v>
      </c>
      <c r="AG67" s="14" t="str">
        <f>IF(Q67="","",IFERROR(VALUE(LEFT(Q67,FIND(" ",Q67&amp;" ")-1)),IFERROR(INDEX($A$4:$A$153,MATCH(Q67,$C$4:$C$153,0)),"")))</f>
        <v/>
      </c>
      <c r="AH67" s="14" t="str">
        <f>IF(R67="","",IFERROR(VALUE(LEFT(R67,FIND(" ",R67&amp;" ")-1)),IFERROR(INDEX($A$4:$A$153,MATCH(R67,$C$4:$C$153,0)),"")))</f>
        <v/>
      </c>
      <c r="AI67" s="14" t="str">
        <f>IF(S67="","",IFERROR(VALUE(LEFT(S67,FIND(" ",S67&amp;" ")-1)),IFERROR(INDEX($A$4:$A$153,MATCH(S67,$C$4:$C$153,0)),"")))</f>
        <v/>
      </c>
      <c r="AJ67" s="14" t="str">
        <f>IF(OR(A67="",B67=""),"",IF(COUNTIFS($B$4:B67,B67,$A$4:A67,"&lt;&gt;")=1,MAX($AJ$3:AJ66)+1,""))</f>
        <v/>
      </c>
      <c r="AK67" s="14">
        <f>IF(OR(A67="",NOT(ISNUMBER(L67))),"",L67^2)</f>
        <v>59.29</v>
      </c>
      <c r="AL67" s="14">
        <f>IF(OR(A67="",NOT(ISNUMBER(L67))),0,(L67-INDEX('計算'!$AE$7:$AG$7,X67))/INDEX('計算'!$AE$8:$AG$8,X67))</f>
        <v>0.0210730490544438</v>
      </c>
    </row>
    <row r="68">
      <c r="A68" s="8" t="n">
        <v>2230</v>
      </c>
      <c r="B68" s="8" t="n">
        <v>2</v>
      </c>
      <c r="C68" s="9" t="inlineStr">
        <is>
          <t>森田　奏太</t>
        </is>
      </c>
      <c r="D68" s="9" t="inlineStr">
        <is>
          <t>もりた　かなた</t>
        </is>
      </c>
      <c r="E68" s="8" t="inlineStr">
        <is>
          <t>男</t>
        </is>
      </c>
      <c r="F68" s="8" t="n">
        <v>54</v>
      </c>
      <c r="G68" s="8" t="n">
        <v>76</v>
      </c>
      <c r="H68" s="8" t="n">
        <v>57</v>
      </c>
      <c r="I68" s="8" t="n">
        <v>52</v>
      </c>
      <c r="J68" s="8" t="n">
        <v>66</v>
      </c>
      <c r="K68" s="10">
        <f>IF(COUNT(F68:J68)=0,"",ROUND(AVERAGE(F68:J68),1))</f>
        <v>61</v>
      </c>
      <c r="L68" s="11" t="n">
        <v>7.8</v>
      </c>
      <c r="M68" s="8" t="inlineStr">
        <is>
          <t>×</t>
        </is>
      </c>
      <c r="N68" s="8" t="n"/>
      <c r="O68" s="8" t="n"/>
      <c r="P68" s="8" t="n"/>
      <c r="Q68" s="12" t="n"/>
      <c r="R68" s="12" t="n"/>
      <c r="S68" s="12" t="n"/>
      <c r="T68" s="9" t="n"/>
      <c r="U68" s="13">
        <f>IF(A68="","",INDEX('計算'!$Z$2:$Z$151,AF68))</f>
        <v>3</v>
      </c>
      <c r="V68" s="13">
        <f>IF(A68="","",IFERROR(IF(INDEX('②クラス編成'!$E$9:$E$158,MATCH(A68,'②クラス編成'!$D$9:$D$158,0))="","未",INDEX('②クラス編成'!$E$9:$E$158,MATCH(A68,'②クラス編成'!$D$9:$D$158,0))),"未"))</f>
        <v>3</v>
      </c>
      <c r="W68" s="14" t="str">
        <f>IF(A68="","",A68&amp;" "&amp;C68)</f>
        <v>2230 森田　奏太</v>
      </c>
      <c r="X68" s="14">
        <f>IF(A68="","",IF(E68="男",1,IF(E68="女",2,3)))</f>
        <v>1</v>
      </c>
      <c r="Y68" s="14">
        <f>IF(OR(M68="〇",M68="○",M68="◯"),1,0)</f>
        <v>0</v>
      </c>
      <c r="Z68" s="14">
        <f>IF(OR(N68="〇",N68="○",N68="◯"),1,0)</f>
        <v>0</v>
      </c>
      <c r="AA68" s="14">
        <f>IF(OR(O68="〇",O68="○",O68="◯"),1,0)</f>
        <v>0</v>
      </c>
      <c r="AB68" s="14">
        <f>IF(OR(P68="〇",P68="○",P68="◯"),1,0)</f>
        <v>0</v>
      </c>
      <c r="AC68" s="14">
        <f>IF(A68="","",IF(AA68=1,1,IF(Y68=1,2,IF(Z68=1,3,IF(AB68=1,4,5)))))</f>
        <v>5</v>
      </c>
      <c r="AD68" s="14">
        <f>IF(A68="","",IF(K68="",'設定'!$C$37,K68))</f>
        <v>61</v>
      </c>
      <c r="AE68" s="14">
        <f>IF(A68="","",AC68*10000000-ROUND(ABS((AD68-'設定'!$C$37)/'設定'!$C$38)*10000,0))</f>
        <v>49998889</v>
      </c>
      <c r="AF68" s="14">
        <f>IF(A68="","",COUNTIF($AE$4:$AE$153,"&lt;"&amp;AE68)+COUNTIFS($AE$4:$AE$153,AE68,$A$4:$A$153,"&lt;"&amp;A68)+1)</f>
        <v>98</v>
      </c>
      <c r="AG68" s="14" t="str">
        <f>IF(Q68="","",IFERROR(VALUE(LEFT(Q68,FIND(" ",Q68&amp;" ")-1)),IFERROR(INDEX($A$4:$A$153,MATCH(Q68,$C$4:$C$153,0)),"")))</f>
        <v/>
      </c>
      <c r="AH68" s="14" t="str">
        <f>IF(R68="","",IFERROR(VALUE(LEFT(R68,FIND(" ",R68&amp;" ")-1)),IFERROR(INDEX($A$4:$A$153,MATCH(R68,$C$4:$C$153,0)),"")))</f>
        <v/>
      </c>
      <c r="AI68" s="14" t="str">
        <f>IF(S68="","",IFERROR(VALUE(LEFT(S68,FIND(" ",S68&amp;" ")-1)),IFERROR(INDEX($A$4:$A$153,MATCH(S68,$C$4:$C$153,0)),"")))</f>
        <v/>
      </c>
      <c r="AJ68" s="14" t="str">
        <f>IF(OR(A68="",B68=""),"",IF(COUNTIFS($B$4:B68,B68,$A$4:A68,"&lt;&gt;")=1,MAX($AJ$3:AJ67)+1,""))</f>
        <v/>
      </c>
      <c r="AK68" s="14">
        <f>IF(OR(A68="",NOT(ISNUMBER(L68))),"",L68^2)</f>
        <v>60.84</v>
      </c>
      <c r="AL68" s="14">
        <f>IF(OR(A68="",NOT(ISNUMBER(L68))),0,(L68-INDEX('計算'!$AE$7:$AG$7,X68))/INDEX('計算'!$AE$8:$AG$8,X68))</f>
        <v>0.24866197884243</v>
      </c>
    </row>
    <row r="69">
      <c r="A69" s="8" t="n">
        <v>2231</v>
      </c>
      <c r="B69" s="8" t="n">
        <v>2</v>
      </c>
      <c r="C69" s="9" t="inlineStr">
        <is>
          <t>森田　美羽</t>
        </is>
      </c>
      <c r="D69" s="9" t="inlineStr">
        <is>
          <t>もりた　みう</t>
        </is>
      </c>
      <c r="E69" s="8" t="inlineStr">
        <is>
          <t>女</t>
        </is>
      </c>
      <c r="F69" s="8" t="n">
        <v>76</v>
      </c>
      <c r="G69" s="8" t="n">
        <v>65</v>
      </c>
      <c r="H69" s="8" t="n">
        <v>81</v>
      </c>
      <c r="I69" s="8" t="n">
        <v>69</v>
      </c>
      <c r="J69" s="8" t="n">
        <v>81</v>
      </c>
      <c r="K69" s="10">
        <f>IF(COUNT(F69:J69)=0,"",ROUND(AVERAGE(F69:J69),1))</f>
        <v>74.4</v>
      </c>
      <c r="L69" s="11" t="n">
        <v>9</v>
      </c>
      <c r="M69" s="8" t="inlineStr">
        <is>
          <t>×</t>
        </is>
      </c>
      <c r="N69" s="8" t="inlineStr">
        <is>
          <t>〇</t>
        </is>
      </c>
      <c r="O69" s="8" t="n"/>
      <c r="P69" s="8" t="n"/>
      <c r="Q69" s="12" t="n"/>
      <c r="R69" s="12" t="n"/>
      <c r="S69" s="12" t="n"/>
      <c r="T69" s="9" t="inlineStr">
        <is>
          <t>部活：陸上</t>
        </is>
      </c>
      <c r="U69" s="13">
        <f>IF(A69="","",INDEX('計算'!$Z$2:$Z$151,AF69))</f>
        <v>1</v>
      </c>
      <c r="V69" s="13">
        <f>IF(A69="","",IFERROR(IF(INDEX('②クラス編成'!$E$9:$E$158,MATCH(A69,'②クラス編成'!$D$9:$D$158,0))="","未",INDEX('②クラス編成'!$E$9:$E$158,MATCH(A69,'②クラス編成'!$D$9:$D$158,0))),"未"))</f>
        <v>1</v>
      </c>
      <c r="W69" s="14" t="str">
        <f>IF(A69="","",A69&amp;" "&amp;C69)</f>
        <v>2231 森田　美羽</v>
      </c>
      <c r="X69" s="14">
        <f>IF(A69="","",IF(E69="男",1,IF(E69="女",2,3)))</f>
        <v>2</v>
      </c>
      <c r="Y69" s="14">
        <f>IF(OR(M69="〇",M69="○",M69="◯"),1,0)</f>
        <v>0</v>
      </c>
      <c r="Z69" s="14">
        <f>IF(OR(N69="〇",N69="○",N69="◯"),1,0)</f>
        <v>1</v>
      </c>
      <c r="AA69" s="14">
        <f>IF(OR(O69="〇",O69="○",O69="◯"),1,0)</f>
        <v>0</v>
      </c>
      <c r="AB69" s="14">
        <f>IF(OR(P69="〇",P69="○",P69="◯"),1,0)</f>
        <v>0</v>
      </c>
      <c r="AC69" s="14">
        <f>IF(A69="","",IF(AA69=1,1,IF(Y69=1,2,IF(Z69=1,3,IF(AB69=1,4,5)))))</f>
        <v>3</v>
      </c>
      <c r="AD69" s="14">
        <f>IF(A69="","",IF(K69="",'設定'!$C$37,K69))</f>
        <v>74.4</v>
      </c>
      <c r="AE69" s="14">
        <f>IF(A69="","",AC69*10000000-ROUND(ABS((AD69-'設定'!$C$37)/'設定'!$C$38)*10000,0))</f>
        <v>29991104</v>
      </c>
      <c r="AF69" s="14">
        <f>IF(A69="","",COUNTIF($AE$4:$AE$153,"&lt;"&amp;AE69)+COUNTIFS($AE$4:$AE$153,AE69,$A$4:$A$153,"&lt;"&amp;A69)+1)</f>
        <v>20</v>
      </c>
      <c r="AG69" s="14" t="str">
        <f>IF(Q69="","",IFERROR(VALUE(LEFT(Q69,FIND(" ",Q69&amp;" ")-1)),IFERROR(INDEX($A$4:$A$153,MATCH(Q69,$C$4:$C$153,0)),"")))</f>
        <v/>
      </c>
      <c r="AH69" s="14" t="str">
        <f>IF(R69="","",IFERROR(VALUE(LEFT(R69,FIND(" ",R69&amp;" ")-1)),IFERROR(INDEX($A$4:$A$153,MATCH(R69,$C$4:$C$153,0)),"")))</f>
        <v/>
      </c>
      <c r="AI69" s="14" t="str">
        <f>IF(S69="","",IFERROR(VALUE(LEFT(S69,FIND(" ",S69&amp;" ")-1)),IFERROR(INDEX($A$4:$A$153,MATCH(S69,$C$4:$C$153,0)),"")))</f>
        <v/>
      </c>
      <c r="AJ69" s="14" t="str">
        <f>IF(OR(A69="",B69=""),"",IF(COUNTIFS($B$4:B69,B69,$A$4:A69,"&lt;&gt;")=1,MAX($AJ$3:AJ68)+1,""))</f>
        <v/>
      </c>
      <c r="AK69" s="14">
        <f>IF(OR(A69="",NOT(ISNUMBER(L69))),"",L69^2)</f>
        <v>81</v>
      </c>
      <c r="AL69" s="14">
        <f>IF(OR(A69="",NOT(ISNUMBER(L69))),0,(L69-INDEX('計算'!$AE$7:$AG$7,X69))/INDEX('計算'!$AE$8:$AG$8,X69))</f>
        <v>0.221563922245218</v>
      </c>
    </row>
    <row r="70">
      <c r="A70" s="8" t="n">
        <v>2232</v>
      </c>
      <c r="B70" s="8" t="n">
        <v>2</v>
      </c>
      <c r="C70" s="9" t="inlineStr">
        <is>
          <t>山田　誠</t>
        </is>
      </c>
      <c r="D70" s="9" t="inlineStr">
        <is>
          <t>やまだ　まこと</t>
        </is>
      </c>
      <c r="E70" s="8" t="inlineStr">
        <is>
          <t>男</t>
        </is>
      </c>
      <c r="F70" s="8" t="n">
        <v>78</v>
      </c>
      <c r="G70" s="8" t="n">
        <v>79</v>
      </c>
      <c r="H70" s="8" t="n">
        <v>88</v>
      </c>
      <c r="I70" s="8" t="n">
        <v>65</v>
      </c>
      <c r="J70" s="8" t="n">
        <v>81</v>
      </c>
      <c r="K70" s="10">
        <f>IF(COUNT(F70:J70)=0,"",ROUND(AVERAGE(F70:J70),1))</f>
        <v>78.2</v>
      </c>
      <c r="L70" s="11" t="n">
        <v>7.3</v>
      </c>
      <c r="M70" s="8" t="inlineStr">
        <is>
          <t>×</t>
        </is>
      </c>
      <c r="N70" s="8" t="n"/>
      <c r="O70" s="8" t="n"/>
      <c r="P70" s="8" t="n"/>
      <c r="Q70" s="12" t="n"/>
      <c r="R70" s="12" t="n"/>
      <c r="S70" s="12" t="n"/>
      <c r="T70" s="9" t="n"/>
      <c r="U70" s="13">
        <f>IF(A70="","",INDEX('計算'!$Z$2:$Z$151,AF70))</f>
        <v>2</v>
      </c>
      <c r="V70" s="13">
        <f>IF(A70="","",IFERROR(IF(INDEX('②クラス編成'!$E$9:$E$158,MATCH(A70,'②クラス編成'!$D$9:$D$158,0))="","未",INDEX('②クラス編成'!$E$9:$E$158,MATCH(A70,'②クラス編成'!$D$9:$D$158,0))),"未"))</f>
        <v>2</v>
      </c>
      <c r="W70" s="14" t="str">
        <f>IF(A70="","",A70&amp;" "&amp;C70)</f>
        <v>2232 山田　誠</v>
      </c>
      <c r="X70" s="14">
        <f>IF(A70="","",IF(E70="男",1,IF(E70="女",2,3)))</f>
        <v>1</v>
      </c>
      <c r="Y70" s="14">
        <f>IF(OR(M70="〇",M70="○",M70="◯"),1,0)</f>
        <v>0</v>
      </c>
      <c r="Z70" s="14">
        <f>IF(OR(N70="〇",N70="○",N70="◯"),1,0)</f>
        <v>0</v>
      </c>
      <c r="AA70" s="14">
        <f>IF(OR(O70="〇",O70="○",O70="◯"),1,0)</f>
        <v>0</v>
      </c>
      <c r="AB70" s="14">
        <f>IF(OR(P70="〇",P70="○",P70="◯"),1,0)</f>
        <v>0</v>
      </c>
      <c r="AC70" s="14">
        <f>IF(A70="","",IF(AA70=1,1,IF(Y70=1,2,IF(Z70=1,3,IF(AB70=1,4,5)))))</f>
        <v>5</v>
      </c>
      <c r="AD70" s="14">
        <f>IF(A70="","",IF(K70="",'設定'!$C$37,K70))</f>
        <v>78.2</v>
      </c>
      <c r="AE70" s="14">
        <f>IF(A70="","",AC70*10000000-ROUND(ABS((AD70-'設定'!$C$37)/'設定'!$C$38)*10000,0))</f>
        <v>49988266</v>
      </c>
      <c r="AF70" s="14">
        <f>IF(A70="","",COUNTIF($AE$4:$AE$153,"&lt;"&amp;AE70)+COUNTIFS($AE$4:$AE$153,AE70,$A$4:$A$153,"&lt;"&amp;A70)+1)</f>
        <v>45</v>
      </c>
      <c r="AG70" s="14" t="str">
        <f>IF(Q70="","",IFERROR(VALUE(LEFT(Q70,FIND(" ",Q70&amp;" ")-1)),IFERROR(INDEX($A$4:$A$153,MATCH(Q70,$C$4:$C$153,0)),"")))</f>
        <v/>
      </c>
      <c r="AH70" s="14" t="str">
        <f>IF(R70="","",IFERROR(VALUE(LEFT(R70,FIND(" ",R70&amp;" ")-1)),IFERROR(INDEX($A$4:$A$153,MATCH(R70,$C$4:$C$153,0)),"")))</f>
        <v/>
      </c>
      <c r="AI70" s="14" t="str">
        <f>IF(S70="","",IFERROR(VALUE(LEFT(S70,FIND(" ",S70&amp;" ")-1)),IFERROR(INDEX($A$4:$A$153,MATCH(S70,$C$4:$C$153,0)),"")))</f>
        <v/>
      </c>
      <c r="AJ70" s="14" t="str">
        <f>IF(OR(A70="",B70=""),"",IF(COUNTIFS($B$4:B70,B70,$A$4:A70,"&lt;&gt;")=1,MAX($AJ$3:AJ69)+1,""))</f>
        <v/>
      </c>
      <c r="AK70" s="14">
        <f>IF(OR(A70="",NOT(ISNUMBER(L70))),"",L70^2)</f>
        <v>53.29</v>
      </c>
      <c r="AL70" s="14">
        <f>IF(OR(A70="",NOT(ISNUMBER(L70))),0,(L70-INDEX('計算'!$AE$7:$AG$7,X70))/INDEX('計算'!$AE$8:$AG$8,X70))</f>
        <v>-0.889282670097504</v>
      </c>
    </row>
    <row r="71">
      <c r="A71" s="8" t="n">
        <v>2233</v>
      </c>
      <c r="B71" s="8" t="n">
        <v>2</v>
      </c>
      <c r="C71" s="9" t="inlineStr">
        <is>
          <t>吉田　遥</t>
        </is>
      </c>
      <c r="D71" s="9" t="inlineStr">
        <is>
          <t>よしだ　はるか</t>
        </is>
      </c>
      <c r="E71" s="8" t="inlineStr">
        <is>
          <t>女</t>
        </is>
      </c>
      <c r="F71" s="8" t="n">
        <v>53</v>
      </c>
      <c r="G71" s="8" t="n">
        <v>43</v>
      </c>
      <c r="H71" s="8" t="n">
        <v>45</v>
      </c>
      <c r="I71" s="8" t="n">
        <v>68</v>
      </c>
      <c r="J71" s="8" t="n">
        <v>51</v>
      </c>
      <c r="K71" s="10">
        <f>IF(COUNT(F71:J71)=0,"",ROUND(AVERAGE(F71:J71),1))</f>
        <v>52</v>
      </c>
      <c r="L71" s="11" t="n">
        <v>9.6</v>
      </c>
      <c r="M71" s="8" t="inlineStr">
        <is>
          <t>×</t>
        </is>
      </c>
      <c r="N71" s="8" t="n"/>
      <c r="O71" s="8" t="n"/>
      <c r="P71" s="8" t="n"/>
      <c r="Q71" s="12" t="n"/>
      <c r="R71" s="12" t="n"/>
      <c r="S71" s="12" t="n"/>
      <c r="T71" s="9" t="n"/>
      <c r="U71" s="13">
        <f>IF(A71="","",INDEX('計算'!$Z$2:$Z$151,AF71))</f>
        <v>3</v>
      </c>
      <c r="V71" s="13">
        <f>IF(A71="","",IFERROR(IF(INDEX('②クラス編成'!$E$9:$E$158,MATCH(A71,'②クラス編成'!$D$9:$D$158,0))="","未",INDEX('②クラス編成'!$E$9:$E$158,MATCH(A71,'②クラス編成'!$D$9:$D$158,0))),"未"))</f>
        <v>3</v>
      </c>
      <c r="W71" s="14" t="str">
        <f>IF(A71="","",A71&amp;" "&amp;C71)</f>
        <v>2233 吉田　遥</v>
      </c>
      <c r="X71" s="14">
        <f>IF(A71="","",IF(E71="男",1,IF(E71="女",2,3)))</f>
        <v>2</v>
      </c>
      <c r="Y71" s="14">
        <f>IF(OR(M71="〇",M71="○",M71="◯"),1,0)</f>
        <v>0</v>
      </c>
      <c r="Z71" s="14">
        <f>IF(OR(N71="〇",N71="○",N71="◯"),1,0)</f>
        <v>0</v>
      </c>
      <c r="AA71" s="14">
        <f>IF(OR(O71="〇",O71="○",O71="◯"),1,0)</f>
        <v>0</v>
      </c>
      <c r="AB71" s="14">
        <f>IF(OR(P71="〇",P71="○",P71="◯"),1,0)</f>
        <v>0</v>
      </c>
      <c r="AC71" s="14">
        <f>IF(A71="","",IF(AA71=1,1,IF(Y71=1,2,IF(Z71=1,3,IF(AB71=1,4,5)))))</f>
        <v>5</v>
      </c>
      <c r="AD71" s="14">
        <f>IF(A71="","",IF(K71="",'設定'!$C$37,K71))</f>
        <v>52</v>
      </c>
      <c r="AE71" s="14">
        <f>IF(A71="","",AC71*10000000-ROUND(ABS((AD71-'設定'!$C$37)/'設定'!$C$38)*10000,0))</f>
        <v>49992168</v>
      </c>
      <c r="AF71" s="14">
        <f>IF(A71="","",COUNTIF($AE$4:$AE$153,"&lt;"&amp;AE71)+COUNTIFS($AE$4:$AE$153,AE71,$A$4:$A$153,"&lt;"&amp;A71)+1)</f>
        <v>70</v>
      </c>
      <c r="AG71" s="14" t="str">
        <f>IF(Q71="","",IFERROR(VALUE(LEFT(Q71,FIND(" ",Q71&amp;" ")-1)),IFERROR(INDEX($A$4:$A$153,MATCH(Q71,$C$4:$C$153,0)),"")))</f>
        <v/>
      </c>
      <c r="AH71" s="14" t="str">
        <f>IF(R71="","",IFERROR(VALUE(LEFT(R71,FIND(" ",R71&amp;" ")-1)),IFERROR(INDEX($A$4:$A$153,MATCH(R71,$C$4:$C$153,0)),"")))</f>
        <v/>
      </c>
      <c r="AI71" s="14" t="str">
        <f>IF(S71="","",IFERROR(VALUE(LEFT(S71,FIND(" ",S71&amp;" ")-1)),IFERROR(INDEX($A$4:$A$153,MATCH(S71,$C$4:$C$153,0)),"")))</f>
        <v/>
      </c>
      <c r="AJ71" s="14" t="str">
        <f>IF(OR(A71="",B71=""),"",IF(COUNTIFS($B$4:B71,B71,$A$4:A71,"&lt;&gt;")=1,MAX($AJ$3:AJ70)+1,""))</f>
        <v/>
      </c>
      <c r="AK71" s="14">
        <f>IF(OR(A71="",NOT(ISNUMBER(L71))),"",L71^2)</f>
        <v>92.16</v>
      </c>
      <c r="AL71" s="14">
        <f>IF(OR(A71="",NOT(ISNUMBER(L71))),0,(L71-INDEX('計算'!$AE$7:$AG$7,X71))/INDEX('計算'!$AE$8:$AG$8,X71))</f>
        <v>1.20415175133271</v>
      </c>
    </row>
    <row r="72">
      <c r="A72" s="8" t="n">
        <v>2234</v>
      </c>
      <c r="B72" s="8" t="n">
        <v>2</v>
      </c>
      <c r="C72" s="9" t="inlineStr">
        <is>
          <t>吉田　陽翔</t>
        </is>
      </c>
      <c r="D72" s="9" t="inlineStr">
        <is>
          <t>よしだ　はると</t>
        </is>
      </c>
      <c r="E72" s="8" t="inlineStr">
        <is>
          <t>男</t>
        </is>
      </c>
      <c r="F72" s="8" t="n">
        <v>53</v>
      </c>
      <c r="G72" s="8" t="n">
        <v>60</v>
      </c>
      <c r="H72" s="8" t="n">
        <v>63</v>
      </c>
      <c r="I72" s="8" t="n">
        <v>47</v>
      </c>
      <c r="J72" s="8" t="n">
        <v>52</v>
      </c>
      <c r="K72" s="10">
        <f>IF(COUNT(F72:J72)=0,"",ROUND(AVERAGE(F72:J72),1))</f>
        <v>55</v>
      </c>
      <c r="L72" s="11" t="n">
        <v>7.9</v>
      </c>
      <c r="M72" s="8" t="inlineStr">
        <is>
          <t>×</t>
        </is>
      </c>
      <c r="N72" s="8" t="n"/>
      <c r="O72" s="8" t="n"/>
      <c r="P72" s="8" t="n"/>
      <c r="Q72" s="12" t="n"/>
      <c r="R72" s="12" t="n"/>
      <c r="S72" s="12" t="inlineStr">
        <is>
          <t>2207 伊藤　美桜</t>
        </is>
      </c>
      <c r="T72" s="9" t="n"/>
      <c r="U72" s="13">
        <f>IF(A72="","",INDEX('計算'!$Z$2:$Z$151,AF72))</f>
        <v>1</v>
      </c>
      <c r="V72" s="13">
        <f>IF(A72="","",IFERROR(IF(INDEX('②クラス編成'!$E$9:$E$158,MATCH(A72,'②クラス編成'!$D$9:$D$158,0))="","未",INDEX('②クラス編成'!$E$9:$E$158,MATCH(A72,'②クラス編成'!$D$9:$D$158,0))),"未"))</f>
        <v>1</v>
      </c>
      <c r="W72" s="14" t="str">
        <f>IF(A72="","",A72&amp;" "&amp;C72)</f>
        <v>2234 吉田　陽翔</v>
      </c>
      <c r="X72" s="14">
        <f>IF(A72="","",IF(E72="男",1,IF(E72="女",2,3)))</f>
        <v>1</v>
      </c>
      <c r="Y72" s="14">
        <f>IF(OR(M72="〇",M72="○",M72="◯"),1,0)</f>
        <v>0</v>
      </c>
      <c r="Z72" s="14">
        <f>IF(OR(N72="〇",N72="○",N72="◯"),1,0)</f>
        <v>0</v>
      </c>
      <c r="AA72" s="14">
        <f>IF(OR(O72="〇",O72="○",O72="◯"),1,0)</f>
        <v>0</v>
      </c>
      <c r="AB72" s="14">
        <f>IF(OR(P72="〇",P72="○",P72="◯"),1,0)</f>
        <v>0</v>
      </c>
      <c r="AC72" s="14">
        <f>IF(A72="","",IF(AA72=1,1,IF(Y72=1,2,IF(Z72=1,3,IF(AB72=1,4,5)))))</f>
        <v>5</v>
      </c>
      <c r="AD72" s="14">
        <f>IF(A72="","",IF(K72="",'設定'!$C$37,K72))</f>
        <v>55</v>
      </c>
      <c r="AE72" s="14">
        <f>IF(A72="","",AC72*10000000-ROUND(ABS((AD72-'設定'!$C$37)/'設定'!$C$38)*10000,0))</f>
        <v>49994408</v>
      </c>
      <c r="AF72" s="14">
        <f>IF(A72="","",COUNTIF($AE$4:$AE$153,"&lt;"&amp;AE72)+COUNTIFS($AE$4:$AE$153,AE72,$A$4:$A$153,"&lt;"&amp;A72)+1)</f>
        <v>80</v>
      </c>
      <c r="AG72" s="14" t="str">
        <f>IF(Q72="","",IFERROR(VALUE(LEFT(Q72,FIND(" ",Q72&amp;" ")-1)),IFERROR(INDEX($A$4:$A$153,MATCH(Q72,$C$4:$C$153,0)),"")))</f>
        <v/>
      </c>
      <c r="AH72" s="14" t="str">
        <f>IF(R72="","",IFERROR(VALUE(LEFT(R72,FIND(" ",R72&amp;" ")-1)),IFERROR(INDEX($A$4:$A$153,MATCH(R72,$C$4:$C$153,0)),"")))</f>
        <v/>
      </c>
      <c r="AI72" s="14">
        <f>IF(S72="","",IFERROR(VALUE(LEFT(S72,FIND(" ",S72&amp;" ")-1)),IFERROR(INDEX($A$4:$A$153,MATCH(S72,$C$4:$C$153,0)),"")))</f>
        <v>2207</v>
      </c>
      <c r="AJ72" s="14" t="str">
        <f>IF(OR(A72="",B72=""),"",IF(COUNTIFS($B$4:B72,B72,$A$4:A72,"&lt;&gt;")=1,MAX($AJ$3:AJ71)+1,""))</f>
        <v/>
      </c>
      <c r="AK72" s="14">
        <f>IF(OR(A72="",NOT(ISNUMBER(L72))),"",L72^2)</f>
        <v>62.41</v>
      </c>
      <c r="AL72" s="14">
        <f>IF(OR(A72="",NOT(ISNUMBER(L72))),0,(L72-INDEX('計算'!$AE$7:$AG$7,X72))/INDEX('計算'!$AE$8:$AG$8,X72))</f>
        <v>0.476250908630418</v>
      </c>
    </row>
    <row r="73">
      <c r="A73" s="8" t="n">
        <v>2235</v>
      </c>
      <c r="B73" s="8" t="n">
        <v>2</v>
      </c>
      <c r="C73" s="9" t="inlineStr">
        <is>
          <t>渡辺　奏太</t>
        </is>
      </c>
      <c r="D73" s="9" t="inlineStr">
        <is>
          <t>わたなべ　かなた</t>
        </is>
      </c>
      <c r="E73" s="8" t="inlineStr">
        <is>
          <t>男</t>
        </is>
      </c>
      <c r="F73" s="8" t="n">
        <v>30</v>
      </c>
      <c r="G73" s="8" t="n">
        <v>63</v>
      </c>
      <c r="H73" s="8" t="n">
        <v>34</v>
      </c>
      <c r="I73" s="8" t="n">
        <v>46</v>
      </c>
      <c r="J73" s="8" t="n">
        <v>53</v>
      </c>
      <c r="K73" s="10">
        <f>IF(COUNT(F73:J73)=0,"",ROUND(AVERAGE(F73:J73),1))</f>
        <v>45.2</v>
      </c>
      <c r="L73" s="11" t="n">
        <v>8.1</v>
      </c>
      <c r="M73" s="8" t="inlineStr">
        <is>
          <t>×</t>
        </is>
      </c>
      <c r="N73" s="8" t="n"/>
      <c r="O73" s="8" t="n"/>
      <c r="P73" s="8" t="n"/>
      <c r="Q73" s="12" t="n"/>
      <c r="R73" s="12" t="n"/>
      <c r="S73" s="12" t="n"/>
      <c r="T73" s="9" t="n"/>
      <c r="U73" s="13">
        <f>IF(A73="","",INDEX('計算'!$Z$2:$Z$151,AF73))</f>
        <v>1</v>
      </c>
      <c r="V73" s="13">
        <f>IF(A73="","",IFERROR(IF(INDEX('②クラス編成'!$E$9:$E$158,MATCH(A73,'②クラス編成'!$D$9:$D$158,0))="","未",INDEX('②クラス編成'!$E$9:$E$158,MATCH(A73,'②クラス編成'!$D$9:$D$158,0))),"未"))</f>
        <v>1</v>
      </c>
      <c r="W73" s="14" t="str">
        <f>IF(A73="","",A73&amp;" "&amp;C73)</f>
        <v>2235 渡辺　奏太</v>
      </c>
      <c r="X73" s="14">
        <f>IF(A73="","",IF(E73="男",1,IF(E73="女",2,3)))</f>
        <v>1</v>
      </c>
      <c r="Y73" s="14">
        <f>IF(OR(M73="〇",M73="○",M73="◯"),1,0)</f>
        <v>0</v>
      </c>
      <c r="Z73" s="14">
        <f>IF(OR(N73="〇",N73="○",N73="◯"),1,0)</f>
        <v>0</v>
      </c>
      <c r="AA73" s="14">
        <f>IF(OR(O73="〇",O73="○",O73="◯"),1,0)</f>
        <v>0</v>
      </c>
      <c r="AB73" s="14">
        <f>IF(OR(P73="〇",P73="○",P73="◯"),1,0)</f>
        <v>0</v>
      </c>
      <c r="AC73" s="14">
        <f>IF(A73="","",IF(AA73=1,1,IF(Y73=1,2,IF(Z73=1,3,IF(AB73=1,4,5)))))</f>
        <v>5</v>
      </c>
      <c r="AD73" s="14">
        <f>IF(A73="","",IF(K73="",'設定'!$C$37,K73))</f>
        <v>45.2</v>
      </c>
      <c r="AE73" s="14">
        <f>IF(A73="","",AC73*10000000-ROUND(ABS((AD73-'設定'!$C$37)/'設定'!$C$38)*10000,0))</f>
        <v>49987090</v>
      </c>
      <c r="AF73" s="14">
        <f>IF(A73="","",COUNTIF($AE$4:$AE$153,"&lt;"&amp;AE73)+COUNTIFS($AE$4:$AE$153,AE73,$A$4:$A$153,"&lt;"&amp;A73)+1)</f>
        <v>41</v>
      </c>
      <c r="AG73" s="14" t="str">
        <f>IF(Q73="","",IFERROR(VALUE(LEFT(Q73,FIND(" ",Q73&amp;" ")-1)),IFERROR(INDEX($A$4:$A$153,MATCH(Q73,$C$4:$C$153,0)),"")))</f>
        <v/>
      </c>
      <c r="AH73" s="14" t="str">
        <f>IF(R73="","",IFERROR(VALUE(LEFT(R73,FIND(" ",R73&amp;" ")-1)),IFERROR(INDEX($A$4:$A$153,MATCH(R73,$C$4:$C$153,0)),"")))</f>
        <v/>
      </c>
      <c r="AI73" s="14" t="str">
        <f>IF(S73="","",IFERROR(VALUE(LEFT(S73,FIND(" ",S73&amp;" ")-1)),IFERROR(INDEX($A$4:$A$153,MATCH(S73,$C$4:$C$153,0)),"")))</f>
        <v/>
      </c>
      <c r="AJ73" s="14" t="str">
        <f>IF(OR(A73="",B73=""),"",IF(COUNTIFS($B$4:B73,B73,$A$4:A73,"&lt;&gt;")=1,MAX($AJ$3:AJ72)+1,""))</f>
        <v/>
      </c>
      <c r="AK73" s="14">
        <f>IF(OR(A73="",NOT(ISNUMBER(L73))),"",L73^2)</f>
        <v>65.61</v>
      </c>
      <c r="AL73" s="14">
        <f>IF(OR(A73="",NOT(ISNUMBER(L73))),0,(L73-INDEX('計算'!$AE$7:$AG$7,X73))/INDEX('計算'!$AE$8:$AG$8,X73))</f>
        <v>0.93142876820639</v>
      </c>
    </row>
    <row r="74">
      <c r="A74" s="8" t="n">
        <v>2301</v>
      </c>
      <c r="B74" s="8" t="n">
        <v>3</v>
      </c>
      <c r="C74" s="9" t="inlineStr">
        <is>
          <t>石井　大翔</t>
        </is>
      </c>
      <c r="D74" s="9" t="inlineStr">
        <is>
          <t>いしい　ひろと</t>
        </is>
      </c>
      <c r="E74" s="8" t="inlineStr">
        <is>
          <t>男</t>
        </is>
      </c>
      <c r="F74" s="8" t="n">
        <v>82</v>
      </c>
      <c r="G74" s="8" t="n">
        <v>96</v>
      </c>
      <c r="H74" s="8" t="n">
        <v>90</v>
      </c>
      <c r="I74" s="8" t="n">
        <v>100</v>
      </c>
      <c r="J74" s="8" t="n">
        <v>100</v>
      </c>
      <c r="K74" s="10">
        <f>IF(COUNT(F74:J74)=0,"",ROUND(AVERAGE(F74:J74),1))</f>
        <v>93.6</v>
      </c>
      <c r="L74" s="11" t="n">
        <v>8.300000000000001</v>
      </c>
      <c r="M74" s="8" t="inlineStr">
        <is>
          <t>×</t>
        </is>
      </c>
      <c r="N74" s="8" t="n"/>
      <c r="O74" s="8" t="n"/>
      <c r="P74" s="8" t="n"/>
      <c r="Q74" s="12" t="n"/>
      <c r="R74" s="12" t="n"/>
      <c r="S74" s="12" t="n"/>
      <c r="T74" s="9" t="n"/>
      <c r="U74" s="13">
        <f>IF(A74="","",INDEX('計算'!$Z$2:$Z$151,AF74))</f>
        <v>3</v>
      </c>
      <c r="V74" s="13">
        <f>IF(A74="","",IFERROR(IF(INDEX('②クラス編成'!$E$9:$E$158,MATCH(A74,'②クラス編成'!$D$9:$D$158,0))="","未",INDEX('②クラス編成'!$E$9:$E$158,MATCH(A74,'②クラス編成'!$D$9:$D$158,0))),"未"))</f>
        <v>3</v>
      </c>
      <c r="W74" s="14" t="str">
        <f>IF(A74="","",A74&amp;" "&amp;C74)</f>
        <v>2301 石井　大翔</v>
      </c>
      <c r="X74" s="14">
        <f>IF(A74="","",IF(E74="男",1,IF(E74="女",2,3)))</f>
        <v>1</v>
      </c>
      <c r="Y74" s="14">
        <f>IF(OR(M74="〇",M74="○",M74="◯"),1,0)</f>
        <v>0</v>
      </c>
      <c r="Z74" s="14">
        <f>IF(OR(N74="〇",N74="○",N74="◯"),1,0)</f>
        <v>0</v>
      </c>
      <c r="AA74" s="14">
        <f>IF(OR(O74="〇",O74="○",O74="◯"),1,0)</f>
        <v>0</v>
      </c>
      <c r="AB74" s="14">
        <f>IF(OR(P74="〇",P74="○",P74="◯"),1,0)</f>
        <v>0</v>
      </c>
      <c r="AC74" s="14">
        <f>IF(A74="","",IF(AA74=1,1,IF(Y74=1,2,IF(Z74=1,3,IF(AB74=1,4,5)))))</f>
        <v>5</v>
      </c>
      <c r="AD74" s="14">
        <f>IF(A74="","",IF(K74="",'設定'!$C$37,K74))</f>
        <v>93.6</v>
      </c>
      <c r="AE74" s="14">
        <f>IF(A74="","",AC74*10000000-ROUND(ABS((AD74-'設定'!$C$37)/'設定'!$C$38)*10000,0))</f>
        <v>49976766</v>
      </c>
      <c r="AF74" s="14">
        <f>IF(A74="","",COUNTIF($AE$4:$AE$153,"&lt;"&amp;AE74)+COUNTIFS($AE$4:$AE$153,AE74,$A$4:$A$153,"&lt;"&amp;A74)+1)</f>
        <v>29</v>
      </c>
      <c r="AG74" s="14" t="str">
        <f>IF(Q74="","",IFERROR(VALUE(LEFT(Q74,FIND(" ",Q74&amp;" ")-1)),IFERROR(INDEX($A$4:$A$153,MATCH(Q74,$C$4:$C$153,0)),"")))</f>
        <v/>
      </c>
      <c r="AH74" s="14" t="str">
        <f>IF(R74="","",IFERROR(VALUE(LEFT(R74,FIND(" ",R74&amp;" ")-1)),IFERROR(INDEX($A$4:$A$153,MATCH(R74,$C$4:$C$153,0)),"")))</f>
        <v/>
      </c>
      <c r="AI74" s="14" t="str">
        <f>IF(S74="","",IFERROR(VALUE(LEFT(S74,FIND(" ",S74&amp;" ")-1)),IFERROR(INDEX($A$4:$A$153,MATCH(S74,$C$4:$C$153,0)),"")))</f>
        <v/>
      </c>
      <c r="AJ74" s="14">
        <f>IF(OR(A74="",B74=""),"",IF(COUNTIFS($B$4:B74,B74,$A$4:A74,"&lt;&gt;")=1,MAX($AJ$3:AJ73)+1,""))</f>
        <v>3</v>
      </c>
      <c r="AK74" s="14">
        <f>IF(OR(A74="",NOT(ISNUMBER(L74))),"",L74^2)</f>
        <v>68.89</v>
      </c>
      <c r="AL74" s="14">
        <f>IF(OR(A74="",NOT(ISNUMBER(L74))),0,(L74-INDEX('計算'!$AE$7:$AG$7,X74))/INDEX('計算'!$AE$8:$AG$8,X74))</f>
        <v>1.38660662778237</v>
      </c>
    </row>
    <row r="75">
      <c r="A75" s="8" t="n">
        <v>2302</v>
      </c>
      <c r="B75" s="8" t="n">
        <v>3</v>
      </c>
      <c r="C75" s="9" t="inlineStr">
        <is>
          <t>石井　結衣</t>
        </is>
      </c>
      <c r="D75" s="9" t="inlineStr">
        <is>
          <t>いしい　ゆい</t>
        </is>
      </c>
      <c r="E75" s="8" t="inlineStr">
        <is>
          <t>女</t>
        </is>
      </c>
      <c r="F75" s="8" t="n">
        <v>96</v>
      </c>
      <c r="G75" s="8" t="n">
        <v>95</v>
      </c>
      <c r="H75" s="8" t="n">
        <v>79</v>
      </c>
      <c r="I75" s="8" t="n">
        <v>58</v>
      </c>
      <c r="J75" s="8" t="n">
        <v>70</v>
      </c>
      <c r="K75" s="10">
        <f>IF(COUNT(F75:J75)=0,"",ROUND(AVERAGE(F75:J75),1))</f>
        <v>79.6</v>
      </c>
      <c r="L75" s="11" t="n">
        <v>9.300000000000001</v>
      </c>
      <c r="M75" s="8" t="inlineStr">
        <is>
          <t>〇</t>
        </is>
      </c>
      <c r="N75" s="8" t="n"/>
      <c r="O75" s="8" t="n"/>
      <c r="P75" s="8" t="n"/>
      <c r="Q75" s="12" t="inlineStr">
        <is>
          <t>2307 江口　駿</t>
        </is>
      </c>
      <c r="R75" s="12" t="n"/>
      <c r="S75" s="12" t="n"/>
      <c r="T75" s="9" t="inlineStr">
        <is>
          <t>部活：サッカー</t>
        </is>
      </c>
      <c r="U75" s="13">
        <f>IF(A75="","",INDEX('計算'!$Z$2:$Z$151,AF75))</f>
        <v>3</v>
      </c>
      <c r="V75" s="13">
        <f>IF(A75="","",IFERROR(IF(INDEX('②クラス編成'!$E$9:$E$158,MATCH(A75,'②クラス編成'!$D$9:$D$158,0))="","未",INDEX('②クラス編成'!$E$9:$E$158,MATCH(A75,'②クラス編成'!$D$9:$D$158,0))),"未"))</f>
        <v>3</v>
      </c>
      <c r="W75" s="14" t="str">
        <f>IF(A75="","",A75&amp;" "&amp;C75)</f>
        <v>2302 石井　結衣</v>
      </c>
      <c r="X75" s="14">
        <f>IF(A75="","",IF(E75="男",1,IF(E75="女",2,3)))</f>
        <v>2</v>
      </c>
      <c r="Y75" s="14">
        <f>IF(OR(M75="〇",M75="○",M75="◯"),1,0)</f>
        <v>1</v>
      </c>
      <c r="Z75" s="14">
        <f>IF(OR(N75="〇",N75="○",N75="◯"),1,0)</f>
        <v>0</v>
      </c>
      <c r="AA75" s="14">
        <f>IF(OR(O75="〇",O75="○",O75="◯"),1,0)</f>
        <v>0</v>
      </c>
      <c r="AB75" s="14">
        <f>IF(OR(P75="〇",P75="○",P75="◯"),1,0)</f>
        <v>0</v>
      </c>
      <c r="AC75" s="14">
        <f>IF(A75="","",IF(AA75=1,1,IF(Y75=1,2,IF(Z75=1,3,IF(AB75=1,4,5)))))</f>
        <v>2</v>
      </c>
      <c r="AD75" s="14">
        <f>IF(A75="","",IF(K75="",'設定'!$C$37,K75))</f>
        <v>79.6</v>
      </c>
      <c r="AE75" s="14">
        <f>IF(A75="","",AC75*10000000-ROUND(ABS((AD75-'設定'!$C$37)/'設定'!$C$38)*10000,0))</f>
        <v>19987221</v>
      </c>
      <c r="AF75" s="14">
        <f>IF(A75="","",COUNTIF($AE$4:$AE$153,"&lt;"&amp;AE75)+COUNTIFS($AE$4:$AE$153,AE75,$A$4:$A$153,"&lt;"&amp;A75)+1)</f>
        <v>9</v>
      </c>
      <c r="AG75" s="14">
        <f>IF(Q75="","",IFERROR(VALUE(LEFT(Q75,FIND(" ",Q75&amp;" ")-1)),IFERROR(INDEX($A$4:$A$153,MATCH(Q75,$C$4:$C$153,0)),"")))</f>
        <v>2307</v>
      </c>
      <c r="AH75" s="14" t="str">
        <f>IF(R75="","",IFERROR(VALUE(LEFT(R75,FIND(" ",R75&amp;" ")-1)),IFERROR(INDEX($A$4:$A$153,MATCH(R75,$C$4:$C$153,0)),"")))</f>
        <v/>
      </c>
      <c r="AI75" s="14" t="str">
        <f>IF(S75="","",IFERROR(VALUE(LEFT(S75,FIND(" ",S75&amp;" ")-1)),IFERROR(INDEX($A$4:$A$153,MATCH(S75,$C$4:$C$153,0)),"")))</f>
        <v/>
      </c>
      <c r="AJ75" s="14" t="str">
        <f>IF(OR(A75="",B75=""),"",IF(COUNTIFS($B$4:B75,B75,$A$4:A75,"&lt;&gt;")=1,MAX($AJ$3:AJ74)+1,""))</f>
        <v/>
      </c>
      <c r="AK75" s="14">
        <f>IF(OR(A75="",NOT(ISNUMBER(L75))),"",L75^2)</f>
        <v>86.49</v>
      </c>
      <c r="AL75" s="14">
        <f>IF(OR(A75="",NOT(ISNUMBER(L75))),0,(L75-INDEX('計算'!$AE$7:$AG$7,X75))/INDEX('計算'!$AE$8:$AG$8,X75))</f>
        <v>0.712857836788965</v>
      </c>
    </row>
    <row r="76">
      <c r="A76" s="8" t="n">
        <v>2303</v>
      </c>
      <c r="B76" s="8" t="n">
        <v>3</v>
      </c>
      <c r="C76" s="9" t="inlineStr">
        <is>
          <t>石川　太一</t>
        </is>
      </c>
      <c r="D76" s="9" t="inlineStr">
        <is>
          <t>いしかわ　たいち</t>
        </is>
      </c>
      <c r="E76" s="8" t="inlineStr">
        <is>
          <t>男</t>
        </is>
      </c>
      <c r="F76" s="8" t="n">
        <v>57</v>
      </c>
      <c r="G76" s="8" t="n">
        <v>45</v>
      </c>
      <c r="H76" s="8" t="n">
        <v>38</v>
      </c>
      <c r="I76" s="8" t="n">
        <v>61</v>
      </c>
      <c r="J76" s="8" t="n">
        <v>57</v>
      </c>
      <c r="K76" s="10">
        <f>IF(COUNT(F76:J76)=0,"",ROUND(AVERAGE(F76:J76),1))</f>
        <v>51.6</v>
      </c>
      <c r="L76" s="11" t="n">
        <v>8</v>
      </c>
      <c r="M76" s="8" t="inlineStr">
        <is>
          <t>×</t>
        </is>
      </c>
      <c r="N76" s="8" t="n"/>
      <c r="O76" s="8" t="n"/>
      <c r="P76" s="8" t="n"/>
      <c r="Q76" s="12" t="n"/>
      <c r="R76" s="12" t="n"/>
      <c r="S76" s="12" t="n"/>
      <c r="T76" s="9" t="n"/>
      <c r="U76" s="13">
        <f>IF(A76="","",INDEX('計算'!$Z$2:$Z$151,AF76))</f>
        <v>3</v>
      </c>
      <c r="V76" s="13">
        <f>IF(A76="","",IFERROR(IF(INDEX('②クラス編成'!$E$9:$E$158,MATCH(A76,'②クラス編成'!$D$9:$D$158,0))="","未",INDEX('②クラス編成'!$E$9:$E$158,MATCH(A76,'②クラス編成'!$D$9:$D$158,0))),"未"))</f>
        <v>3</v>
      </c>
      <c r="W76" s="14" t="str">
        <f>IF(A76="","",A76&amp;" "&amp;C76)</f>
        <v>2303 石川　太一</v>
      </c>
      <c r="X76" s="14">
        <f>IF(A76="","",IF(E76="男",1,IF(E76="女",2,3)))</f>
        <v>1</v>
      </c>
      <c r="Y76" s="14">
        <f>IF(OR(M76="〇",M76="○",M76="◯"),1,0)</f>
        <v>0</v>
      </c>
      <c r="Z76" s="14">
        <f>IF(OR(N76="〇",N76="○",N76="◯"),1,0)</f>
        <v>0</v>
      </c>
      <c r="AA76" s="14">
        <f>IF(OR(O76="〇",O76="○",O76="◯"),1,0)</f>
        <v>0</v>
      </c>
      <c r="AB76" s="14">
        <f>IF(OR(P76="〇",P76="○",P76="◯"),1,0)</f>
        <v>0</v>
      </c>
      <c r="AC76" s="14">
        <f>IF(A76="","",IF(AA76=1,1,IF(Y76=1,2,IF(Z76=1,3,IF(AB76=1,4,5)))))</f>
        <v>5</v>
      </c>
      <c r="AD76" s="14">
        <f>IF(A76="","",IF(K76="",'設定'!$C$37,K76))</f>
        <v>51.6</v>
      </c>
      <c r="AE76" s="14">
        <f>IF(A76="","",AC76*10000000-ROUND(ABS((AD76-'設定'!$C$37)/'設定'!$C$38)*10000,0))</f>
        <v>49991869</v>
      </c>
      <c r="AF76" s="14">
        <f>IF(A76="","",COUNTIF($AE$4:$AE$153,"&lt;"&amp;AE76)+COUNTIFS($AE$4:$AE$153,AE76,$A$4:$A$153,"&lt;"&amp;A76)+1)</f>
        <v>67</v>
      </c>
      <c r="AG76" s="14" t="str">
        <f>IF(Q76="","",IFERROR(VALUE(LEFT(Q76,FIND(" ",Q76&amp;" ")-1)),IFERROR(INDEX($A$4:$A$153,MATCH(Q76,$C$4:$C$153,0)),"")))</f>
        <v/>
      </c>
      <c r="AH76" s="14" t="str">
        <f>IF(R76="","",IFERROR(VALUE(LEFT(R76,FIND(" ",R76&amp;" ")-1)),IFERROR(INDEX($A$4:$A$153,MATCH(R76,$C$4:$C$153,0)),"")))</f>
        <v/>
      </c>
      <c r="AI76" s="14" t="str">
        <f>IF(S76="","",IFERROR(VALUE(LEFT(S76,FIND(" ",S76&amp;" ")-1)),IFERROR(INDEX($A$4:$A$153,MATCH(S76,$C$4:$C$153,0)),"")))</f>
        <v/>
      </c>
      <c r="AJ76" s="14" t="str">
        <f>IF(OR(A76="",B76=""),"",IF(COUNTIFS($B$4:B76,B76,$A$4:A76,"&lt;&gt;")=1,MAX($AJ$3:AJ75)+1,""))</f>
        <v/>
      </c>
      <c r="AK76" s="14">
        <f>IF(OR(A76="",NOT(ISNUMBER(L76))),"",L76^2)</f>
        <v>64</v>
      </c>
      <c r="AL76" s="14">
        <f>IF(OR(A76="",NOT(ISNUMBER(L76))),0,(L76-INDEX('計算'!$AE$7:$AG$7,X76))/INDEX('計算'!$AE$8:$AG$8,X76))</f>
        <v>0.703839838418404</v>
      </c>
    </row>
    <row r="77">
      <c r="A77" s="8" t="n">
        <v>2304</v>
      </c>
      <c r="B77" s="8" t="n">
        <v>3</v>
      </c>
      <c r="C77" s="9" t="inlineStr">
        <is>
          <t>石田　結衣</t>
        </is>
      </c>
      <c r="D77" s="9" t="inlineStr">
        <is>
          <t>いしだ　ゆい</t>
        </is>
      </c>
      <c r="E77" s="8" t="inlineStr">
        <is>
          <t>女</t>
        </is>
      </c>
      <c r="F77" s="8" t="n">
        <v>66</v>
      </c>
      <c r="G77" s="8" t="n">
        <v>78</v>
      </c>
      <c r="H77" s="8" t="n">
        <v>80</v>
      </c>
      <c r="I77" s="8" t="n">
        <v>67</v>
      </c>
      <c r="J77" s="8" t="n">
        <v>84</v>
      </c>
      <c r="K77" s="10">
        <f>IF(COUNT(F77:J77)=0,"",ROUND(AVERAGE(F77:J77),1))</f>
        <v>75</v>
      </c>
      <c r="L77" s="11" t="n">
        <v>8.6</v>
      </c>
      <c r="M77" s="8" t="inlineStr">
        <is>
          <t>〇</t>
        </is>
      </c>
      <c r="N77" s="8" t="n"/>
      <c r="O77" s="8" t="n"/>
      <c r="P77" s="8" t="n"/>
      <c r="Q77" s="12" t="n"/>
      <c r="R77" s="12" t="n"/>
      <c r="S77" s="12" t="n"/>
      <c r="T77" s="9" t="n"/>
      <c r="U77" s="13">
        <f>IF(A77="","",INDEX('計算'!$Z$2:$Z$151,AF77))</f>
        <v>3</v>
      </c>
      <c r="V77" s="13">
        <f>IF(A77="","",IFERROR(IF(INDEX('②クラス編成'!$E$9:$E$158,MATCH(A77,'②クラス編成'!$D$9:$D$158,0))="","未",INDEX('②クラス編成'!$E$9:$E$158,MATCH(A77,'②クラス編成'!$D$9:$D$158,0))),"未"))</f>
        <v>3</v>
      </c>
      <c r="W77" s="14" t="str">
        <f>IF(A77="","",A77&amp;" "&amp;C77)</f>
        <v>2304 石田　結衣</v>
      </c>
      <c r="X77" s="14">
        <f>IF(A77="","",IF(E77="男",1,IF(E77="女",2,3)))</f>
        <v>2</v>
      </c>
      <c r="Y77" s="14">
        <f>IF(OR(M77="〇",M77="○",M77="◯"),1,0)</f>
        <v>1</v>
      </c>
      <c r="Z77" s="14">
        <f>IF(OR(N77="〇",N77="○",N77="◯"),1,0)</f>
        <v>0</v>
      </c>
      <c r="AA77" s="14">
        <f>IF(OR(O77="〇",O77="○",O77="◯"),1,0)</f>
        <v>0</v>
      </c>
      <c r="AB77" s="14">
        <f>IF(OR(P77="〇",P77="○",P77="◯"),1,0)</f>
        <v>0</v>
      </c>
      <c r="AC77" s="14">
        <f>IF(A77="","",IF(AA77=1,1,IF(Y77=1,2,IF(Z77=1,3,IF(AB77=1,4,5)))))</f>
        <v>2</v>
      </c>
      <c r="AD77" s="14">
        <f>IF(A77="","",IF(K77="",'設定'!$C$37,K77))</f>
        <v>75</v>
      </c>
      <c r="AE77" s="14">
        <f>IF(A77="","",AC77*10000000-ROUND(ABS((AD77-'設定'!$C$37)/'設定'!$C$38)*10000,0))</f>
        <v>19990656</v>
      </c>
      <c r="AF77" s="14">
        <f>IF(A77="","",COUNTIF($AE$4:$AE$153,"&lt;"&amp;AE77)+COUNTIFS($AE$4:$AE$153,AE77,$A$4:$A$153,"&lt;"&amp;A77)+1)</f>
        <v>12</v>
      </c>
      <c r="AG77" s="14" t="str">
        <f>IF(Q77="","",IFERROR(VALUE(LEFT(Q77,FIND(" ",Q77&amp;" ")-1)),IFERROR(INDEX($A$4:$A$153,MATCH(Q77,$C$4:$C$153,0)),"")))</f>
        <v/>
      </c>
      <c r="AH77" s="14" t="str">
        <f>IF(R77="","",IFERROR(VALUE(LEFT(R77,FIND(" ",R77&amp;" ")-1)),IFERROR(INDEX($A$4:$A$153,MATCH(R77,$C$4:$C$153,0)),"")))</f>
        <v/>
      </c>
      <c r="AI77" s="14" t="str">
        <f>IF(S77="","",IFERROR(VALUE(LEFT(S77,FIND(" ",S77&amp;" ")-1)),IFERROR(INDEX($A$4:$A$153,MATCH(S77,$C$4:$C$153,0)),"")))</f>
        <v/>
      </c>
      <c r="AJ77" s="14" t="str">
        <f>IF(OR(A77="",B77=""),"",IF(COUNTIFS($B$4:B77,B77,$A$4:A77,"&lt;&gt;")=1,MAX($AJ$3:AJ76)+1,""))</f>
        <v/>
      </c>
      <c r="AK77" s="14">
        <f>IF(OR(A77="",NOT(ISNUMBER(L77))),"",L77^2)</f>
        <v>73.96</v>
      </c>
      <c r="AL77" s="14">
        <f>IF(OR(A77="",NOT(ISNUMBER(L77))),0,(L77-INDEX('計算'!$AE$7:$AG$7,X77))/INDEX('計算'!$AE$8:$AG$8,X77))</f>
        <v>-0.433494630479777</v>
      </c>
    </row>
    <row r="78">
      <c r="A78" s="8" t="n">
        <v>2305</v>
      </c>
      <c r="B78" s="8" t="n">
        <v>3</v>
      </c>
      <c r="C78" s="9" t="inlineStr">
        <is>
          <t>江頭　樹</t>
        </is>
      </c>
      <c r="D78" s="9" t="inlineStr">
        <is>
          <t>えがしら　いつき</t>
        </is>
      </c>
      <c r="E78" s="8" t="inlineStr">
        <is>
          <t>男</t>
        </is>
      </c>
      <c r="F78" s="8" t="n">
        <v>67</v>
      </c>
      <c r="G78" s="8" t="n">
        <v>66</v>
      </c>
      <c r="H78" s="8" t="n">
        <v>69</v>
      </c>
      <c r="I78" s="8" t="n">
        <v>57</v>
      </c>
      <c r="J78" s="8" t="n">
        <v>56</v>
      </c>
      <c r="K78" s="10">
        <f>IF(COUNT(F78:J78)=0,"",ROUND(AVERAGE(F78:J78),1))</f>
        <v>63</v>
      </c>
      <c r="L78" s="11" t="n">
        <v>7.6</v>
      </c>
      <c r="M78" s="8" t="inlineStr">
        <is>
          <t>×</t>
        </is>
      </c>
      <c r="N78" s="8" t="n"/>
      <c r="O78" s="8" t="n"/>
      <c r="P78" s="8" t="n"/>
      <c r="Q78" s="12" t="n"/>
      <c r="R78" s="12" t="n"/>
      <c r="S78" s="12" t="n"/>
      <c r="T78" s="9" t="n"/>
      <c r="U78" s="13">
        <f>IF(A78="","",INDEX('計算'!$Z$2:$Z$151,AF78))</f>
        <v>1</v>
      </c>
      <c r="V78" s="13">
        <f>IF(A78="","",IFERROR(IF(INDEX('②クラス編成'!$E$9:$E$158,MATCH(A78,'②クラス編成'!$D$9:$D$158,0))="","未",INDEX('②クラス編成'!$E$9:$E$158,MATCH(A78,'②クラス編成'!$D$9:$D$158,0))),"未"))</f>
        <v>1</v>
      </c>
      <c r="W78" s="14" t="str">
        <f>IF(A78="","",A78&amp;" "&amp;C78)</f>
        <v>2305 江頭　樹</v>
      </c>
      <c r="X78" s="14">
        <f>IF(A78="","",IF(E78="男",1,IF(E78="女",2,3)))</f>
        <v>1</v>
      </c>
      <c r="Y78" s="14">
        <f>IF(OR(M78="〇",M78="○",M78="◯"),1,0)</f>
        <v>0</v>
      </c>
      <c r="Z78" s="14">
        <f>IF(OR(N78="〇",N78="○",N78="◯"),1,0)</f>
        <v>0</v>
      </c>
      <c r="AA78" s="14">
        <f>IF(OR(O78="〇",O78="○",O78="◯"),1,0)</f>
        <v>0</v>
      </c>
      <c r="AB78" s="14">
        <f>IF(OR(P78="〇",P78="○",P78="◯"),1,0)</f>
        <v>0</v>
      </c>
      <c r="AC78" s="14">
        <f>IF(A78="","",IF(AA78=1,1,IF(Y78=1,2,IF(Z78=1,3,IF(AB78=1,4,5)))))</f>
        <v>5</v>
      </c>
      <c r="AD78" s="14">
        <f>IF(A78="","",IF(K78="",'設定'!$C$37,K78))</f>
        <v>63</v>
      </c>
      <c r="AE78" s="14">
        <f>IF(A78="","",AC78*10000000-ROUND(ABS((AD78-'設定'!$C$37)/'設定'!$C$38)*10000,0))</f>
        <v>49999617</v>
      </c>
      <c r="AF78" s="14">
        <f>IF(A78="","",COUNTIF($AE$4:$AE$153,"&lt;"&amp;AE78)+COUNTIFS($AE$4:$AE$153,AE78,$A$4:$A$153,"&lt;"&amp;A78)+1)</f>
        <v>101</v>
      </c>
      <c r="AG78" s="14" t="str">
        <f>IF(Q78="","",IFERROR(VALUE(LEFT(Q78,FIND(" ",Q78&amp;" ")-1)),IFERROR(INDEX($A$4:$A$153,MATCH(Q78,$C$4:$C$153,0)),"")))</f>
        <v/>
      </c>
      <c r="AH78" s="14" t="str">
        <f>IF(R78="","",IFERROR(VALUE(LEFT(R78,FIND(" ",R78&amp;" ")-1)),IFERROR(INDEX($A$4:$A$153,MATCH(R78,$C$4:$C$153,0)),"")))</f>
        <v/>
      </c>
      <c r="AI78" s="14" t="str">
        <f>IF(S78="","",IFERROR(VALUE(LEFT(S78,FIND(" ",S78&amp;" ")-1)),IFERROR(INDEX($A$4:$A$153,MATCH(S78,$C$4:$C$153,0)),"")))</f>
        <v/>
      </c>
      <c r="AJ78" s="14" t="str">
        <f>IF(OR(A78="",B78=""),"",IF(COUNTIFS($B$4:B78,B78,$A$4:A78,"&lt;&gt;")=1,MAX($AJ$3:AJ77)+1,""))</f>
        <v/>
      </c>
      <c r="AK78" s="14">
        <f>IF(OR(A78="",NOT(ISNUMBER(L78))),"",L78^2)</f>
        <v>57.76</v>
      </c>
      <c r="AL78" s="14">
        <f>IF(OR(A78="",NOT(ISNUMBER(L78))),0,(L78-INDEX('計算'!$AE$7:$AG$7,X78))/INDEX('計算'!$AE$8:$AG$8,X78))</f>
        <v>-0.206515880733544</v>
      </c>
    </row>
    <row r="79">
      <c r="A79" s="8" t="n">
        <v>2306</v>
      </c>
      <c r="B79" s="8" t="n">
        <v>3</v>
      </c>
      <c r="C79" s="9" t="inlineStr">
        <is>
          <t>江頭　康介</t>
        </is>
      </c>
      <c r="D79" s="9" t="inlineStr">
        <is>
          <t>えがしら　こうすけ</t>
        </is>
      </c>
      <c r="E79" s="8" t="inlineStr">
        <is>
          <t>男</t>
        </is>
      </c>
      <c r="F79" s="8" t="n">
        <v>73</v>
      </c>
      <c r="G79" s="8" t="n">
        <v>75</v>
      </c>
      <c r="H79" s="8" t="n">
        <v>79</v>
      </c>
      <c r="I79" s="8" t="n">
        <v>72</v>
      </c>
      <c r="J79" s="8" t="n">
        <v>78</v>
      </c>
      <c r="K79" s="10">
        <f>IF(COUNT(F79:J79)=0,"",ROUND(AVERAGE(F79:J79),1))</f>
        <v>75.4</v>
      </c>
      <c r="L79" s="11" t="n">
        <v>7.8</v>
      </c>
      <c r="M79" s="8" t="inlineStr">
        <is>
          <t>×</t>
        </is>
      </c>
      <c r="N79" s="8" t="n"/>
      <c r="O79" s="8" t="n"/>
      <c r="P79" s="8" t="n"/>
      <c r="Q79" s="12" t="inlineStr">
        <is>
          <t>2307 江口　駿</t>
        </is>
      </c>
      <c r="R79" s="12" t="n"/>
      <c r="S79" s="12" t="n"/>
      <c r="T79" s="9" t="n"/>
      <c r="U79" s="13">
        <f>IF(A79="","",INDEX('計算'!$Z$2:$Z$151,AF79))</f>
        <v>1</v>
      </c>
      <c r="V79" s="13">
        <f>IF(A79="","",IFERROR(IF(INDEX('②クラス編成'!$E$9:$E$158,MATCH(A79,'②クラス編成'!$D$9:$D$158,0))="","未",INDEX('②クラス編成'!$E$9:$E$158,MATCH(A79,'②クラス編成'!$D$9:$D$158,0))),"未"))</f>
        <v>1</v>
      </c>
      <c r="W79" s="14" t="str">
        <f>IF(A79="","",A79&amp;" "&amp;C79)</f>
        <v>2306 江頭　康介</v>
      </c>
      <c r="X79" s="14">
        <f>IF(A79="","",IF(E79="男",1,IF(E79="女",2,3)))</f>
        <v>1</v>
      </c>
      <c r="Y79" s="14">
        <f>IF(OR(M79="〇",M79="○",M79="◯"),1,0)</f>
        <v>0</v>
      </c>
      <c r="Z79" s="14">
        <f>IF(OR(N79="〇",N79="○",N79="◯"),1,0)</f>
        <v>0</v>
      </c>
      <c r="AA79" s="14">
        <f>IF(OR(O79="〇",O79="○",O79="◯"),1,0)</f>
        <v>0</v>
      </c>
      <c r="AB79" s="14">
        <f>IF(OR(P79="〇",P79="○",P79="◯"),1,0)</f>
        <v>0</v>
      </c>
      <c r="AC79" s="14">
        <f>IF(A79="","",IF(AA79=1,1,IF(Y79=1,2,IF(Z79=1,3,IF(AB79=1,4,5)))))</f>
        <v>5</v>
      </c>
      <c r="AD79" s="14">
        <f>IF(A79="","",IF(K79="",'設定'!$C$37,K79))</f>
        <v>75.4</v>
      </c>
      <c r="AE79" s="14">
        <f>IF(A79="","",AC79*10000000-ROUND(ABS((AD79-'設定'!$C$37)/'設定'!$C$38)*10000,0))</f>
        <v>49990357</v>
      </c>
      <c r="AF79" s="14">
        <f>IF(A79="","",COUNTIF($AE$4:$AE$153,"&lt;"&amp;AE79)+COUNTIFS($AE$4:$AE$153,AE79,$A$4:$A$153,"&lt;"&amp;A79)+1)</f>
        <v>59</v>
      </c>
      <c r="AG79" s="14">
        <f>IF(Q79="","",IFERROR(VALUE(LEFT(Q79,FIND(" ",Q79&amp;" ")-1)),IFERROR(INDEX($A$4:$A$153,MATCH(Q79,$C$4:$C$153,0)),"")))</f>
        <v>2307</v>
      </c>
      <c r="AH79" s="14" t="str">
        <f>IF(R79="","",IFERROR(VALUE(LEFT(R79,FIND(" ",R79&amp;" ")-1)),IFERROR(INDEX($A$4:$A$153,MATCH(R79,$C$4:$C$153,0)),"")))</f>
        <v/>
      </c>
      <c r="AI79" s="14" t="str">
        <f>IF(S79="","",IFERROR(VALUE(LEFT(S79,FIND(" ",S79&amp;" ")-1)),IFERROR(INDEX($A$4:$A$153,MATCH(S79,$C$4:$C$153,0)),"")))</f>
        <v/>
      </c>
      <c r="AJ79" s="14" t="str">
        <f>IF(OR(A79="",B79=""),"",IF(COUNTIFS($B$4:B79,B79,$A$4:A79,"&lt;&gt;")=1,MAX($AJ$3:AJ78)+1,""))</f>
        <v/>
      </c>
      <c r="AK79" s="14">
        <f>IF(OR(A79="",NOT(ISNUMBER(L79))),"",L79^2)</f>
        <v>60.84</v>
      </c>
      <c r="AL79" s="14">
        <f>IF(OR(A79="",NOT(ISNUMBER(L79))),0,(L79-INDEX('計算'!$AE$7:$AG$7,X79))/INDEX('計算'!$AE$8:$AG$8,X79))</f>
        <v>0.24866197884243</v>
      </c>
    </row>
    <row r="80">
      <c r="A80" s="8" t="n">
        <v>2307</v>
      </c>
      <c r="B80" s="8" t="n">
        <v>3</v>
      </c>
      <c r="C80" s="9" t="inlineStr">
        <is>
          <t>江口　駿</t>
        </is>
      </c>
      <c r="D80" s="9" t="inlineStr">
        <is>
          <t>えぐち　しゅん</t>
        </is>
      </c>
      <c r="E80" s="8" t="inlineStr">
        <is>
          <t>男</t>
        </is>
      </c>
      <c r="F80" s="8" t="n">
        <v>71</v>
      </c>
      <c r="G80" s="8" t="n">
        <v>71</v>
      </c>
      <c r="H80" s="8" t="n">
        <v>85</v>
      </c>
      <c r="I80" s="8" t="n">
        <v>65</v>
      </c>
      <c r="J80" s="8" t="n">
        <v>76</v>
      </c>
      <c r="K80" s="10">
        <f>IF(COUNT(F80:J80)=0,"",ROUND(AVERAGE(F80:J80),1))</f>
        <v>73.6</v>
      </c>
      <c r="L80" s="11" t="n">
        <v>7.8</v>
      </c>
      <c r="M80" s="8" t="inlineStr">
        <is>
          <t>×</t>
        </is>
      </c>
      <c r="N80" s="8" t="n"/>
      <c r="O80" s="8" t="n"/>
      <c r="P80" s="8" t="n"/>
      <c r="Q80" s="12" t="n"/>
      <c r="R80" s="12" t="n"/>
      <c r="S80" s="12" t="n"/>
      <c r="T80" s="9" t="inlineStr">
        <is>
          <t>生徒会</t>
        </is>
      </c>
      <c r="U80" s="13">
        <f>IF(A80="","",INDEX('計算'!$Z$2:$Z$151,AF80))</f>
        <v>1</v>
      </c>
      <c r="V80" s="13">
        <f>IF(A80="","",IFERROR(IF(INDEX('②クラス編成'!$E$9:$E$158,MATCH(A80,'②クラス編成'!$D$9:$D$158,0))="","未",INDEX('②クラス編成'!$E$9:$E$158,MATCH(A80,'②クラス編成'!$D$9:$D$158,0))),"未"))</f>
        <v>1</v>
      </c>
      <c r="W80" s="14" t="str">
        <f>IF(A80="","",A80&amp;" "&amp;C80)</f>
        <v>2307 江口　駿</v>
      </c>
      <c r="X80" s="14">
        <f>IF(A80="","",IF(E80="男",1,IF(E80="女",2,3)))</f>
        <v>1</v>
      </c>
      <c r="Y80" s="14">
        <f>IF(OR(M80="〇",M80="○",M80="◯"),1,0)</f>
        <v>0</v>
      </c>
      <c r="Z80" s="14">
        <f>IF(OR(N80="〇",N80="○",N80="◯"),1,0)</f>
        <v>0</v>
      </c>
      <c r="AA80" s="14">
        <f>IF(OR(O80="〇",O80="○",O80="◯"),1,0)</f>
        <v>0</v>
      </c>
      <c r="AB80" s="14">
        <f>IF(OR(P80="〇",P80="○",P80="◯"),1,0)</f>
        <v>0</v>
      </c>
      <c r="AC80" s="14">
        <f>IF(A80="","",IF(AA80=1,1,IF(Y80=1,2,IF(Z80=1,3,IF(AB80=1,4,5)))))</f>
        <v>5</v>
      </c>
      <c r="AD80" s="14">
        <f>IF(A80="","",IF(K80="",'設定'!$C$37,K80))</f>
        <v>73.6</v>
      </c>
      <c r="AE80" s="14">
        <f>IF(A80="","",AC80*10000000-ROUND(ABS((AD80-'設定'!$C$37)/'設定'!$C$38)*10000,0))</f>
        <v>49991702</v>
      </c>
      <c r="AF80" s="14">
        <f>IF(A80="","",COUNTIF($AE$4:$AE$153,"&lt;"&amp;AE80)+COUNTIFS($AE$4:$AE$153,AE80,$A$4:$A$153,"&lt;"&amp;A80)+1)</f>
        <v>65</v>
      </c>
      <c r="AG80" s="14" t="str">
        <f>IF(Q80="","",IFERROR(VALUE(LEFT(Q80,FIND(" ",Q80&amp;" ")-1)),IFERROR(INDEX($A$4:$A$153,MATCH(Q80,$C$4:$C$153,0)),"")))</f>
        <v/>
      </c>
      <c r="AH80" s="14" t="str">
        <f>IF(R80="","",IFERROR(VALUE(LEFT(R80,FIND(" ",R80&amp;" ")-1)),IFERROR(INDEX($A$4:$A$153,MATCH(R80,$C$4:$C$153,0)),"")))</f>
        <v/>
      </c>
      <c r="AI80" s="14" t="str">
        <f>IF(S80="","",IFERROR(VALUE(LEFT(S80,FIND(" ",S80&amp;" ")-1)),IFERROR(INDEX($A$4:$A$153,MATCH(S80,$C$4:$C$153,0)),"")))</f>
        <v/>
      </c>
      <c r="AJ80" s="14" t="str">
        <f>IF(OR(A80="",B80=""),"",IF(COUNTIFS($B$4:B80,B80,$A$4:A80,"&lt;&gt;")=1,MAX($AJ$3:AJ79)+1,""))</f>
        <v/>
      </c>
      <c r="AK80" s="14">
        <f>IF(OR(A80="",NOT(ISNUMBER(L80))),"",L80^2)</f>
        <v>60.84</v>
      </c>
      <c r="AL80" s="14">
        <f>IF(OR(A80="",NOT(ISNUMBER(L80))),0,(L80-INDEX('計算'!$AE$7:$AG$7,X80))/INDEX('計算'!$AE$8:$AG$8,X80))</f>
        <v>0.24866197884243</v>
      </c>
    </row>
    <row r="81">
      <c r="A81" s="8" t="n">
        <v>2308</v>
      </c>
      <c r="B81" s="8" t="n">
        <v>3</v>
      </c>
      <c r="C81" s="9" t="inlineStr">
        <is>
          <t>遠藤　律</t>
        </is>
      </c>
      <c r="D81" s="9" t="inlineStr">
        <is>
          <t>えんどう　りつ</t>
        </is>
      </c>
      <c r="E81" s="8" t="inlineStr">
        <is>
          <t>男</t>
        </is>
      </c>
      <c r="F81" s="8" t="n">
        <v>58</v>
      </c>
      <c r="G81" s="8" t="n">
        <v>49</v>
      </c>
      <c r="H81" s="8" t="n">
        <v>48</v>
      </c>
      <c r="I81" s="8" t="n">
        <v>60</v>
      </c>
      <c r="J81" s="8" t="n">
        <v>57</v>
      </c>
      <c r="K81" s="10">
        <f>IF(COUNT(F81:J81)=0,"",ROUND(AVERAGE(F81:J81),1))</f>
        <v>54.4</v>
      </c>
      <c r="L81" s="11" t="n">
        <v>8.1</v>
      </c>
      <c r="M81" s="8" t="inlineStr">
        <is>
          <t>×</t>
        </is>
      </c>
      <c r="N81" s="8" t="n"/>
      <c r="O81" s="8" t="n"/>
      <c r="P81" s="8" t="n"/>
      <c r="Q81" s="12" t="n"/>
      <c r="R81" s="12" t="n"/>
      <c r="S81" s="12" t="n"/>
      <c r="T81" s="9" t="n"/>
      <c r="U81" s="13">
        <f>IF(A81="","",INDEX('計算'!$Z$2:$Z$151,AF81))</f>
        <v>3</v>
      </c>
      <c r="V81" s="13">
        <f>IF(A81="","",IFERROR(IF(INDEX('②クラス編成'!$E$9:$E$158,MATCH(A81,'②クラス編成'!$D$9:$D$158,0))="","未",INDEX('②クラス編成'!$E$9:$E$158,MATCH(A81,'②クラス編成'!$D$9:$D$158,0))),"未"))</f>
        <v>3</v>
      </c>
      <c r="W81" s="14" t="str">
        <f>IF(A81="","",A81&amp;" "&amp;C81)</f>
        <v>2308 遠藤　律</v>
      </c>
      <c r="X81" s="14">
        <f>IF(A81="","",IF(E81="男",1,IF(E81="女",2,3)))</f>
        <v>1</v>
      </c>
      <c r="Y81" s="14">
        <f>IF(OR(M81="〇",M81="○",M81="◯"),1,0)</f>
        <v>0</v>
      </c>
      <c r="Z81" s="14">
        <f>IF(OR(N81="〇",N81="○",N81="◯"),1,0)</f>
        <v>0</v>
      </c>
      <c r="AA81" s="14">
        <f>IF(OR(O81="〇",O81="○",O81="◯"),1,0)</f>
        <v>0</v>
      </c>
      <c r="AB81" s="14">
        <f>IF(OR(P81="〇",P81="○",P81="◯"),1,0)</f>
        <v>0</v>
      </c>
      <c r="AC81" s="14">
        <f>IF(A81="","",IF(AA81=1,1,IF(Y81=1,2,IF(Z81=1,3,IF(AB81=1,4,5)))))</f>
        <v>5</v>
      </c>
      <c r="AD81" s="14">
        <f>IF(A81="","",IF(K81="",'設定'!$C$37,K81))</f>
        <v>54.4</v>
      </c>
      <c r="AE81" s="14">
        <f>IF(A81="","",AC81*10000000-ROUND(ABS((AD81-'設定'!$C$37)/'設定'!$C$38)*10000,0))</f>
        <v>49993960</v>
      </c>
      <c r="AF81" s="14">
        <f>IF(A81="","",COUNTIF($AE$4:$AE$153,"&lt;"&amp;AE81)+COUNTIFS($AE$4:$AE$153,AE81,$A$4:$A$153,"&lt;"&amp;A81)+1)</f>
        <v>77</v>
      </c>
      <c r="AG81" s="14" t="str">
        <f>IF(Q81="","",IFERROR(VALUE(LEFT(Q81,FIND(" ",Q81&amp;" ")-1)),IFERROR(INDEX($A$4:$A$153,MATCH(Q81,$C$4:$C$153,0)),"")))</f>
        <v/>
      </c>
      <c r="AH81" s="14" t="str">
        <f>IF(R81="","",IFERROR(VALUE(LEFT(R81,FIND(" ",R81&amp;" ")-1)),IFERROR(INDEX($A$4:$A$153,MATCH(R81,$C$4:$C$153,0)),"")))</f>
        <v/>
      </c>
      <c r="AI81" s="14" t="str">
        <f>IF(S81="","",IFERROR(VALUE(LEFT(S81,FIND(" ",S81&amp;" ")-1)),IFERROR(INDEX($A$4:$A$153,MATCH(S81,$C$4:$C$153,0)),"")))</f>
        <v/>
      </c>
      <c r="AJ81" s="14" t="str">
        <f>IF(OR(A81="",B81=""),"",IF(COUNTIFS($B$4:B81,B81,$A$4:A81,"&lt;&gt;")=1,MAX($AJ$3:AJ80)+1,""))</f>
        <v/>
      </c>
      <c r="AK81" s="14">
        <f>IF(OR(A81="",NOT(ISNUMBER(L81))),"",L81^2)</f>
        <v>65.61</v>
      </c>
      <c r="AL81" s="14">
        <f>IF(OR(A81="",NOT(ISNUMBER(L81))),0,(L81-INDEX('計算'!$AE$7:$AG$7,X81))/INDEX('計算'!$AE$8:$AG$8,X81))</f>
        <v>0.93142876820639</v>
      </c>
    </row>
    <row r="82">
      <c r="A82" s="8" t="n">
        <v>2309</v>
      </c>
      <c r="B82" s="8" t="n">
        <v>3</v>
      </c>
      <c r="C82" s="9" t="inlineStr">
        <is>
          <t>大久保　真央</t>
        </is>
      </c>
      <c r="D82" s="9" t="inlineStr">
        <is>
          <t>おおくぼ　まお</t>
        </is>
      </c>
      <c r="E82" s="8" t="inlineStr">
        <is>
          <t>女</t>
        </is>
      </c>
      <c r="F82" s="8" t="n">
        <v>77</v>
      </c>
      <c r="G82" s="8" t="n">
        <v>93</v>
      </c>
      <c r="H82" s="8" t="n">
        <v>79</v>
      </c>
      <c r="I82" s="8" t="n">
        <v>86</v>
      </c>
      <c r="J82" s="8" t="n">
        <v>86</v>
      </c>
      <c r="K82" s="10">
        <f>IF(COUNT(F82:J82)=0,"",ROUND(AVERAGE(F82:J82),1))</f>
        <v>84.2</v>
      </c>
      <c r="L82" s="11" t="n">
        <v>8.199999999999999</v>
      </c>
      <c r="M82" s="8" t="inlineStr">
        <is>
          <t>×</t>
        </is>
      </c>
      <c r="N82" s="8" t="n"/>
      <c r="O82" s="8" t="n"/>
      <c r="P82" s="8" t="n"/>
      <c r="Q82" s="12" t="n"/>
      <c r="R82" s="12" t="n"/>
      <c r="S82" s="12" t="n"/>
      <c r="T82" s="9" t="inlineStr">
        <is>
          <t>部活：美術</t>
        </is>
      </c>
      <c r="U82" s="13">
        <f>IF(A82="","",INDEX('計算'!$Z$2:$Z$151,AF82))</f>
        <v>1</v>
      </c>
      <c r="V82" s="13">
        <f>IF(A82="","",IFERROR(IF(INDEX('②クラス編成'!$E$9:$E$158,MATCH(A82,'②クラス編成'!$D$9:$D$158,0))="","未",INDEX('②クラス編成'!$E$9:$E$158,MATCH(A82,'②クラス編成'!$D$9:$D$158,0))),"未"))</f>
        <v>1</v>
      </c>
      <c r="W82" s="14" t="str">
        <f>IF(A82="","",A82&amp;" "&amp;C82)</f>
        <v>2309 大久保　真央</v>
      </c>
      <c r="X82" s="14">
        <f>IF(A82="","",IF(E82="男",1,IF(E82="女",2,3)))</f>
        <v>2</v>
      </c>
      <c r="Y82" s="14">
        <f>IF(OR(M82="〇",M82="○",M82="◯"),1,0)</f>
        <v>0</v>
      </c>
      <c r="Z82" s="14">
        <f>IF(OR(N82="〇",N82="○",N82="◯"),1,0)</f>
        <v>0</v>
      </c>
      <c r="AA82" s="14">
        <f>IF(OR(O82="〇",O82="○",O82="◯"),1,0)</f>
        <v>0</v>
      </c>
      <c r="AB82" s="14">
        <f>IF(OR(P82="〇",P82="○",P82="◯"),1,0)</f>
        <v>0</v>
      </c>
      <c r="AC82" s="14">
        <f>IF(A82="","",IF(AA82=1,1,IF(Y82=1,2,IF(Z82=1,3,IF(AB82=1,4,5)))))</f>
        <v>5</v>
      </c>
      <c r="AD82" s="14">
        <f>IF(A82="","",IF(K82="",'設定'!$C$37,K82))</f>
        <v>84.2</v>
      </c>
      <c r="AE82" s="14">
        <f>IF(A82="","",AC82*10000000-ROUND(ABS((AD82-'設定'!$C$37)/'設定'!$C$38)*10000,0))</f>
        <v>49983786</v>
      </c>
      <c r="AF82" s="14">
        <f>IF(A82="","",COUNTIF($AE$4:$AE$153,"&lt;"&amp;AE82)+COUNTIFS($AE$4:$AE$153,AE82,$A$4:$A$153,"&lt;"&amp;A82)+1)</f>
        <v>33</v>
      </c>
      <c r="AG82" s="14" t="str">
        <f>IF(Q82="","",IFERROR(VALUE(LEFT(Q82,FIND(" ",Q82&amp;" ")-1)),IFERROR(INDEX($A$4:$A$153,MATCH(Q82,$C$4:$C$153,0)),"")))</f>
        <v/>
      </c>
      <c r="AH82" s="14" t="str">
        <f>IF(R82="","",IFERROR(VALUE(LEFT(R82,FIND(" ",R82&amp;" ")-1)),IFERROR(INDEX($A$4:$A$153,MATCH(R82,$C$4:$C$153,0)),"")))</f>
        <v/>
      </c>
      <c r="AI82" s="14" t="str">
        <f>IF(S82="","",IFERROR(VALUE(LEFT(S82,FIND(" ",S82&amp;" ")-1)),IFERROR(INDEX($A$4:$A$153,MATCH(S82,$C$4:$C$153,0)),"")))</f>
        <v/>
      </c>
      <c r="AJ82" s="14" t="str">
        <f>IF(OR(A82="",B82=""),"",IF(COUNTIFS($B$4:B82,B82,$A$4:A82,"&lt;&gt;")=1,MAX($AJ$3:AJ81)+1,""))</f>
        <v/>
      </c>
      <c r="AK82" s="14">
        <f>IF(OR(A82="",NOT(ISNUMBER(L82))),"",L82^2)</f>
        <v>67.24</v>
      </c>
      <c r="AL82" s="14">
        <f>IF(OR(A82="",NOT(ISNUMBER(L82))),0,(L82-INDEX('計算'!$AE$7:$AG$7,X82))/INDEX('計算'!$AE$8:$AG$8,X82))</f>
        <v>-1.08855318320477</v>
      </c>
    </row>
    <row r="83">
      <c r="A83" s="8" t="n">
        <v>2310</v>
      </c>
      <c r="B83" s="8" t="n">
        <v>3</v>
      </c>
      <c r="C83" s="9" t="inlineStr">
        <is>
          <t>大久保　悠人</t>
        </is>
      </c>
      <c r="D83" s="9" t="inlineStr">
        <is>
          <t>おおくぼ　ゆうと</t>
        </is>
      </c>
      <c r="E83" s="8" t="inlineStr">
        <is>
          <t>男</t>
        </is>
      </c>
      <c r="F83" s="8" t="n">
        <v>58</v>
      </c>
      <c r="G83" s="8" t="n">
        <v>60</v>
      </c>
      <c r="H83" s="8" t="n">
        <v>39</v>
      </c>
      <c r="I83" s="8" t="n">
        <v>42</v>
      </c>
      <c r="J83" s="8" t="n">
        <v>52</v>
      </c>
      <c r="K83" s="10">
        <f>IF(COUNT(F83:J83)=0,"",ROUND(AVERAGE(F83:J83),1))</f>
        <v>50.2</v>
      </c>
      <c r="L83" s="11" t="n">
        <v>7.8</v>
      </c>
      <c r="M83" s="8" t="inlineStr">
        <is>
          <t>×</t>
        </is>
      </c>
      <c r="N83" s="8" t="inlineStr">
        <is>
          <t>〇</t>
        </is>
      </c>
      <c r="O83" s="8" t="n"/>
      <c r="P83" s="8" t="n"/>
      <c r="Q83" s="12" t="n"/>
      <c r="R83" s="12" t="n"/>
      <c r="S83" s="12" t="n"/>
      <c r="T83" s="9" t="n"/>
      <c r="U83" s="13">
        <f>IF(A83="","",INDEX('計算'!$Z$2:$Z$151,AF83))</f>
        <v>3</v>
      </c>
      <c r="V83" s="13">
        <f>IF(A83="","",IFERROR(IF(INDEX('②クラス編成'!$E$9:$E$158,MATCH(A83,'②クラス編成'!$D$9:$D$158,0))="","未",INDEX('②クラス編成'!$E$9:$E$158,MATCH(A83,'②クラス編成'!$D$9:$D$158,0))),"未"))</f>
        <v>3</v>
      </c>
      <c r="W83" s="14" t="str">
        <f>IF(A83="","",A83&amp;" "&amp;C83)</f>
        <v>2310 大久保　悠人</v>
      </c>
      <c r="X83" s="14">
        <f>IF(A83="","",IF(E83="男",1,IF(E83="女",2,3)))</f>
        <v>1</v>
      </c>
      <c r="Y83" s="14">
        <f>IF(OR(M83="〇",M83="○",M83="◯"),1,0)</f>
        <v>0</v>
      </c>
      <c r="Z83" s="14">
        <f>IF(OR(N83="〇",N83="○",N83="◯"),1,0)</f>
        <v>1</v>
      </c>
      <c r="AA83" s="14">
        <f>IF(OR(O83="〇",O83="○",O83="◯"),1,0)</f>
        <v>0</v>
      </c>
      <c r="AB83" s="14">
        <f>IF(OR(P83="〇",P83="○",P83="◯"),1,0)</f>
        <v>0</v>
      </c>
      <c r="AC83" s="14">
        <f>IF(A83="","",IF(AA83=1,1,IF(Y83=1,2,IF(Z83=1,3,IF(AB83=1,4,5)))))</f>
        <v>3</v>
      </c>
      <c r="AD83" s="14">
        <f>IF(A83="","",IF(K83="",'設定'!$C$37,K83))</f>
        <v>50.2</v>
      </c>
      <c r="AE83" s="14">
        <f>IF(A83="","",AC83*10000000-ROUND(ABS((AD83-'設定'!$C$37)/'設定'!$C$38)*10000,0))</f>
        <v>29990824</v>
      </c>
      <c r="AF83" s="14">
        <f>IF(A83="","",COUNTIF($AE$4:$AE$153,"&lt;"&amp;AE83)+COUNTIFS($AE$4:$AE$153,AE83,$A$4:$A$153,"&lt;"&amp;A83)+1)</f>
        <v>19</v>
      </c>
      <c r="AG83" s="14" t="str">
        <f>IF(Q83="","",IFERROR(VALUE(LEFT(Q83,FIND(" ",Q83&amp;" ")-1)),IFERROR(INDEX($A$4:$A$153,MATCH(Q83,$C$4:$C$153,0)),"")))</f>
        <v/>
      </c>
      <c r="AH83" s="14" t="str">
        <f>IF(R83="","",IFERROR(VALUE(LEFT(R83,FIND(" ",R83&amp;" ")-1)),IFERROR(INDEX($A$4:$A$153,MATCH(R83,$C$4:$C$153,0)),"")))</f>
        <v/>
      </c>
      <c r="AI83" s="14" t="str">
        <f>IF(S83="","",IFERROR(VALUE(LEFT(S83,FIND(" ",S83&amp;" ")-1)),IFERROR(INDEX($A$4:$A$153,MATCH(S83,$C$4:$C$153,0)),"")))</f>
        <v/>
      </c>
      <c r="AJ83" s="14" t="str">
        <f>IF(OR(A83="",B83=""),"",IF(COUNTIFS($B$4:B83,B83,$A$4:A83,"&lt;&gt;")=1,MAX($AJ$3:AJ82)+1,""))</f>
        <v/>
      </c>
      <c r="AK83" s="14">
        <f>IF(OR(A83="",NOT(ISNUMBER(L83))),"",L83^2)</f>
        <v>60.84</v>
      </c>
      <c r="AL83" s="14">
        <f>IF(OR(A83="",NOT(ISNUMBER(L83))),0,(L83-INDEX('計算'!$AE$7:$AG$7,X83))/INDEX('計算'!$AE$8:$AG$8,X83))</f>
        <v>0.24866197884243</v>
      </c>
    </row>
    <row r="84">
      <c r="A84" s="8" t="n">
        <v>2311</v>
      </c>
      <c r="B84" s="8" t="n">
        <v>3</v>
      </c>
      <c r="C84" s="9" t="inlineStr">
        <is>
          <t>太田　拓海</t>
        </is>
      </c>
      <c r="D84" s="9" t="inlineStr">
        <is>
          <t>おおた　たくみ</t>
        </is>
      </c>
      <c r="E84" s="8" t="inlineStr">
        <is>
          <t>男</t>
        </is>
      </c>
      <c r="F84" s="8" t="n">
        <v>50</v>
      </c>
      <c r="G84" s="8" t="n">
        <v>64</v>
      </c>
      <c r="H84" s="8" t="n">
        <v>43</v>
      </c>
      <c r="I84" s="8" t="n">
        <v>51</v>
      </c>
      <c r="J84" s="8" t="n">
        <v>51</v>
      </c>
      <c r="K84" s="10">
        <f>IF(COUNT(F84:J84)=0,"",ROUND(AVERAGE(F84:J84),1))</f>
        <v>51.8</v>
      </c>
      <c r="L84" s="11" t="n">
        <v>8.6</v>
      </c>
      <c r="M84" s="8" t="inlineStr">
        <is>
          <t>×</t>
        </is>
      </c>
      <c r="N84" s="8" t="n"/>
      <c r="O84" s="8" t="n"/>
      <c r="P84" s="8" t="n"/>
      <c r="Q84" s="12" t="n"/>
      <c r="R84" s="12" t="n"/>
      <c r="S84" s="12" t="n"/>
      <c r="T84" s="9" t="n"/>
      <c r="U84" s="13">
        <f>IF(A84="","",INDEX('計算'!$Z$2:$Z$151,AF84))</f>
        <v>2</v>
      </c>
      <c r="V84" s="13">
        <f>IF(A84="","",IFERROR(IF(INDEX('②クラス編成'!$E$9:$E$158,MATCH(A84,'②クラス編成'!$D$9:$D$158,0))="","未",INDEX('②クラス編成'!$E$9:$E$158,MATCH(A84,'②クラス編成'!$D$9:$D$158,0))),"未"))</f>
        <v>2</v>
      </c>
      <c r="W84" s="14" t="str">
        <f>IF(A84="","",A84&amp;" "&amp;C84)</f>
        <v>2311 太田　拓海</v>
      </c>
      <c r="X84" s="14">
        <f>IF(A84="","",IF(E84="男",1,IF(E84="女",2,3)))</f>
        <v>1</v>
      </c>
      <c r="Y84" s="14">
        <f>IF(OR(M84="〇",M84="○",M84="◯"),1,0)</f>
        <v>0</v>
      </c>
      <c r="Z84" s="14">
        <f>IF(OR(N84="〇",N84="○",N84="◯"),1,0)</f>
        <v>0</v>
      </c>
      <c r="AA84" s="14">
        <f>IF(OR(O84="〇",O84="○",O84="◯"),1,0)</f>
        <v>0</v>
      </c>
      <c r="AB84" s="14">
        <f>IF(OR(P84="〇",P84="○",P84="◯"),1,0)</f>
        <v>0</v>
      </c>
      <c r="AC84" s="14">
        <f>IF(A84="","",IF(AA84=1,1,IF(Y84=1,2,IF(Z84=1,3,IF(AB84=1,4,5)))))</f>
        <v>5</v>
      </c>
      <c r="AD84" s="14">
        <f>IF(A84="","",IF(K84="",'設定'!$C$37,K84))</f>
        <v>51.8</v>
      </c>
      <c r="AE84" s="14">
        <f>IF(A84="","",AC84*10000000-ROUND(ABS((AD84-'設定'!$C$37)/'設定'!$C$38)*10000,0))</f>
        <v>49992019</v>
      </c>
      <c r="AF84" s="14">
        <f>IF(A84="","",COUNTIF($AE$4:$AE$153,"&lt;"&amp;AE84)+COUNTIFS($AE$4:$AE$153,AE84,$A$4:$A$153,"&lt;"&amp;A84)+1)</f>
        <v>69</v>
      </c>
      <c r="AG84" s="14" t="str">
        <f>IF(Q84="","",IFERROR(VALUE(LEFT(Q84,FIND(" ",Q84&amp;" ")-1)),IFERROR(INDEX($A$4:$A$153,MATCH(Q84,$C$4:$C$153,0)),"")))</f>
        <v/>
      </c>
      <c r="AH84" s="14" t="str">
        <f>IF(R84="","",IFERROR(VALUE(LEFT(R84,FIND(" ",R84&amp;" ")-1)),IFERROR(INDEX($A$4:$A$153,MATCH(R84,$C$4:$C$153,0)),"")))</f>
        <v/>
      </c>
      <c r="AI84" s="14" t="str">
        <f>IF(S84="","",IFERROR(VALUE(LEFT(S84,FIND(" ",S84&amp;" ")-1)),IFERROR(INDEX($A$4:$A$153,MATCH(S84,$C$4:$C$153,0)),"")))</f>
        <v/>
      </c>
      <c r="AJ84" s="14" t="str">
        <f>IF(OR(A84="",B84=""),"",IF(COUNTIFS($B$4:B84,B84,$A$4:A84,"&lt;&gt;")=1,MAX($AJ$3:AJ83)+1,""))</f>
        <v/>
      </c>
      <c r="AK84" s="14">
        <f>IF(OR(A84="",NOT(ISNUMBER(L84))),"",L84^2)</f>
        <v>73.96</v>
      </c>
      <c r="AL84" s="14">
        <f>IF(OR(A84="",NOT(ISNUMBER(L84))),0,(L84-INDEX('計算'!$AE$7:$AG$7,X84))/INDEX('計算'!$AE$8:$AG$8,X84))</f>
        <v>2.06937341714632</v>
      </c>
    </row>
    <row r="85">
      <c r="A85" s="8" t="n">
        <v>2312</v>
      </c>
      <c r="B85" s="8" t="n">
        <v>3</v>
      </c>
      <c r="C85" s="9" t="inlineStr">
        <is>
          <t>岡田　海斗</t>
        </is>
      </c>
      <c r="D85" s="9" t="inlineStr">
        <is>
          <t>おかだ　かいと</t>
        </is>
      </c>
      <c r="E85" s="8" t="inlineStr">
        <is>
          <t>男</t>
        </is>
      </c>
      <c r="F85" s="8" t="n">
        <v>54</v>
      </c>
      <c r="G85" s="8" t="n">
        <v>70</v>
      </c>
      <c r="H85" s="8" t="n">
        <v>46</v>
      </c>
      <c r="I85" s="8" t="n">
        <v>64</v>
      </c>
      <c r="J85" s="8" t="n">
        <v>66</v>
      </c>
      <c r="K85" s="10">
        <f>IF(COUNT(F85:J85)=0,"",ROUND(AVERAGE(F85:J85),1))</f>
        <v>60</v>
      </c>
      <c r="L85" s="11" t="n">
        <v>8</v>
      </c>
      <c r="M85" s="8" t="inlineStr">
        <is>
          <t>〇</t>
        </is>
      </c>
      <c r="N85" s="8" t="n"/>
      <c r="O85" s="8" t="n"/>
      <c r="P85" s="8" t="inlineStr">
        <is>
          <t>〇</t>
        </is>
      </c>
      <c r="Q85" s="12" t="n"/>
      <c r="R85" s="12" t="n"/>
      <c r="S85" s="12" t="n"/>
      <c r="T85" s="9" t="n"/>
      <c r="U85" s="13">
        <f>IF(A85="","",INDEX('計算'!$Z$2:$Z$151,AF85))</f>
        <v>3</v>
      </c>
      <c r="V85" s="13">
        <f>IF(A85="","",IFERROR(IF(INDEX('②クラス編成'!$E$9:$E$158,MATCH(A85,'②クラス編成'!$D$9:$D$158,0))="","未",INDEX('②クラス編成'!$E$9:$E$158,MATCH(A85,'②クラス編成'!$D$9:$D$158,0))),"未"))</f>
        <v>3</v>
      </c>
      <c r="W85" s="14" t="str">
        <f>IF(A85="","",A85&amp;" "&amp;C85)</f>
        <v>2312 岡田　海斗</v>
      </c>
      <c r="X85" s="14">
        <f>IF(A85="","",IF(E85="男",1,IF(E85="女",2,3)))</f>
        <v>1</v>
      </c>
      <c r="Y85" s="14">
        <f>IF(OR(M85="〇",M85="○",M85="◯"),1,0)</f>
        <v>1</v>
      </c>
      <c r="Z85" s="14">
        <f>IF(OR(N85="〇",N85="○",N85="◯"),1,0)</f>
        <v>0</v>
      </c>
      <c r="AA85" s="14">
        <f>IF(OR(O85="〇",O85="○",O85="◯"),1,0)</f>
        <v>0</v>
      </c>
      <c r="AB85" s="14">
        <f>IF(OR(P85="〇",P85="○",P85="◯"),1,0)</f>
        <v>1</v>
      </c>
      <c r="AC85" s="14">
        <f>IF(A85="","",IF(AA85=1,1,IF(Y85=1,2,IF(Z85=1,3,IF(AB85=1,4,5)))))</f>
        <v>2</v>
      </c>
      <c r="AD85" s="14">
        <f>IF(A85="","",IF(K85="",'設定'!$C$37,K85))</f>
        <v>60</v>
      </c>
      <c r="AE85" s="14">
        <f>IF(A85="","",AC85*10000000-ROUND(ABS((AD85-'設定'!$C$37)/'設定'!$C$38)*10000,0))</f>
        <v>19998142</v>
      </c>
      <c r="AF85" s="14">
        <f>IF(A85="","",COUNTIF($AE$4:$AE$153,"&lt;"&amp;AE85)+COUNTIFS($AE$4:$AE$153,AE85,$A$4:$A$153,"&lt;"&amp;A85)+1)</f>
        <v>15</v>
      </c>
      <c r="AG85" s="14" t="str">
        <f>IF(Q85="","",IFERROR(VALUE(LEFT(Q85,FIND(" ",Q85&amp;" ")-1)),IFERROR(INDEX($A$4:$A$153,MATCH(Q85,$C$4:$C$153,0)),"")))</f>
        <v/>
      </c>
      <c r="AH85" s="14" t="str">
        <f>IF(R85="","",IFERROR(VALUE(LEFT(R85,FIND(" ",R85&amp;" ")-1)),IFERROR(INDEX($A$4:$A$153,MATCH(R85,$C$4:$C$153,0)),"")))</f>
        <v/>
      </c>
      <c r="AI85" s="14" t="str">
        <f>IF(S85="","",IFERROR(VALUE(LEFT(S85,FIND(" ",S85&amp;" ")-1)),IFERROR(INDEX($A$4:$A$153,MATCH(S85,$C$4:$C$153,0)),"")))</f>
        <v/>
      </c>
      <c r="AJ85" s="14" t="str">
        <f>IF(OR(A85="",B85=""),"",IF(COUNTIFS($B$4:B85,B85,$A$4:A85,"&lt;&gt;")=1,MAX($AJ$3:AJ84)+1,""))</f>
        <v/>
      </c>
      <c r="AK85" s="14">
        <f>IF(OR(A85="",NOT(ISNUMBER(L85))),"",L85^2)</f>
        <v>64</v>
      </c>
      <c r="AL85" s="14">
        <f>IF(OR(A85="",NOT(ISNUMBER(L85))),0,(L85-INDEX('計算'!$AE$7:$AG$7,X85))/INDEX('計算'!$AE$8:$AG$8,X85))</f>
        <v>0.703839838418404</v>
      </c>
    </row>
    <row r="86">
      <c r="A86" s="8" t="n">
        <v>2313</v>
      </c>
      <c r="B86" s="8" t="n">
        <v>3</v>
      </c>
      <c r="C86" s="9" t="inlineStr">
        <is>
          <t>岡本　圭吾</t>
        </is>
      </c>
      <c r="D86" s="9" t="inlineStr">
        <is>
          <t>おかもと　けいご</t>
        </is>
      </c>
      <c r="E86" s="8" t="inlineStr">
        <is>
          <t>男</t>
        </is>
      </c>
      <c r="F86" s="8" t="n">
        <v>53</v>
      </c>
      <c r="G86" s="8" t="n">
        <v>67</v>
      </c>
      <c r="H86" s="8" t="n">
        <v>45</v>
      </c>
      <c r="I86" s="8" t="n">
        <v>55</v>
      </c>
      <c r="J86" s="8" t="n">
        <v>58</v>
      </c>
      <c r="K86" s="10">
        <f>IF(COUNT(F86:J86)=0,"",ROUND(AVERAGE(F86:J86),1))</f>
        <v>55.6</v>
      </c>
      <c r="L86" s="11" t="n">
        <v>7.2</v>
      </c>
      <c r="M86" s="8" t="inlineStr">
        <is>
          <t>×</t>
        </is>
      </c>
      <c r="N86" s="8" t="n"/>
      <c r="O86" s="8" t="n"/>
      <c r="P86" s="8" t="n"/>
      <c r="Q86" s="12" t="n"/>
      <c r="R86" s="12" t="n"/>
      <c r="S86" s="12" t="n"/>
      <c r="T86" s="9" t="n"/>
      <c r="U86" s="13">
        <f>IF(A86="","",INDEX('計算'!$Z$2:$Z$151,AF86))</f>
        <v>2</v>
      </c>
      <c r="V86" s="13">
        <f>IF(A86="","",IFERROR(IF(INDEX('②クラス編成'!$E$9:$E$158,MATCH(A86,'②クラス編成'!$D$9:$D$158,0))="","未",INDEX('②クラス編成'!$E$9:$E$158,MATCH(A86,'②クラス編成'!$D$9:$D$158,0))),"未"))</f>
        <v>2</v>
      </c>
      <c r="W86" s="14" t="str">
        <f>IF(A86="","",A86&amp;" "&amp;C86)</f>
        <v>2313 岡本　圭吾</v>
      </c>
      <c r="X86" s="14">
        <f>IF(A86="","",IF(E86="男",1,IF(E86="女",2,3)))</f>
        <v>1</v>
      </c>
      <c r="Y86" s="14">
        <f>IF(OR(M86="〇",M86="○",M86="◯"),1,0)</f>
        <v>0</v>
      </c>
      <c r="Z86" s="14">
        <f>IF(OR(N86="〇",N86="○",N86="◯"),1,0)</f>
        <v>0</v>
      </c>
      <c r="AA86" s="14">
        <f>IF(OR(O86="〇",O86="○",O86="◯"),1,0)</f>
        <v>0</v>
      </c>
      <c r="AB86" s="14">
        <f>IF(OR(P86="〇",P86="○",P86="◯"),1,0)</f>
        <v>0</v>
      </c>
      <c r="AC86" s="14">
        <f>IF(A86="","",IF(AA86=1,1,IF(Y86=1,2,IF(Z86=1,3,IF(AB86=1,4,5)))))</f>
        <v>5</v>
      </c>
      <c r="AD86" s="14">
        <f>IF(A86="","",IF(K86="",'設定'!$C$37,K86))</f>
        <v>55.6</v>
      </c>
      <c r="AE86" s="14">
        <f>IF(A86="","",AC86*10000000-ROUND(ABS((AD86-'設定'!$C$37)/'設定'!$C$38)*10000,0))</f>
        <v>49994857</v>
      </c>
      <c r="AF86" s="14">
        <f>IF(A86="","",COUNTIF($AE$4:$AE$153,"&lt;"&amp;AE86)+COUNTIFS($AE$4:$AE$153,AE86,$A$4:$A$153,"&lt;"&amp;A86)+1)</f>
        <v>82</v>
      </c>
      <c r="AG86" s="14" t="str">
        <f>IF(Q86="","",IFERROR(VALUE(LEFT(Q86,FIND(" ",Q86&amp;" ")-1)),IFERROR(INDEX($A$4:$A$153,MATCH(Q86,$C$4:$C$153,0)),"")))</f>
        <v/>
      </c>
      <c r="AH86" s="14" t="str">
        <f>IF(R86="","",IFERROR(VALUE(LEFT(R86,FIND(" ",R86&amp;" ")-1)),IFERROR(INDEX($A$4:$A$153,MATCH(R86,$C$4:$C$153,0)),"")))</f>
        <v/>
      </c>
      <c r="AI86" s="14" t="str">
        <f>IF(S86="","",IFERROR(VALUE(LEFT(S86,FIND(" ",S86&amp;" ")-1)),IFERROR(INDEX($A$4:$A$153,MATCH(S86,$C$4:$C$153,0)),"")))</f>
        <v/>
      </c>
      <c r="AJ86" s="14" t="str">
        <f>IF(OR(A86="",B86=""),"",IF(COUNTIFS($B$4:B86,B86,$A$4:A86,"&lt;&gt;")=1,MAX($AJ$3:AJ85)+1,""))</f>
        <v/>
      </c>
      <c r="AK86" s="14">
        <f>IF(OR(A86="",NOT(ISNUMBER(L86))),"",L86^2)</f>
        <v>51.84</v>
      </c>
      <c r="AL86" s="14">
        <f>IF(OR(A86="",NOT(ISNUMBER(L86))),0,(L86-INDEX('計算'!$AE$7:$AG$7,X86))/INDEX('計算'!$AE$8:$AG$8,X86))</f>
        <v>-1.11687159988549</v>
      </c>
    </row>
    <row r="87">
      <c r="A87" s="8" t="n">
        <v>2314</v>
      </c>
      <c r="B87" s="8" t="n">
        <v>3</v>
      </c>
      <c r="C87" s="9" t="inlineStr">
        <is>
          <t>小川　詩織</t>
        </is>
      </c>
      <c r="D87" s="9" t="inlineStr">
        <is>
          <t>おがわ　しおり</t>
        </is>
      </c>
      <c r="E87" s="8" t="inlineStr">
        <is>
          <t>女</t>
        </is>
      </c>
      <c r="F87" s="8" t="n">
        <v>98</v>
      </c>
      <c r="G87" s="8" t="n">
        <v>75</v>
      </c>
      <c r="H87" s="8" t="n">
        <v>71</v>
      </c>
      <c r="I87" s="8" t="n">
        <v>81</v>
      </c>
      <c r="J87" s="8" t="n">
        <v>86</v>
      </c>
      <c r="K87" s="10">
        <f>IF(COUNT(F87:J87)=0,"",ROUND(AVERAGE(F87:J87),1))</f>
        <v>82.2</v>
      </c>
      <c r="L87" s="11" t="n">
        <v>8.9</v>
      </c>
      <c r="M87" s="8" t="inlineStr">
        <is>
          <t>×</t>
        </is>
      </c>
      <c r="N87" s="8" t="n"/>
      <c r="O87" s="8" t="inlineStr">
        <is>
          <t>〇</t>
        </is>
      </c>
      <c r="P87" s="8" t="n"/>
      <c r="Q87" s="12" t="n"/>
      <c r="R87" s="12" t="n"/>
      <c r="S87" s="12" t="n"/>
      <c r="T87" s="9" t="n"/>
      <c r="U87" s="13">
        <f>IF(A87="","",INDEX('計算'!$Z$2:$Z$151,AF87))</f>
        <v>1</v>
      </c>
      <c r="V87" s="13">
        <f>IF(A87="","",IFERROR(IF(INDEX('②クラス編成'!$E$9:$E$158,MATCH(A87,'②クラス編成'!$D$9:$D$158,0))="","未",INDEX('②クラス編成'!$E$9:$E$158,MATCH(A87,'②クラス編成'!$D$9:$D$158,0))),"未"))</f>
        <v>1</v>
      </c>
      <c r="W87" s="14" t="str">
        <f>IF(A87="","",A87&amp;" "&amp;C87)</f>
        <v>2314 小川　詩織</v>
      </c>
      <c r="X87" s="14">
        <f>IF(A87="","",IF(E87="男",1,IF(E87="女",2,3)))</f>
        <v>2</v>
      </c>
      <c r="Y87" s="14">
        <f>IF(OR(M87="〇",M87="○",M87="◯"),1,0)</f>
        <v>0</v>
      </c>
      <c r="Z87" s="14">
        <f>IF(OR(N87="〇",N87="○",N87="◯"),1,0)</f>
        <v>0</v>
      </c>
      <c r="AA87" s="14">
        <f>IF(OR(O87="〇",O87="○",O87="◯"),1,0)</f>
        <v>1</v>
      </c>
      <c r="AB87" s="14">
        <f>IF(OR(P87="〇",P87="○",P87="◯"),1,0)</f>
        <v>0</v>
      </c>
      <c r="AC87" s="14">
        <f>IF(A87="","",IF(AA87=1,1,IF(Y87=1,2,IF(Z87=1,3,IF(AB87=1,4,5)))))</f>
        <v>1</v>
      </c>
      <c r="AD87" s="14">
        <f>IF(A87="","",IF(K87="",'設定'!$C$37,K87))</f>
        <v>82.2</v>
      </c>
      <c r="AE87" s="14">
        <f>IF(A87="","",AC87*10000000-ROUND(ABS((AD87-'設定'!$C$37)/'設定'!$C$38)*10000,0))</f>
        <v>9985279</v>
      </c>
      <c r="AF87" s="14">
        <f>IF(A87="","",COUNTIF($AE$4:$AE$153,"&lt;"&amp;AE87)+COUNTIFS($AE$4:$AE$153,AE87,$A$4:$A$153,"&lt;"&amp;A87)+1)</f>
        <v>1</v>
      </c>
      <c r="AG87" s="14" t="str">
        <f>IF(Q87="","",IFERROR(VALUE(LEFT(Q87,FIND(" ",Q87&amp;" ")-1)),IFERROR(INDEX($A$4:$A$153,MATCH(Q87,$C$4:$C$153,0)),"")))</f>
        <v/>
      </c>
      <c r="AH87" s="14" t="str">
        <f>IF(R87="","",IFERROR(VALUE(LEFT(R87,FIND(" ",R87&amp;" ")-1)),IFERROR(INDEX($A$4:$A$153,MATCH(R87,$C$4:$C$153,0)),"")))</f>
        <v/>
      </c>
      <c r="AI87" s="14" t="str">
        <f>IF(S87="","",IFERROR(VALUE(LEFT(S87,FIND(" ",S87&amp;" ")-1)),IFERROR(INDEX($A$4:$A$153,MATCH(S87,$C$4:$C$153,0)),"")))</f>
        <v/>
      </c>
      <c r="AJ87" s="14" t="str">
        <f>IF(OR(A87="",B87=""),"",IF(COUNTIFS($B$4:B87,B87,$A$4:A87,"&lt;&gt;")=1,MAX($AJ$3:AJ86)+1,""))</f>
        <v/>
      </c>
      <c r="AK87" s="14">
        <f>IF(OR(A87="",NOT(ISNUMBER(L87))),"",L87^2)</f>
        <v>79.21</v>
      </c>
      <c r="AL87" s="14">
        <f>IF(OR(A87="",NOT(ISNUMBER(L87))),0,(L87-INDEX('計算'!$AE$7:$AG$7,X87))/INDEX('計算'!$AE$8:$AG$8,X87))</f>
        <v>0.0577992840639699</v>
      </c>
    </row>
    <row r="88">
      <c r="A88" s="8" t="n">
        <v>2315</v>
      </c>
      <c r="B88" s="8" t="n">
        <v>3</v>
      </c>
      <c r="C88" s="9" t="inlineStr">
        <is>
          <t>加藤　駿</t>
        </is>
      </c>
      <c r="D88" s="9" t="inlineStr">
        <is>
          <t>かとう　しゅん</t>
        </is>
      </c>
      <c r="E88" s="8" t="inlineStr">
        <is>
          <t>男</t>
        </is>
      </c>
      <c r="F88" s="8" t="n">
        <v>74</v>
      </c>
      <c r="G88" s="8" t="n">
        <v>77</v>
      </c>
      <c r="H88" s="8" t="n">
        <v>72</v>
      </c>
      <c r="I88" s="8" t="n">
        <v>72</v>
      </c>
      <c r="J88" s="8" t="n">
        <v>78</v>
      </c>
      <c r="K88" s="10">
        <f>IF(COUNT(F88:J88)=0,"",ROUND(AVERAGE(F88:J88),1))</f>
        <v>74.6</v>
      </c>
      <c r="L88" s="11" t="n">
        <v>7.7</v>
      </c>
      <c r="M88" s="8" t="inlineStr">
        <is>
          <t>×</t>
        </is>
      </c>
      <c r="N88" s="8" t="n"/>
      <c r="O88" s="8" t="n"/>
      <c r="P88" s="8" t="n"/>
      <c r="Q88" s="12" t="n"/>
      <c r="R88" s="12" t="n"/>
      <c r="S88" s="12" t="n"/>
      <c r="T88" s="9" t="n"/>
      <c r="U88" s="13">
        <f>IF(A88="","",INDEX('計算'!$Z$2:$Z$151,AF88))</f>
        <v>3</v>
      </c>
      <c r="V88" s="13">
        <f>IF(A88="","",IFERROR(IF(INDEX('②クラス編成'!$E$9:$E$158,MATCH(A88,'②クラス編成'!$D$9:$D$158,0))="","未",INDEX('②クラス編成'!$E$9:$E$158,MATCH(A88,'②クラス編成'!$D$9:$D$158,0))),"未"))</f>
        <v>3</v>
      </c>
      <c r="W88" s="14" t="str">
        <f>IF(A88="","",A88&amp;" "&amp;C88)</f>
        <v>2315 加藤　駿</v>
      </c>
      <c r="X88" s="14">
        <f>IF(A88="","",IF(E88="男",1,IF(E88="女",2,3)))</f>
        <v>1</v>
      </c>
      <c r="Y88" s="14">
        <f>IF(OR(M88="〇",M88="○",M88="◯"),1,0)</f>
        <v>0</v>
      </c>
      <c r="Z88" s="14">
        <f>IF(OR(N88="〇",N88="○",N88="◯"),1,0)</f>
        <v>0</v>
      </c>
      <c r="AA88" s="14">
        <f>IF(OR(O88="〇",O88="○",O88="◯"),1,0)</f>
        <v>0</v>
      </c>
      <c r="AB88" s="14">
        <f>IF(OR(P88="〇",P88="○",P88="◯"),1,0)</f>
        <v>0</v>
      </c>
      <c r="AC88" s="14">
        <f>IF(A88="","",IF(AA88=1,1,IF(Y88=1,2,IF(Z88=1,3,IF(AB88=1,4,5)))))</f>
        <v>5</v>
      </c>
      <c r="AD88" s="14">
        <f>IF(A88="","",IF(K88="",'設定'!$C$37,K88))</f>
        <v>74.6</v>
      </c>
      <c r="AE88" s="14">
        <f>IF(A88="","",AC88*10000000-ROUND(ABS((AD88-'設定'!$C$37)/'設定'!$C$38)*10000,0))</f>
        <v>49990955</v>
      </c>
      <c r="AF88" s="14">
        <f>IF(A88="","",COUNTIF($AE$4:$AE$153,"&lt;"&amp;AE88)+COUNTIFS($AE$4:$AE$153,AE88,$A$4:$A$153,"&lt;"&amp;A88)+1)</f>
        <v>62</v>
      </c>
      <c r="AG88" s="14" t="str">
        <f>IF(Q88="","",IFERROR(VALUE(LEFT(Q88,FIND(" ",Q88&amp;" ")-1)),IFERROR(INDEX($A$4:$A$153,MATCH(Q88,$C$4:$C$153,0)),"")))</f>
        <v/>
      </c>
      <c r="AH88" s="14" t="str">
        <f>IF(R88="","",IFERROR(VALUE(LEFT(R88,FIND(" ",R88&amp;" ")-1)),IFERROR(INDEX($A$4:$A$153,MATCH(R88,$C$4:$C$153,0)),"")))</f>
        <v/>
      </c>
      <c r="AI88" s="14" t="str">
        <f>IF(S88="","",IFERROR(VALUE(LEFT(S88,FIND(" ",S88&amp;" ")-1)),IFERROR(INDEX($A$4:$A$153,MATCH(S88,$C$4:$C$153,0)),"")))</f>
        <v/>
      </c>
      <c r="AJ88" s="14" t="str">
        <f>IF(OR(A88="",B88=""),"",IF(COUNTIFS($B$4:B88,B88,$A$4:A88,"&lt;&gt;")=1,MAX($AJ$3:AJ87)+1,""))</f>
        <v/>
      </c>
      <c r="AK88" s="14">
        <f>IF(OR(A88="",NOT(ISNUMBER(L88))),"",L88^2)</f>
        <v>59.29</v>
      </c>
      <c r="AL88" s="14">
        <f>IF(OR(A88="",NOT(ISNUMBER(L88))),0,(L88-INDEX('計算'!$AE$7:$AG$7,X88))/INDEX('計算'!$AE$8:$AG$8,X88))</f>
        <v>0.0210730490544438</v>
      </c>
    </row>
    <row r="89">
      <c r="A89" s="8" t="n">
        <v>2316</v>
      </c>
      <c r="B89" s="8" t="n">
        <v>3</v>
      </c>
      <c r="C89" s="9" t="inlineStr">
        <is>
          <t>小林　理沙</t>
        </is>
      </c>
      <c r="D89" s="9" t="inlineStr">
        <is>
          <t>こばやし　りさ</t>
        </is>
      </c>
      <c r="E89" s="8" t="inlineStr">
        <is>
          <t>女</t>
        </is>
      </c>
      <c r="F89" s="8" t="n">
        <v>58</v>
      </c>
      <c r="G89" s="8" t="n">
        <v>55</v>
      </c>
      <c r="H89" s="8" t="n">
        <v>39</v>
      </c>
      <c r="I89" s="8" t="n">
        <v>57</v>
      </c>
      <c r="J89" s="8" t="n">
        <v>48</v>
      </c>
      <c r="K89" s="10">
        <f>IF(COUNT(F89:J89)=0,"",ROUND(AVERAGE(F89:J89),1))</f>
        <v>51.4</v>
      </c>
      <c r="L89" s="11" t="n">
        <v>8.9</v>
      </c>
      <c r="M89" s="8" t="inlineStr">
        <is>
          <t>×</t>
        </is>
      </c>
      <c r="N89" s="8" t="n"/>
      <c r="O89" s="8" t="n"/>
      <c r="P89" s="8" t="n"/>
      <c r="Q89" s="12" t="n"/>
      <c r="R89" s="12" t="n"/>
      <c r="S89" s="12" t="n"/>
      <c r="T89" s="9" t="n"/>
      <c r="U89" s="13">
        <f>IF(A89="","",INDEX('計算'!$Z$2:$Z$151,AF89))</f>
        <v>2</v>
      </c>
      <c r="V89" s="13">
        <f>IF(A89="","",IFERROR(IF(INDEX('②クラス編成'!$E$9:$E$158,MATCH(A89,'②クラス編成'!$D$9:$D$158,0))="","未",INDEX('②クラス編成'!$E$9:$E$158,MATCH(A89,'②クラス編成'!$D$9:$D$158,0))),"未"))</f>
        <v>2</v>
      </c>
      <c r="W89" s="14" t="str">
        <f>IF(A89="","",A89&amp;" "&amp;C89)</f>
        <v>2316 小林　理沙</v>
      </c>
      <c r="X89" s="14">
        <f>IF(A89="","",IF(E89="男",1,IF(E89="女",2,3)))</f>
        <v>2</v>
      </c>
      <c r="Y89" s="14">
        <f>IF(OR(M89="〇",M89="○",M89="◯"),1,0)</f>
        <v>0</v>
      </c>
      <c r="Z89" s="14">
        <f>IF(OR(N89="〇",N89="○",N89="◯"),1,0)</f>
        <v>0</v>
      </c>
      <c r="AA89" s="14">
        <f>IF(OR(O89="〇",O89="○",O89="◯"),1,0)</f>
        <v>0</v>
      </c>
      <c r="AB89" s="14">
        <f>IF(OR(P89="〇",P89="○",P89="◯"),1,0)</f>
        <v>0</v>
      </c>
      <c r="AC89" s="14">
        <f>IF(A89="","",IF(AA89=1,1,IF(Y89=1,2,IF(Z89=1,3,IF(AB89=1,4,5)))))</f>
        <v>5</v>
      </c>
      <c r="AD89" s="14">
        <f>IF(A89="","",IF(K89="",'設定'!$C$37,K89))</f>
        <v>51.4</v>
      </c>
      <c r="AE89" s="14">
        <f>IF(A89="","",AC89*10000000-ROUND(ABS((AD89-'設定'!$C$37)/'設定'!$C$38)*10000,0))</f>
        <v>49991720</v>
      </c>
      <c r="AF89" s="14">
        <f>IF(A89="","",COUNTIF($AE$4:$AE$153,"&lt;"&amp;AE89)+COUNTIFS($AE$4:$AE$153,AE89,$A$4:$A$153,"&lt;"&amp;A89)+1)</f>
        <v>66</v>
      </c>
      <c r="AG89" s="14" t="str">
        <f>IF(Q89="","",IFERROR(VALUE(LEFT(Q89,FIND(" ",Q89&amp;" ")-1)),IFERROR(INDEX($A$4:$A$153,MATCH(Q89,$C$4:$C$153,0)),"")))</f>
        <v/>
      </c>
      <c r="AH89" s="14" t="str">
        <f>IF(R89="","",IFERROR(VALUE(LEFT(R89,FIND(" ",R89&amp;" ")-1)),IFERROR(INDEX($A$4:$A$153,MATCH(R89,$C$4:$C$153,0)),"")))</f>
        <v/>
      </c>
      <c r="AI89" s="14" t="str">
        <f>IF(S89="","",IFERROR(VALUE(LEFT(S89,FIND(" ",S89&amp;" ")-1)),IFERROR(INDEX($A$4:$A$153,MATCH(S89,$C$4:$C$153,0)),"")))</f>
        <v/>
      </c>
      <c r="AJ89" s="14" t="str">
        <f>IF(OR(A89="",B89=""),"",IF(COUNTIFS($B$4:B89,B89,$A$4:A89,"&lt;&gt;")=1,MAX($AJ$3:AJ88)+1,""))</f>
        <v/>
      </c>
      <c r="AK89" s="14">
        <f>IF(OR(A89="",NOT(ISNUMBER(L89))),"",L89^2)</f>
        <v>79.21</v>
      </c>
      <c r="AL89" s="14">
        <f>IF(OR(A89="",NOT(ISNUMBER(L89))),0,(L89-INDEX('計算'!$AE$7:$AG$7,X89))/INDEX('計算'!$AE$8:$AG$8,X89))</f>
        <v>0.0577992840639699</v>
      </c>
    </row>
    <row r="90">
      <c r="A90" s="8" t="n">
        <v>2317</v>
      </c>
      <c r="B90" s="8" t="n">
        <v>3</v>
      </c>
      <c r="C90" s="9" t="inlineStr">
        <is>
          <t>後藤　花音</t>
        </is>
      </c>
      <c r="D90" s="9" t="inlineStr">
        <is>
          <t>ごとう　かのん</t>
        </is>
      </c>
      <c r="E90" s="8" t="inlineStr">
        <is>
          <t>女</t>
        </is>
      </c>
      <c r="F90" s="8" t="n">
        <v>43</v>
      </c>
      <c r="G90" s="8" t="n">
        <v>49</v>
      </c>
      <c r="H90" s="8" t="n">
        <v>55</v>
      </c>
      <c r="I90" s="8" t="n">
        <v>48</v>
      </c>
      <c r="J90" s="8" t="n">
        <v>37</v>
      </c>
      <c r="K90" s="10">
        <f>IF(COUNT(F90:J90)=0,"",ROUND(AVERAGE(F90:J90),1))</f>
        <v>46.4</v>
      </c>
      <c r="L90" s="11" t="n">
        <v>8.699999999999999</v>
      </c>
      <c r="M90" s="8" t="inlineStr">
        <is>
          <t>〇</t>
        </is>
      </c>
      <c r="N90" s="8" t="n"/>
      <c r="O90" s="8" t="n"/>
      <c r="P90" s="8" t="n"/>
      <c r="Q90" s="12" t="n"/>
      <c r="R90" s="12" t="n"/>
      <c r="S90" s="12" t="n"/>
      <c r="T90" s="9" t="n"/>
      <c r="U90" s="13">
        <f>IF(A90="","",INDEX('計算'!$Z$2:$Z$151,AF90))</f>
        <v>1</v>
      </c>
      <c r="V90" s="13">
        <f>IF(A90="","",IFERROR(IF(INDEX('②クラス編成'!$E$9:$E$158,MATCH(A90,'②クラス編成'!$D$9:$D$158,0))="","未",INDEX('②クラス編成'!$E$9:$E$158,MATCH(A90,'②クラス編成'!$D$9:$D$158,0))),"未"))</f>
        <v>1</v>
      </c>
      <c r="W90" s="14" t="str">
        <f>IF(A90="","",A90&amp;" "&amp;C90)</f>
        <v>2317 後藤　花音</v>
      </c>
      <c r="X90" s="14">
        <f>IF(A90="","",IF(E90="男",1,IF(E90="女",2,3)))</f>
        <v>2</v>
      </c>
      <c r="Y90" s="14">
        <f>IF(OR(M90="〇",M90="○",M90="◯"),1,0)</f>
        <v>1</v>
      </c>
      <c r="Z90" s="14">
        <f>IF(OR(N90="〇",N90="○",N90="◯"),1,0)</f>
        <v>0</v>
      </c>
      <c r="AA90" s="14">
        <f>IF(OR(O90="〇",O90="○",O90="◯"),1,0)</f>
        <v>0</v>
      </c>
      <c r="AB90" s="14">
        <f>IF(OR(P90="〇",P90="○",P90="◯"),1,0)</f>
        <v>0</v>
      </c>
      <c r="AC90" s="14">
        <f>IF(A90="","",IF(AA90=1,1,IF(Y90=1,2,IF(Z90=1,3,IF(AB90=1,4,5)))))</f>
        <v>2</v>
      </c>
      <c r="AD90" s="14">
        <f>IF(A90="","",IF(K90="",'設定'!$C$37,K90))</f>
        <v>46.4</v>
      </c>
      <c r="AE90" s="14">
        <f>IF(A90="","",AC90*10000000-ROUND(ABS((AD90-'設定'!$C$37)/'設定'!$C$38)*10000,0))</f>
        <v>19987986</v>
      </c>
      <c r="AF90" s="14">
        <f>IF(A90="","",COUNTIF($AE$4:$AE$153,"&lt;"&amp;AE90)+COUNTIFS($AE$4:$AE$153,AE90,$A$4:$A$153,"&lt;"&amp;A90)+1)</f>
        <v>10</v>
      </c>
      <c r="AG90" s="14" t="str">
        <f>IF(Q90="","",IFERROR(VALUE(LEFT(Q90,FIND(" ",Q90&amp;" ")-1)),IFERROR(INDEX($A$4:$A$153,MATCH(Q90,$C$4:$C$153,0)),"")))</f>
        <v/>
      </c>
      <c r="AH90" s="14" t="str">
        <f>IF(R90="","",IFERROR(VALUE(LEFT(R90,FIND(" ",R90&amp;" ")-1)),IFERROR(INDEX($A$4:$A$153,MATCH(R90,$C$4:$C$153,0)),"")))</f>
        <v/>
      </c>
      <c r="AI90" s="14" t="str">
        <f>IF(S90="","",IFERROR(VALUE(LEFT(S90,FIND(" ",S90&amp;" ")-1)),IFERROR(INDEX($A$4:$A$153,MATCH(S90,$C$4:$C$153,0)),"")))</f>
        <v/>
      </c>
      <c r="AJ90" s="14" t="str">
        <f>IF(OR(A90="",B90=""),"",IF(COUNTIFS($B$4:B90,B90,$A$4:A90,"&lt;&gt;")=1,MAX($AJ$3:AJ89)+1,""))</f>
        <v/>
      </c>
      <c r="AK90" s="14">
        <f>IF(OR(A90="",NOT(ISNUMBER(L90))),"",L90^2)</f>
        <v>75.69</v>
      </c>
      <c r="AL90" s="14">
        <f>IF(OR(A90="",NOT(ISNUMBER(L90))),0,(L90-INDEX('計算'!$AE$7:$AG$7,X90))/INDEX('計算'!$AE$8:$AG$8,X90))</f>
        <v>-0.269729992298529</v>
      </c>
    </row>
    <row r="91">
      <c r="A91" s="8" t="n">
        <v>2318</v>
      </c>
      <c r="B91" s="8" t="n">
        <v>3</v>
      </c>
      <c r="C91" s="9" t="inlineStr">
        <is>
          <t>酒井　太一</t>
        </is>
      </c>
      <c r="D91" s="9" t="inlineStr">
        <is>
          <t>さかい　たいち</t>
        </is>
      </c>
      <c r="E91" s="8" t="inlineStr">
        <is>
          <t>男</t>
        </is>
      </c>
      <c r="F91" s="8" t="n">
        <v>60</v>
      </c>
      <c r="G91" s="8" t="n">
        <v>53</v>
      </c>
      <c r="H91" s="8" t="n">
        <v>55</v>
      </c>
      <c r="I91" s="8" t="n">
        <v>66</v>
      </c>
      <c r="J91" s="8" t="n">
        <v>60</v>
      </c>
      <c r="K91" s="10">
        <f>IF(COUNT(F91:J91)=0,"",ROUND(AVERAGE(F91:J91),1))</f>
        <v>58.8</v>
      </c>
      <c r="L91" s="11" t="n">
        <v>7.5</v>
      </c>
      <c r="M91" s="8" t="inlineStr">
        <is>
          <t>×</t>
        </is>
      </c>
      <c r="N91" s="8" t="n"/>
      <c r="O91" s="8" t="n"/>
      <c r="P91" s="8" t="n"/>
      <c r="Q91" s="12" t="n"/>
      <c r="R91" s="12" t="n"/>
      <c r="S91" s="12" t="n"/>
      <c r="T91" s="9" t="inlineStr">
        <is>
          <t>部活：陸上</t>
        </is>
      </c>
      <c r="U91" s="13">
        <f>IF(A91="","",INDEX('計算'!$Z$2:$Z$151,AF91))</f>
        <v>2</v>
      </c>
      <c r="V91" s="13">
        <f>IF(A91="","",IFERROR(IF(INDEX('②クラス編成'!$E$9:$E$158,MATCH(A91,'②クラス編成'!$D$9:$D$158,0))="","未",INDEX('②クラス編成'!$E$9:$E$158,MATCH(A91,'②クラス編成'!$D$9:$D$158,0))),"未"))</f>
        <v>2</v>
      </c>
      <c r="W91" s="14" t="str">
        <f>IF(A91="","",A91&amp;" "&amp;C91)</f>
        <v>2318 酒井　太一</v>
      </c>
      <c r="X91" s="14">
        <f>IF(A91="","",IF(E91="男",1,IF(E91="女",2,3)))</f>
        <v>1</v>
      </c>
      <c r="Y91" s="14">
        <f>IF(OR(M91="〇",M91="○",M91="◯"),1,0)</f>
        <v>0</v>
      </c>
      <c r="Z91" s="14">
        <f>IF(OR(N91="〇",N91="○",N91="◯"),1,0)</f>
        <v>0</v>
      </c>
      <c r="AA91" s="14">
        <f>IF(OR(O91="〇",O91="○",O91="◯"),1,0)</f>
        <v>0</v>
      </c>
      <c r="AB91" s="14">
        <f>IF(OR(P91="〇",P91="○",P91="◯"),1,0)</f>
        <v>0</v>
      </c>
      <c r="AC91" s="14">
        <f>IF(A91="","",IF(AA91=1,1,IF(Y91=1,2,IF(Z91=1,3,IF(AB91=1,4,5)))))</f>
        <v>5</v>
      </c>
      <c r="AD91" s="14">
        <f>IF(A91="","",IF(K91="",'設定'!$C$37,K91))</f>
        <v>58.8</v>
      </c>
      <c r="AE91" s="14">
        <f>IF(A91="","",AC91*10000000-ROUND(ABS((AD91-'設定'!$C$37)/'設定'!$C$38)*10000,0))</f>
        <v>49997246</v>
      </c>
      <c r="AF91" s="14">
        <f>IF(A91="","",COUNTIF($AE$4:$AE$153,"&lt;"&amp;AE91)+COUNTIFS($AE$4:$AE$153,AE91,$A$4:$A$153,"&lt;"&amp;A91)+1)</f>
        <v>89</v>
      </c>
      <c r="AG91" s="14" t="str">
        <f>IF(Q91="","",IFERROR(VALUE(LEFT(Q91,FIND(" ",Q91&amp;" ")-1)),IFERROR(INDEX($A$4:$A$153,MATCH(Q91,$C$4:$C$153,0)),"")))</f>
        <v/>
      </c>
      <c r="AH91" s="14" t="str">
        <f>IF(R91="","",IFERROR(VALUE(LEFT(R91,FIND(" ",R91&amp;" ")-1)),IFERROR(INDEX($A$4:$A$153,MATCH(R91,$C$4:$C$153,0)),"")))</f>
        <v/>
      </c>
      <c r="AI91" s="14" t="str">
        <f>IF(S91="","",IFERROR(VALUE(LEFT(S91,FIND(" ",S91&amp;" ")-1)),IFERROR(INDEX($A$4:$A$153,MATCH(S91,$C$4:$C$153,0)),"")))</f>
        <v/>
      </c>
      <c r="AJ91" s="14" t="str">
        <f>IF(OR(A91="",B91=""),"",IF(COUNTIFS($B$4:B91,B91,$A$4:A91,"&lt;&gt;")=1,MAX($AJ$3:AJ90)+1,""))</f>
        <v/>
      </c>
      <c r="AK91" s="14">
        <f>IF(OR(A91="",NOT(ISNUMBER(L91))),"",L91^2)</f>
        <v>56.25</v>
      </c>
      <c r="AL91" s="14">
        <f>IF(OR(A91="",NOT(ISNUMBER(L91))),0,(L91-INDEX('計算'!$AE$7:$AG$7,X91))/INDEX('計算'!$AE$8:$AG$8,X91))</f>
        <v>-0.43410481052153</v>
      </c>
    </row>
    <row r="92">
      <c r="A92" s="8" t="n">
        <v>2319</v>
      </c>
      <c r="B92" s="8" t="n">
        <v>3</v>
      </c>
      <c r="C92" s="9" t="inlineStr">
        <is>
          <t>坂本　結菜</t>
        </is>
      </c>
      <c r="D92" s="9" t="inlineStr">
        <is>
          <t>さかもと　ゆな</t>
        </is>
      </c>
      <c r="E92" s="8" t="inlineStr">
        <is>
          <t>女</t>
        </is>
      </c>
      <c r="F92" s="8" t="n">
        <v>69</v>
      </c>
      <c r="G92" s="8" t="n">
        <v>85</v>
      </c>
      <c r="H92" s="8" t="n">
        <v>90</v>
      </c>
      <c r="I92" s="8" t="n">
        <v>73</v>
      </c>
      <c r="J92" s="8" t="n">
        <v>76</v>
      </c>
      <c r="K92" s="10">
        <f>IF(COUNT(F92:J92)=0,"",ROUND(AVERAGE(F92:J92),1))</f>
        <v>78.6</v>
      </c>
      <c r="L92" s="11" t="n">
        <v>9.199999999999999</v>
      </c>
      <c r="M92" s="8" t="inlineStr">
        <is>
          <t>×</t>
        </is>
      </c>
      <c r="N92" s="8" t="n"/>
      <c r="O92" s="8" t="n"/>
      <c r="P92" s="8" t="n"/>
      <c r="Q92" s="12" t="n"/>
      <c r="R92" s="12" t="n"/>
      <c r="S92" s="12" t="n"/>
      <c r="T92" s="9" t="n"/>
      <c r="U92" s="13">
        <f>IF(A92="","",INDEX('計算'!$Z$2:$Z$151,AF92))</f>
        <v>1</v>
      </c>
      <c r="V92" s="13">
        <f>IF(A92="","",IFERROR(IF(INDEX('②クラス編成'!$E$9:$E$158,MATCH(A92,'②クラス編成'!$D$9:$D$158,0))="","未",INDEX('②クラス編成'!$E$9:$E$158,MATCH(A92,'②クラス編成'!$D$9:$D$158,0))),"未"))</f>
        <v>1</v>
      </c>
      <c r="W92" s="14" t="str">
        <f>IF(A92="","",A92&amp;" "&amp;C92)</f>
        <v>2319 坂本　結菜</v>
      </c>
      <c r="X92" s="14">
        <f>IF(A92="","",IF(E92="男",1,IF(E92="女",2,3)))</f>
        <v>2</v>
      </c>
      <c r="Y92" s="14">
        <f>IF(OR(M92="〇",M92="○",M92="◯"),1,0)</f>
        <v>0</v>
      </c>
      <c r="Z92" s="14">
        <f>IF(OR(N92="〇",N92="○",N92="◯"),1,0)</f>
        <v>0</v>
      </c>
      <c r="AA92" s="14">
        <f>IF(OR(O92="〇",O92="○",O92="◯"),1,0)</f>
        <v>0</v>
      </c>
      <c r="AB92" s="14">
        <f>IF(OR(P92="〇",P92="○",P92="◯"),1,0)</f>
        <v>0</v>
      </c>
      <c r="AC92" s="14">
        <f>IF(A92="","",IF(AA92=1,1,IF(Y92=1,2,IF(Z92=1,3,IF(AB92=1,4,5)))))</f>
        <v>5</v>
      </c>
      <c r="AD92" s="14">
        <f>IF(A92="","",IF(K92="",'設定'!$C$37,K92))</f>
        <v>78.6</v>
      </c>
      <c r="AE92" s="14">
        <f>IF(A92="","",AC92*10000000-ROUND(ABS((AD92-'設定'!$C$37)/'設定'!$C$38)*10000,0))</f>
        <v>49987968</v>
      </c>
      <c r="AF92" s="14">
        <f>IF(A92="","",COUNTIF($AE$4:$AE$153,"&lt;"&amp;AE92)+COUNTIFS($AE$4:$AE$153,AE92,$A$4:$A$153,"&lt;"&amp;A92)+1)</f>
        <v>43</v>
      </c>
      <c r="AG92" s="14" t="str">
        <f>IF(Q92="","",IFERROR(VALUE(LEFT(Q92,FIND(" ",Q92&amp;" ")-1)),IFERROR(INDEX($A$4:$A$153,MATCH(Q92,$C$4:$C$153,0)),"")))</f>
        <v/>
      </c>
      <c r="AH92" s="14" t="str">
        <f>IF(R92="","",IFERROR(VALUE(LEFT(R92,FIND(" ",R92&amp;" ")-1)),IFERROR(INDEX($A$4:$A$153,MATCH(R92,$C$4:$C$153,0)),"")))</f>
        <v/>
      </c>
      <c r="AI92" s="14" t="str">
        <f>IF(S92="","",IFERROR(VALUE(LEFT(S92,FIND(" ",S92&amp;" ")-1)),IFERROR(INDEX($A$4:$A$153,MATCH(S92,$C$4:$C$153,0)),"")))</f>
        <v/>
      </c>
      <c r="AJ92" s="14" t="str">
        <f>IF(OR(A92="",B92=""),"",IF(COUNTIFS($B$4:B92,B92,$A$4:A92,"&lt;&gt;")=1,MAX($AJ$3:AJ91)+1,""))</f>
        <v/>
      </c>
      <c r="AK92" s="14">
        <f>IF(OR(A92="",NOT(ISNUMBER(L92))),"",L92^2)</f>
        <v>84.64</v>
      </c>
      <c r="AL92" s="14">
        <f>IF(OR(A92="",NOT(ISNUMBER(L92))),0,(L92-INDEX('計算'!$AE$7:$AG$7,X92))/INDEX('計算'!$AE$8:$AG$8,X92))</f>
        <v>0.549093198607714</v>
      </c>
    </row>
    <row r="93">
      <c r="A93" s="8" t="n">
        <v>2320</v>
      </c>
      <c r="B93" s="8" t="n">
        <v>3</v>
      </c>
      <c r="C93" s="9" t="inlineStr">
        <is>
          <t>佐々木　誠</t>
        </is>
      </c>
      <c r="D93" s="9" t="inlineStr">
        <is>
          <t>ささき　まこと</t>
        </is>
      </c>
      <c r="E93" s="8" t="inlineStr">
        <is>
          <t>男</t>
        </is>
      </c>
      <c r="F93" s="8" t="n">
        <v>64</v>
      </c>
      <c r="G93" s="8" t="n">
        <v>58</v>
      </c>
      <c r="H93" s="8" t="n">
        <v>60</v>
      </c>
      <c r="I93" s="8" t="n">
        <v>72</v>
      </c>
      <c r="J93" s="8" t="n">
        <v>56</v>
      </c>
      <c r="K93" s="10">
        <f>IF(COUNT(F93:J93)=0,"",ROUND(AVERAGE(F93:J93),1))</f>
        <v>62</v>
      </c>
      <c r="L93" s="11" t="n">
        <v>7.2</v>
      </c>
      <c r="M93" s="8" t="inlineStr">
        <is>
          <t>×</t>
        </is>
      </c>
      <c r="N93" s="8" t="n"/>
      <c r="O93" s="8" t="n"/>
      <c r="P93" s="8" t="n"/>
      <c r="Q93" s="12" t="n"/>
      <c r="R93" s="12" t="n"/>
      <c r="S93" s="12" t="n"/>
      <c r="T93" s="9" t="n"/>
      <c r="U93" s="13">
        <f>IF(A93="","",INDEX('計算'!$Z$2:$Z$151,AF93))</f>
        <v>2</v>
      </c>
      <c r="V93" s="13">
        <f>IF(A93="","",IFERROR(IF(INDEX('②クラス編成'!$E$9:$E$158,MATCH(A93,'②クラス編成'!$D$9:$D$158,0))="","未",INDEX('②クラス編成'!$E$9:$E$158,MATCH(A93,'②クラス編成'!$D$9:$D$158,0))),"未"))</f>
        <v>2</v>
      </c>
      <c r="W93" s="14" t="str">
        <f>IF(A93="","",A93&amp;" "&amp;C93)</f>
        <v>2320 佐々木　誠</v>
      </c>
      <c r="X93" s="14">
        <f>IF(A93="","",IF(E93="男",1,IF(E93="女",2,3)))</f>
        <v>1</v>
      </c>
      <c r="Y93" s="14">
        <f>IF(OR(M93="〇",M93="○",M93="◯"),1,0)</f>
        <v>0</v>
      </c>
      <c r="Z93" s="14">
        <f>IF(OR(N93="〇",N93="○",N93="◯"),1,0)</f>
        <v>0</v>
      </c>
      <c r="AA93" s="14">
        <f>IF(OR(O93="〇",O93="○",O93="◯"),1,0)</f>
        <v>0</v>
      </c>
      <c r="AB93" s="14">
        <f>IF(OR(P93="〇",P93="○",P93="◯"),1,0)</f>
        <v>0</v>
      </c>
      <c r="AC93" s="14">
        <f>IF(A93="","",IF(AA93=1,1,IF(Y93=1,2,IF(Z93=1,3,IF(AB93=1,4,5)))))</f>
        <v>5</v>
      </c>
      <c r="AD93" s="14">
        <f>IF(A93="","",IF(K93="",'設定'!$C$37,K93))</f>
        <v>62</v>
      </c>
      <c r="AE93" s="14">
        <f>IF(A93="","",AC93*10000000-ROUND(ABS((AD93-'設定'!$C$37)/'設定'!$C$38)*10000,0))</f>
        <v>49999636</v>
      </c>
      <c r="AF93" s="14">
        <f>IF(A93="","",COUNTIF($AE$4:$AE$153,"&lt;"&amp;AE93)+COUNTIFS($AE$4:$AE$153,AE93,$A$4:$A$153,"&lt;"&amp;A93)+1)</f>
        <v>102</v>
      </c>
      <c r="AG93" s="14" t="str">
        <f>IF(Q93="","",IFERROR(VALUE(LEFT(Q93,FIND(" ",Q93&amp;" ")-1)),IFERROR(INDEX($A$4:$A$153,MATCH(Q93,$C$4:$C$153,0)),"")))</f>
        <v/>
      </c>
      <c r="AH93" s="14" t="str">
        <f>IF(R93="","",IFERROR(VALUE(LEFT(R93,FIND(" ",R93&amp;" ")-1)),IFERROR(INDEX($A$4:$A$153,MATCH(R93,$C$4:$C$153,0)),"")))</f>
        <v/>
      </c>
      <c r="AI93" s="14" t="str">
        <f>IF(S93="","",IFERROR(VALUE(LEFT(S93,FIND(" ",S93&amp;" ")-1)),IFERROR(INDEX($A$4:$A$153,MATCH(S93,$C$4:$C$153,0)),"")))</f>
        <v/>
      </c>
      <c r="AJ93" s="14" t="str">
        <f>IF(OR(A93="",B93=""),"",IF(COUNTIFS($B$4:B93,B93,$A$4:A93,"&lt;&gt;")=1,MAX($AJ$3:AJ92)+1,""))</f>
        <v/>
      </c>
      <c r="AK93" s="14">
        <f>IF(OR(A93="",NOT(ISNUMBER(L93))),"",L93^2)</f>
        <v>51.84</v>
      </c>
      <c r="AL93" s="14">
        <f>IF(OR(A93="",NOT(ISNUMBER(L93))),0,(L93-INDEX('計算'!$AE$7:$AG$7,X93))/INDEX('計算'!$AE$8:$AG$8,X93))</f>
        <v>-1.11687159988549</v>
      </c>
    </row>
    <row r="94">
      <c r="A94" s="8" t="n">
        <v>2321</v>
      </c>
      <c r="B94" s="8" t="n">
        <v>3</v>
      </c>
      <c r="C94" s="9" t="inlineStr">
        <is>
          <t>佐藤　結衣</t>
        </is>
      </c>
      <c r="D94" s="9" t="inlineStr">
        <is>
          <t>さとう　ゆい</t>
        </is>
      </c>
      <c r="E94" s="8" t="inlineStr">
        <is>
          <t>女</t>
        </is>
      </c>
      <c r="F94" s="8" t="n">
        <v>72</v>
      </c>
      <c r="G94" s="8" t="n">
        <v>69</v>
      </c>
      <c r="H94" s="8" t="n">
        <v>55</v>
      </c>
      <c r="I94" s="8" t="n">
        <v>69</v>
      </c>
      <c r="J94" s="8" t="n">
        <v>64</v>
      </c>
      <c r="K94" s="10">
        <f>IF(COUNT(F94:J94)=0,"",ROUND(AVERAGE(F94:J94),1))</f>
        <v>65.8</v>
      </c>
      <c r="L94" s="11" t="n">
        <v>9.5</v>
      </c>
      <c r="M94" s="8" t="inlineStr">
        <is>
          <t>×</t>
        </is>
      </c>
      <c r="N94" s="8" t="n"/>
      <c r="O94" s="8" t="n"/>
      <c r="P94" s="8" t="n"/>
      <c r="Q94" s="12" t="n"/>
      <c r="R94" s="12" t="n"/>
      <c r="S94" s="12" t="n"/>
      <c r="T94" s="9" t="n"/>
      <c r="U94" s="13">
        <f>IF(A94="","",INDEX('計算'!$Z$2:$Z$151,AF94))</f>
        <v>2</v>
      </c>
      <c r="V94" s="13">
        <f>IF(A94="","",IFERROR(IF(INDEX('②クラス編成'!$E$9:$E$158,MATCH(A94,'②クラス編成'!$D$9:$D$158,0))="","未",INDEX('②クラス編成'!$E$9:$E$158,MATCH(A94,'②クラス編成'!$D$9:$D$158,0))),"未"))</f>
        <v>2</v>
      </c>
      <c r="W94" s="14" t="str">
        <f>IF(A94="","",A94&amp;" "&amp;C94)</f>
        <v>2321 佐藤　結衣</v>
      </c>
      <c r="X94" s="14">
        <f>IF(A94="","",IF(E94="男",1,IF(E94="女",2,3)))</f>
        <v>2</v>
      </c>
      <c r="Y94" s="14">
        <f>IF(OR(M94="〇",M94="○",M94="◯"),1,0)</f>
        <v>0</v>
      </c>
      <c r="Z94" s="14">
        <f>IF(OR(N94="〇",N94="○",N94="◯"),1,0)</f>
        <v>0</v>
      </c>
      <c r="AA94" s="14">
        <f>IF(OR(O94="〇",O94="○",O94="◯"),1,0)</f>
        <v>0</v>
      </c>
      <c r="AB94" s="14">
        <f>IF(OR(P94="〇",P94="○",P94="◯"),1,0)</f>
        <v>0</v>
      </c>
      <c r="AC94" s="14">
        <f>IF(A94="","",IF(AA94=1,1,IF(Y94=1,2,IF(Z94=1,3,IF(AB94=1,4,5)))))</f>
        <v>5</v>
      </c>
      <c r="AD94" s="14">
        <f>IF(A94="","",IF(K94="",'設定'!$C$37,K94))</f>
        <v>65.8</v>
      </c>
      <c r="AE94" s="14">
        <f>IF(A94="","",AC94*10000000-ROUND(ABS((AD94-'設定'!$C$37)/'設定'!$C$38)*10000,0))</f>
        <v>49997526</v>
      </c>
      <c r="AF94" s="14">
        <f>IF(A94="","",COUNTIF($AE$4:$AE$153,"&lt;"&amp;AE94)+COUNTIFS($AE$4:$AE$153,AE94,$A$4:$A$153,"&lt;"&amp;A94)+1)</f>
        <v>91</v>
      </c>
      <c r="AG94" s="14" t="str">
        <f>IF(Q94="","",IFERROR(VALUE(LEFT(Q94,FIND(" ",Q94&amp;" ")-1)),IFERROR(INDEX($A$4:$A$153,MATCH(Q94,$C$4:$C$153,0)),"")))</f>
        <v/>
      </c>
      <c r="AH94" s="14" t="str">
        <f>IF(R94="","",IFERROR(VALUE(LEFT(R94,FIND(" ",R94&amp;" ")-1)),IFERROR(INDEX($A$4:$A$153,MATCH(R94,$C$4:$C$153,0)),"")))</f>
        <v/>
      </c>
      <c r="AI94" s="14" t="str">
        <f>IF(S94="","",IFERROR(VALUE(LEFT(S94,FIND(" ",S94&amp;" ")-1)),IFERROR(INDEX($A$4:$A$153,MATCH(S94,$C$4:$C$153,0)),"")))</f>
        <v/>
      </c>
      <c r="AJ94" s="14" t="str">
        <f>IF(OR(A94="",B94=""),"",IF(COUNTIFS($B$4:B94,B94,$A$4:A94,"&lt;&gt;")=1,MAX($AJ$3:AJ93)+1,""))</f>
        <v/>
      </c>
      <c r="AK94" s="14">
        <f>IF(OR(A94="",NOT(ISNUMBER(L94))),"",L94^2)</f>
        <v>90.25</v>
      </c>
      <c r="AL94" s="14">
        <f>IF(OR(A94="",NOT(ISNUMBER(L94))),0,(L94-INDEX('計算'!$AE$7:$AG$7,X94))/INDEX('計算'!$AE$8:$AG$8,X94))</f>
        <v>1.04038711315146</v>
      </c>
    </row>
    <row r="95">
      <c r="A95" s="8" t="n">
        <v>2322</v>
      </c>
      <c r="B95" s="8" t="n">
        <v>3</v>
      </c>
      <c r="C95" s="9" t="inlineStr">
        <is>
          <t>鈴木　陽葵</t>
        </is>
      </c>
      <c r="D95" s="9" t="inlineStr">
        <is>
          <t>すずき　ひまり</t>
        </is>
      </c>
      <c r="E95" s="8" t="inlineStr">
        <is>
          <t>女</t>
        </is>
      </c>
      <c r="F95" s="8" t="n">
        <v>75</v>
      </c>
      <c r="G95" s="8" t="n">
        <v>95</v>
      </c>
      <c r="H95" s="8" t="n">
        <v>80</v>
      </c>
      <c r="I95" s="8" t="n">
        <v>71</v>
      </c>
      <c r="J95" s="8" t="n">
        <v>83</v>
      </c>
      <c r="K95" s="10">
        <f>IF(COUNT(F95:J95)=0,"",ROUND(AVERAGE(F95:J95),1))</f>
        <v>80.8</v>
      </c>
      <c r="L95" s="11" t="n">
        <v>9.5</v>
      </c>
      <c r="M95" s="8" t="inlineStr">
        <is>
          <t>×</t>
        </is>
      </c>
      <c r="N95" s="8" t="n"/>
      <c r="O95" s="8" t="inlineStr">
        <is>
          <t>〇</t>
        </is>
      </c>
      <c r="P95" s="8" t="n"/>
      <c r="Q95" s="12" t="n"/>
      <c r="R95" s="12" t="n"/>
      <c r="S95" s="12" t="n"/>
      <c r="T95" s="9" t="n"/>
      <c r="U95" s="13">
        <f>IF(A95="","",INDEX('計算'!$Z$2:$Z$151,AF95))</f>
        <v>2</v>
      </c>
      <c r="V95" s="13">
        <f>IF(A95="","",IFERROR(IF(INDEX('②クラス編成'!$E$9:$E$158,MATCH(A95,'②クラス編成'!$D$9:$D$158,0))="","未",INDEX('②クラス編成'!$E$9:$E$158,MATCH(A95,'②クラス編成'!$D$9:$D$158,0))),"未"))</f>
        <v>2</v>
      </c>
      <c r="W95" s="14" t="str">
        <f>IF(A95="","",A95&amp;" "&amp;C95)</f>
        <v>2322 鈴木　陽葵</v>
      </c>
      <c r="X95" s="14">
        <f>IF(A95="","",IF(E95="男",1,IF(E95="女",2,3)))</f>
        <v>2</v>
      </c>
      <c r="Y95" s="14">
        <f>IF(OR(M95="〇",M95="○",M95="◯"),1,0)</f>
        <v>0</v>
      </c>
      <c r="Z95" s="14">
        <f>IF(OR(N95="〇",N95="○",N95="◯"),1,0)</f>
        <v>0</v>
      </c>
      <c r="AA95" s="14">
        <f>IF(OR(O95="〇",O95="○",O95="◯"),1,0)</f>
        <v>1</v>
      </c>
      <c r="AB95" s="14">
        <f>IF(OR(P95="〇",P95="○",P95="◯"),1,0)</f>
        <v>0</v>
      </c>
      <c r="AC95" s="14">
        <f>IF(A95="","",IF(AA95=1,1,IF(Y95=1,2,IF(Z95=1,3,IF(AB95=1,4,5)))))</f>
        <v>1</v>
      </c>
      <c r="AD95" s="14">
        <f>IF(A95="","",IF(K95="",'設定'!$C$37,K95))</f>
        <v>80.8</v>
      </c>
      <c r="AE95" s="14">
        <f>IF(A95="","",AC95*10000000-ROUND(ABS((AD95-'設定'!$C$37)/'設定'!$C$38)*10000,0))</f>
        <v>9986325</v>
      </c>
      <c r="AF95" s="14">
        <f>IF(A95="","",COUNTIF($AE$4:$AE$153,"&lt;"&amp;AE95)+COUNTIFS($AE$4:$AE$153,AE95,$A$4:$A$153,"&lt;"&amp;A95)+1)</f>
        <v>2</v>
      </c>
      <c r="AG95" s="14" t="str">
        <f>IF(Q95="","",IFERROR(VALUE(LEFT(Q95,FIND(" ",Q95&amp;" ")-1)),IFERROR(INDEX($A$4:$A$153,MATCH(Q95,$C$4:$C$153,0)),"")))</f>
        <v/>
      </c>
      <c r="AH95" s="14" t="str">
        <f>IF(R95="","",IFERROR(VALUE(LEFT(R95,FIND(" ",R95&amp;" ")-1)),IFERROR(INDEX($A$4:$A$153,MATCH(R95,$C$4:$C$153,0)),"")))</f>
        <v/>
      </c>
      <c r="AI95" s="14" t="str">
        <f>IF(S95="","",IFERROR(VALUE(LEFT(S95,FIND(" ",S95&amp;" ")-1)),IFERROR(INDEX($A$4:$A$153,MATCH(S95,$C$4:$C$153,0)),"")))</f>
        <v/>
      </c>
      <c r="AJ95" s="14" t="str">
        <f>IF(OR(A95="",B95=""),"",IF(COUNTIFS($B$4:B95,B95,$A$4:A95,"&lt;&gt;")=1,MAX($AJ$3:AJ94)+1,""))</f>
        <v/>
      </c>
      <c r="AK95" s="14">
        <f>IF(OR(A95="",NOT(ISNUMBER(L95))),"",L95^2)</f>
        <v>90.25</v>
      </c>
      <c r="AL95" s="14">
        <f>IF(OR(A95="",NOT(ISNUMBER(L95))),0,(L95-INDEX('計算'!$AE$7:$AG$7,X95))/INDEX('計算'!$AE$8:$AG$8,X95))</f>
        <v>1.04038711315146</v>
      </c>
    </row>
    <row r="96">
      <c r="A96" s="8" t="n">
        <v>2323</v>
      </c>
      <c r="B96" s="8" t="n">
        <v>3</v>
      </c>
      <c r="C96" s="9" t="inlineStr">
        <is>
          <t>副島　美羽</t>
        </is>
      </c>
      <c r="D96" s="9" t="inlineStr">
        <is>
          <t>そえじま　みう</t>
        </is>
      </c>
      <c r="E96" s="8" t="inlineStr">
        <is>
          <t>女</t>
        </is>
      </c>
      <c r="F96" s="8" t="n">
        <v>77</v>
      </c>
      <c r="G96" s="8" t="n">
        <v>100</v>
      </c>
      <c r="H96" s="8" t="n">
        <v>85</v>
      </c>
      <c r="I96" s="8" t="n">
        <v>84</v>
      </c>
      <c r="J96" s="8" t="n">
        <v>76</v>
      </c>
      <c r="K96" s="10">
        <f>IF(COUNT(F96:J96)=0,"",ROUND(AVERAGE(F96:J96),1))</f>
        <v>84.4</v>
      </c>
      <c r="L96" s="11" t="n">
        <v>8.5</v>
      </c>
      <c r="M96" s="8" t="inlineStr">
        <is>
          <t>×</t>
        </is>
      </c>
      <c r="N96" s="8" t="n"/>
      <c r="O96" s="8" t="n"/>
      <c r="P96" s="8" t="n"/>
      <c r="Q96" s="12" t="n"/>
      <c r="R96" s="12" t="n"/>
      <c r="S96" s="12" t="n"/>
      <c r="T96" s="9" t="n"/>
      <c r="U96" s="13">
        <f>IF(A96="","",INDEX('計算'!$Z$2:$Z$151,AF96))</f>
        <v>2</v>
      </c>
      <c r="V96" s="13">
        <f>IF(A96="","",IFERROR(IF(INDEX('②クラス編成'!$E$9:$E$158,MATCH(A96,'②クラス編成'!$D$9:$D$158,0))="","未",INDEX('②クラス編成'!$E$9:$E$158,MATCH(A96,'②クラス編成'!$D$9:$D$158,0))),"未"))</f>
        <v>2</v>
      </c>
      <c r="W96" s="14" t="str">
        <f>IF(A96="","",A96&amp;" "&amp;C96)</f>
        <v>2323 副島　美羽</v>
      </c>
      <c r="X96" s="14">
        <f>IF(A96="","",IF(E96="男",1,IF(E96="女",2,3)))</f>
        <v>2</v>
      </c>
      <c r="Y96" s="14">
        <f>IF(OR(M96="〇",M96="○",M96="◯"),1,0)</f>
        <v>0</v>
      </c>
      <c r="Z96" s="14">
        <f>IF(OR(N96="〇",N96="○",N96="◯"),1,0)</f>
        <v>0</v>
      </c>
      <c r="AA96" s="14">
        <f>IF(OR(O96="〇",O96="○",O96="◯"),1,0)</f>
        <v>0</v>
      </c>
      <c r="AB96" s="14">
        <f>IF(OR(P96="〇",P96="○",P96="◯"),1,0)</f>
        <v>0</v>
      </c>
      <c r="AC96" s="14">
        <f>IF(A96="","",IF(AA96=1,1,IF(Y96=1,2,IF(Z96=1,3,IF(AB96=1,4,5)))))</f>
        <v>5</v>
      </c>
      <c r="AD96" s="14">
        <f>IF(A96="","",IF(K96="",'設定'!$C$37,K96))</f>
        <v>84.4</v>
      </c>
      <c r="AE96" s="14">
        <f>IF(A96="","",AC96*10000000-ROUND(ABS((AD96-'設定'!$C$37)/'設定'!$C$38)*10000,0))</f>
        <v>49983636</v>
      </c>
      <c r="AF96" s="14">
        <f>IF(A96="","",COUNTIF($AE$4:$AE$153,"&lt;"&amp;AE96)+COUNTIFS($AE$4:$AE$153,AE96,$A$4:$A$153,"&lt;"&amp;A96)+1)</f>
        <v>32</v>
      </c>
      <c r="AG96" s="14" t="str">
        <f>IF(Q96="","",IFERROR(VALUE(LEFT(Q96,FIND(" ",Q96&amp;" ")-1)),IFERROR(INDEX($A$4:$A$153,MATCH(Q96,$C$4:$C$153,0)),"")))</f>
        <v/>
      </c>
      <c r="AH96" s="14" t="str">
        <f>IF(R96="","",IFERROR(VALUE(LEFT(R96,FIND(" ",R96&amp;" ")-1)),IFERROR(INDEX($A$4:$A$153,MATCH(R96,$C$4:$C$153,0)),"")))</f>
        <v/>
      </c>
      <c r="AI96" s="14" t="str">
        <f>IF(S96="","",IFERROR(VALUE(LEFT(S96,FIND(" ",S96&amp;" ")-1)),IFERROR(INDEX($A$4:$A$153,MATCH(S96,$C$4:$C$153,0)),"")))</f>
        <v/>
      </c>
      <c r="AJ96" s="14" t="str">
        <f>IF(OR(A96="",B96=""),"",IF(COUNTIFS($B$4:B96,B96,$A$4:A96,"&lt;&gt;")=1,MAX($AJ$3:AJ95)+1,""))</f>
        <v/>
      </c>
      <c r="AK96" s="14">
        <f>IF(OR(A96="",NOT(ISNUMBER(L96))),"",L96^2)</f>
        <v>72.25</v>
      </c>
      <c r="AL96" s="14">
        <f>IF(OR(A96="",NOT(ISNUMBER(L96))),0,(L96-INDEX('計算'!$AE$7:$AG$7,X96))/INDEX('計算'!$AE$8:$AG$8,X96))</f>
        <v>-0.597259268661025</v>
      </c>
    </row>
    <row r="97">
      <c r="A97" s="8" t="n">
        <v>2324</v>
      </c>
      <c r="B97" s="8" t="n">
        <v>3</v>
      </c>
      <c r="C97" s="9" t="inlineStr">
        <is>
          <t>西村　結菜</t>
        </is>
      </c>
      <c r="D97" s="9" t="inlineStr">
        <is>
          <t>にしむら　ゆな</t>
        </is>
      </c>
      <c r="E97" s="8" t="inlineStr">
        <is>
          <t>女</t>
        </is>
      </c>
      <c r="F97" s="8" t="n">
        <v>51</v>
      </c>
      <c r="G97" s="8" t="n">
        <v>52</v>
      </c>
      <c r="H97" s="8" t="n">
        <v>51</v>
      </c>
      <c r="I97" s="8" t="n">
        <v>56</v>
      </c>
      <c r="J97" s="8" t="n">
        <v>43</v>
      </c>
      <c r="K97" s="10">
        <f>IF(COUNT(F97:J97)=0,"",ROUND(AVERAGE(F97:J97),1))</f>
        <v>50.6</v>
      </c>
      <c r="L97" s="11" t="n">
        <v>8.4</v>
      </c>
      <c r="M97" s="8" t="inlineStr">
        <is>
          <t>×</t>
        </is>
      </c>
      <c r="N97" s="8" t="n"/>
      <c r="O97" s="8" t="n"/>
      <c r="P97" s="8" t="n"/>
      <c r="Q97" s="12" t="n"/>
      <c r="R97" s="12" t="n"/>
      <c r="S97" s="12" t="n"/>
      <c r="T97" s="9" t="n"/>
      <c r="U97" s="13">
        <f>IF(A97="","",INDEX('計算'!$Z$2:$Z$151,AF97))</f>
        <v>3</v>
      </c>
      <c r="V97" s="13">
        <f>IF(A97="","",IFERROR(IF(INDEX('②クラス編成'!$E$9:$E$158,MATCH(A97,'②クラス編成'!$D$9:$D$158,0))="","未",INDEX('②クラス編成'!$E$9:$E$158,MATCH(A97,'②クラス編成'!$D$9:$D$158,0))),"未"))</f>
        <v>3</v>
      </c>
      <c r="W97" s="14" t="str">
        <f>IF(A97="","",A97&amp;" "&amp;C97)</f>
        <v>2324 西村　結菜</v>
      </c>
      <c r="X97" s="14">
        <f>IF(A97="","",IF(E97="男",1,IF(E97="女",2,3)))</f>
        <v>2</v>
      </c>
      <c r="Y97" s="14">
        <f>IF(OR(M97="〇",M97="○",M97="◯"),1,0)</f>
        <v>0</v>
      </c>
      <c r="Z97" s="14">
        <f>IF(OR(N97="〇",N97="○",N97="◯"),1,0)</f>
        <v>0</v>
      </c>
      <c r="AA97" s="14">
        <f>IF(OR(O97="〇",O97="○",O97="◯"),1,0)</f>
        <v>0</v>
      </c>
      <c r="AB97" s="14">
        <f>IF(OR(P97="〇",P97="○",P97="◯"),1,0)</f>
        <v>0</v>
      </c>
      <c r="AC97" s="14">
        <f>IF(A97="","",IF(AA97=1,1,IF(Y97=1,2,IF(Z97=1,3,IF(AB97=1,4,5)))))</f>
        <v>5</v>
      </c>
      <c r="AD97" s="14">
        <f>IF(A97="","",IF(K97="",'設定'!$C$37,K97))</f>
        <v>50.6</v>
      </c>
      <c r="AE97" s="14">
        <f>IF(A97="","",AC97*10000000-ROUND(ABS((AD97-'設定'!$C$37)/'設定'!$C$38)*10000,0))</f>
        <v>49991123</v>
      </c>
      <c r="AF97" s="14">
        <f>IF(A97="","",COUNTIF($AE$4:$AE$153,"&lt;"&amp;AE97)+COUNTIFS($AE$4:$AE$153,AE97,$A$4:$A$153,"&lt;"&amp;A97)+1)</f>
        <v>63</v>
      </c>
      <c r="AG97" s="14" t="str">
        <f>IF(Q97="","",IFERROR(VALUE(LEFT(Q97,FIND(" ",Q97&amp;" ")-1)),IFERROR(INDEX($A$4:$A$153,MATCH(Q97,$C$4:$C$153,0)),"")))</f>
        <v/>
      </c>
      <c r="AH97" s="14" t="str">
        <f>IF(R97="","",IFERROR(VALUE(LEFT(R97,FIND(" ",R97&amp;" ")-1)),IFERROR(INDEX($A$4:$A$153,MATCH(R97,$C$4:$C$153,0)),"")))</f>
        <v/>
      </c>
      <c r="AI97" s="14" t="str">
        <f>IF(S97="","",IFERROR(VALUE(LEFT(S97,FIND(" ",S97&amp;" ")-1)),IFERROR(INDEX($A$4:$A$153,MATCH(S97,$C$4:$C$153,0)),"")))</f>
        <v/>
      </c>
      <c r="AJ97" s="14" t="str">
        <f>IF(OR(A97="",B97=""),"",IF(COUNTIFS($B$4:B97,B97,$A$4:A97,"&lt;&gt;")=1,MAX($AJ$3:AJ96)+1,""))</f>
        <v/>
      </c>
      <c r="AK97" s="14">
        <f>IF(OR(A97="",NOT(ISNUMBER(L97))),"",L97^2)</f>
        <v>70.56</v>
      </c>
      <c r="AL97" s="14">
        <f>IF(OR(A97="",NOT(ISNUMBER(L97))),0,(L97-INDEX('計算'!$AE$7:$AG$7,X97))/INDEX('計算'!$AE$8:$AG$8,X97))</f>
        <v>-0.761023906842273</v>
      </c>
    </row>
    <row r="98">
      <c r="A98" s="8" t="n">
        <v>2325</v>
      </c>
      <c r="B98" s="8" t="n">
        <v>3</v>
      </c>
      <c r="C98" s="9" t="inlineStr">
        <is>
          <t>西村　理沙</t>
        </is>
      </c>
      <c r="D98" s="9" t="inlineStr">
        <is>
          <t>にしむら　りさ</t>
        </is>
      </c>
      <c r="E98" s="8" t="inlineStr">
        <is>
          <t>女</t>
        </is>
      </c>
      <c r="F98" s="8" t="n">
        <v>46</v>
      </c>
      <c r="G98" s="8" t="n">
        <v>53</v>
      </c>
      <c r="H98" s="8" t="n">
        <v>46</v>
      </c>
      <c r="I98" s="8" t="n">
        <v>46</v>
      </c>
      <c r="J98" s="8" t="n">
        <v>51</v>
      </c>
      <c r="K98" s="10">
        <f>IF(COUNT(F98:J98)=0,"",ROUND(AVERAGE(F98:J98),1))</f>
        <v>48.4</v>
      </c>
      <c r="L98" s="11" t="n">
        <v>9.699999999999999</v>
      </c>
      <c r="M98" s="8" t="inlineStr">
        <is>
          <t>×</t>
        </is>
      </c>
      <c r="N98" s="8" t="inlineStr">
        <is>
          <t>〇</t>
        </is>
      </c>
      <c r="O98" s="8" t="n"/>
      <c r="P98" s="8" t="n"/>
      <c r="Q98" s="12" t="inlineStr">
        <is>
          <t>2323 副島　美羽</t>
        </is>
      </c>
      <c r="R98" s="12" t="n"/>
      <c r="S98" s="12" t="n"/>
      <c r="T98" s="9" t="inlineStr">
        <is>
          <t>部活：陸上</t>
        </is>
      </c>
      <c r="U98" s="13">
        <f>IF(A98="","",INDEX('計算'!$Z$2:$Z$151,AF98))</f>
        <v>3</v>
      </c>
      <c r="V98" s="13">
        <f>IF(A98="","",IFERROR(IF(INDEX('②クラス編成'!$E$9:$E$158,MATCH(A98,'②クラス編成'!$D$9:$D$158,0))="","未",INDEX('②クラス編成'!$E$9:$E$158,MATCH(A98,'②クラス編成'!$D$9:$D$158,0))),"未"))</f>
        <v>3</v>
      </c>
      <c r="W98" s="14" t="str">
        <f>IF(A98="","",A98&amp;" "&amp;C98)</f>
        <v>2325 西村　理沙</v>
      </c>
      <c r="X98" s="14">
        <f>IF(A98="","",IF(E98="男",1,IF(E98="女",2,3)))</f>
        <v>2</v>
      </c>
      <c r="Y98" s="14">
        <f>IF(OR(M98="〇",M98="○",M98="◯"),1,0)</f>
        <v>0</v>
      </c>
      <c r="Z98" s="14">
        <f>IF(OR(N98="〇",N98="○",N98="◯"),1,0)</f>
        <v>1</v>
      </c>
      <c r="AA98" s="14">
        <f>IF(OR(O98="〇",O98="○",O98="◯"),1,0)</f>
        <v>0</v>
      </c>
      <c r="AB98" s="14">
        <f>IF(OR(P98="〇",P98="○",P98="◯"),1,0)</f>
        <v>0</v>
      </c>
      <c r="AC98" s="14">
        <f>IF(A98="","",IF(AA98=1,1,IF(Y98=1,2,IF(Z98=1,3,IF(AB98=1,4,5)))))</f>
        <v>3</v>
      </c>
      <c r="AD98" s="14">
        <f>IF(A98="","",IF(K98="",'設定'!$C$37,K98))</f>
        <v>48.4</v>
      </c>
      <c r="AE98" s="14">
        <f>IF(A98="","",AC98*10000000-ROUND(ABS((AD98-'設定'!$C$37)/'設定'!$C$38)*10000,0))</f>
        <v>29989480</v>
      </c>
      <c r="AF98" s="14">
        <f>IF(A98="","",COUNTIF($AE$4:$AE$153,"&lt;"&amp;AE98)+COUNTIFS($AE$4:$AE$153,AE98,$A$4:$A$153,"&lt;"&amp;A98)+1)</f>
        <v>18</v>
      </c>
      <c r="AG98" s="14">
        <f>IF(Q98="","",IFERROR(VALUE(LEFT(Q98,FIND(" ",Q98&amp;" ")-1)),IFERROR(INDEX($A$4:$A$153,MATCH(Q98,$C$4:$C$153,0)),"")))</f>
        <v>2323</v>
      </c>
      <c r="AH98" s="14" t="str">
        <f>IF(R98="","",IFERROR(VALUE(LEFT(R98,FIND(" ",R98&amp;" ")-1)),IFERROR(INDEX($A$4:$A$153,MATCH(R98,$C$4:$C$153,0)),"")))</f>
        <v/>
      </c>
      <c r="AI98" s="14" t="str">
        <f>IF(S98="","",IFERROR(VALUE(LEFT(S98,FIND(" ",S98&amp;" ")-1)),IFERROR(INDEX($A$4:$A$153,MATCH(S98,$C$4:$C$153,0)),"")))</f>
        <v/>
      </c>
      <c r="AJ98" s="14" t="str">
        <f>IF(OR(A98="",B98=""),"",IF(COUNTIFS($B$4:B98,B98,$A$4:A98,"&lt;&gt;")=1,MAX($AJ$3:AJ97)+1,""))</f>
        <v/>
      </c>
      <c r="AK98" s="14">
        <f>IF(OR(A98="",NOT(ISNUMBER(L98))),"",L98^2)</f>
        <v>94.09</v>
      </c>
      <c r="AL98" s="14">
        <f>IF(OR(A98="",NOT(ISNUMBER(L98))),0,(L98-INDEX('計算'!$AE$7:$AG$7,X98))/INDEX('計算'!$AE$8:$AG$8,X98))</f>
        <v>1.36791638951396</v>
      </c>
    </row>
    <row r="99">
      <c r="A99" s="8" t="n">
        <v>2326</v>
      </c>
      <c r="B99" s="8" t="n">
        <v>3</v>
      </c>
      <c r="C99" s="9" t="inlineStr">
        <is>
          <t>野中　理沙</t>
        </is>
      </c>
      <c r="D99" s="9" t="inlineStr">
        <is>
          <t>のなか　りさ</t>
        </is>
      </c>
      <c r="E99" s="8" t="inlineStr">
        <is>
          <t>女</t>
        </is>
      </c>
      <c r="F99" s="8" t="n">
        <v>42</v>
      </c>
      <c r="G99" s="8" t="n">
        <v>50</v>
      </c>
      <c r="H99" s="8" t="n">
        <v>64</v>
      </c>
      <c r="I99" s="8" t="n">
        <v>55</v>
      </c>
      <c r="J99" s="8" t="n">
        <v>55</v>
      </c>
      <c r="K99" s="10">
        <f>IF(COUNT(F99:J99)=0,"",ROUND(AVERAGE(F99:J99),1))</f>
        <v>53.2</v>
      </c>
      <c r="L99" s="11" t="n">
        <v>7.9</v>
      </c>
      <c r="M99" s="8" t="inlineStr">
        <is>
          <t>×</t>
        </is>
      </c>
      <c r="N99" s="8" t="n"/>
      <c r="O99" s="8" t="n"/>
      <c r="P99" s="8" t="n"/>
      <c r="Q99" s="12" t="n"/>
      <c r="R99" s="12" t="n"/>
      <c r="S99" s="12" t="n"/>
      <c r="T99" s="9" t="n"/>
      <c r="U99" s="13">
        <f>IF(A99="","",INDEX('計算'!$Z$2:$Z$151,AF99))</f>
        <v>3</v>
      </c>
      <c r="V99" s="13">
        <f>IF(A99="","",IFERROR(IF(INDEX('②クラス編成'!$E$9:$E$158,MATCH(A99,'②クラス編成'!$D$9:$D$158,0))="","未",INDEX('②クラス編成'!$E$9:$E$158,MATCH(A99,'②クラス編成'!$D$9:$D$158,0))),"未"))</f>
        <v>3</v>
      </c>
      <c r="W99" s="14" t="str">
        <f>IF(A99="","",A99&amp;" "&amp;C99)</f>
        <v>2326 野中　理沙</v>
      </c>
      <c r="X99" s="14">
        <f>IF(A99="","",IF(E99="男",1,IF(E99="女",2,3)))</f>
        <v>2</v>
      </c>
      <c r="Y99" s="14">
        <f>IF(OR(M99="〇",M99="○",M99="◯"),1,0)</f>
        <v>0</v>
      </c>
      <c r="Z99" s="14">
        <f>IF(OR(N99="〇",N99="○",N99="◯"),1,0)</f>
        <v>0</v>
      </c>
      <c r="AA99" s="14">
        <f>IF(OR(O99="〇",O99="○",O99="◯"),1,0)</f>
        <v>0</v>
      </c>
      <c r="AB99" s="14">
        <f>IF(OR(P99="〇",P99="○",P99="◯"),1,0)</f>
        <v>0</v>
      </c>
      <c r="AC99" s="14">
        <f>IF(A99="","",IF(AA99=1,1,IF(Y99=1,2,IF(Z99=1,3,IF(AB99=1,4,5)))))</f>
        <v>5</v>
      </c>
      <c r="AD99" s="14">
        <f>IF(A99="","",IF(K99="",'設定'!$C$37,K99))</f>
        <v>53.2</v>
      </c>
      <c r="AE99" s="14">
        <f>IF(A99="","",AC99*10000000-ROUND(ABS((AD99-'設定'!$C$37)/'設定'!$C$38)*10000,0))</f>
        <v>49993064</v>
      </c>
      <c r="AF99" s="14">
        <f>IF(A99="","",COUNTIF($AE$4:$AE$153,"&lt;"&amp;AE99)+COUNTIFS($AE$4:$AE$153,AE99,$A$4:$A$153,"&lt;"&amp;A99)+1)</f>
        <v>75</v>
      </c>
      <c r="AG99" s="14" t="str">
        <f>IF(Q99="","",IFERROR(VALUE(LEFT(Q99,FIND(" ",Q99&amp;" ")-1)),IFERROR(INDEX($A$4:$A$153,MATCH(Q99,$C$4:$C$153,0)),"")))</f>
        <v/>
      </c>
      <c r="AH99" s="14" t="str">
        <f>IF(R99="","",IFERROR(VALUE(LEFT(R99,FIND(" ",R99&amp;" ")-1)),IFERROR(INDEX($A$4:$A$153,MATCH(R99,$C$4:$C$153,0)),"")))</f>
        <v/>
      </c>
      <c r="AI99" s="14" t="str">
        <f>IF(S99="","",IFERROR(VALUE(LEFT(S99,FIND(" ",S99&amp;" ")-1)),IFERROR(INDEX($A$4:$A$153,MATCH(S99,$C$4:$C$153,0)),"")))</f>
        <v/>
      </c>
      <c r="AJ99" s="14" t="str">
        <f>IF(OR(A99="",B99=""),"",IF(COUNTIFS($B$4:B99,B99,$A$4:A99,"&lt;&gt;")=1,MAX($AJ$3:AJ98)+1,""))</f>
        <v/>
      </c>
      <c r="AK99" s="14">
        <f>IF(OR(A99="",NOT(ISNUMBER(L99))),"",L99^2)</f>
        <v>62.41</v>
      </c>
      <c r="AL99" s="14">
        <f>IF(OR(A99="",NOT(ISNUMBER(L99))),0,(L99-INDEX('計算'!$AE$7:$AG$7,X99))/INDEX('計算'!$AE$8:$AG$8,X99))</f>
        <v>-1.57984709774852</v>
      </c>
    </row>
    <row r="100">
      <c r="A100" s="8" t="n">
        <v>2327</v>
      </c>
      <c r="B100" s="8" t="n">
        <v>3</v>
      </c>
      <c r="C100" s="9" t="inlineStr">
        <is>
          <t>橋本　芽依</t>
        </is>
      </c>
      <c r="D100" s="9" t="inlineStr">
        <is>
          <t>はしもと　めい</t>
        </is>
      </c>
      <c r="E100" s="8" t="inlineStr">
        <is>
          <t>女</t>
        </is>
      </c>
      <c r="F100" s="8" t="n">
        <v>75</v>
      </c>
      <c r="G100" s="8" t="n">
        <v>55</v>
      </c>
      <c r="H100" s="8" t="n">
        <v>63</v>
      </c>
      <c r="I100" s="8" t="n">
        <v>61</v>
      </c>
      <c r="J100" s="8" t="n">
        <v>76</v>
      </c>
      <c r="K100" s="10">
        <f>IF(COUNT(F100:J100)=0,"",ROUND(AVERAGE(F100:J100),1))</f>
        <v>66</v>
      </c>
      <c r="L100" s="11" t="n">
        <v>9</v>
      </c>
      <c r="M100" s="8" t="inlineStr">
        <is>
          <t>〇</t>
        </is>
      </c>
      <c r="N100" s="8" t="n"/>
      <c r="O100" s="8" t="n"/>
      <c r="P100" s="8" t="n"/>
      <c r="Q100" s="12" t="n"/>
      <c r="R100" s="12" t="n"/>
      <c r="S100" s="12" t="n"/>
      <c r="T100" s="9" t="n"/>
      <c r="U100" s="13">
        <f>IF(A100="","",INDEX('計算'!$Z$2:$Z$151,AF100))</f>
        <v>2</v>
      </c>
      <c r="V100" s="13">
        <f>IF(A100="","",IFERROR(IF(INDEX('②クラス編成'!$E$9:$E$158,MATCH(A100,'②クラス編成'!$D$9:$D$158,0))="","未",INDEX('②クラス編成'!$E$9:$E$158,MATCH(A100,'②クラス編成'!$D$9:$D$158,0))),"未"))</f>
        <v>2</v>
      </c>
      <c r="W100" s="14" t="str">
        <f>IF(A100="","",A100&amp;" "&amp;C100)</f>
        <v>2327 橋本　芽依</v>
      </c>
      <c r="X100" s="14">
        <f>IF(A100="","",IF(E100="男",1,IF(E100="女",2,3)))</f>
        <v>2</v>
      </c>
      <c r="Y100" s="14">
        <f>IF(OR(M100="〇",M100="○",M100="◯"),1,0)</f>
        <v>1</v>
      </c>
      <c r="Z100" s="14">
        <f>IF(OR(N100="〇",N100="○",N100="◯"),1,0)</f>
        <v>0</v>
      </c>
      <c r="AA100" s="14">
        <f>IF(OR(O100="〇",O100="○",O100="◯"),1,0)</f>
        <v>0</v>
      </c>
      <c r="AB100" s="14">
        <f>IF(OR(P100="〇",P100="○",P100="◯"),1,0)</f>
        <v>0</v>
      </c>
      <c r="AC100" s="14">
        <f>IF(A100="","",IF(AA100=1,1,IF(Y100=1,2,IF(Z100=1,3,IF(AB100=1,4,5)))))</f>
        <v>2</v>
      </c>
      <c r="AD100" s="14">
        <f>IF(A100="","",IF(K100="",'設定'!$C$37,K100))</f>
        <v>66</v>
      </c>
      <c r="AE100" s="14">
        <f>IF(A100="","",AC100*10000000-ROUND(ABS((AD100-'設定'!$C$37)/'設定'!$C$38)*10000,0))</f>
        <v>19997377</v>
      </c>
      <c r="AF100" s="14">
        <f>IF(A100="","",COUNTIF($AE$4:$AE$153,"&lt;"&amp;AE100)+COUNTIFS($AE$4:$AE$153,AE100,$A$4:$A$153,"&lt;"&amp;A100)+1)</f>
        <v>14</v>
      </c>
      <c r="AG100" s="14" t="str">
        <f>IF(Q100="","",IFERROR(VALUE(LEFT(Q100,FIND(" ",Q100&amp;" ")-1)),IFERROR(INDEX($A$4:$A$153,MATCH(Q100,$C$4:$C$153,0)),"")))</f>
        <v/>
      </c>
      <c r="AH100" s="14" t="str">
        <f>IF(R100="","",IFERROR(VALUE(LEFT(R100,FIND(" ",R100&amp;" ")-1)),IFERROR(INDEX($A$4:$A$153,MATCH(R100,$C$4:$C$153,0)),"")))</f>
        <v/>
      </c>
      <c r="AI100" s="14" t="str">
        <f>IF(S100="","",IFERROR(VALUE(LEFT(S100,FIND(" ",S100&amp;" ")-1)),IFERROR(INDEX($A$4:$A$153,MATCH(S100,$C$4:$C$153,0)),"")))</f>
        <v/>
      </c>
      <c r="AJ100" s="14" t="str">
        <f>IF(OR(A100="",B100=""),"",IF(COUNTIFS($B$4:B100,B100,$A$4:A100,"&lt;&gt;")=1,MAX($AJ$3:AJ99)+1,""))</f>
        <v/>
      </c>
      <c r="AK100" s="14">
        <f>IF(OR(A100="",NOT(ISNUMBER(L100))),"",L100^2)</f>
        <v>81</v>
      </c>
      <c r="AL100" s="14">
        <f>IF(OR(A100="",NOT(ISNUMBER(L100))),0,(L100-INDEX('計算'!$AE$7:$AG$7,X100))/INDEX('計算'!$AE$8:$AG$8,X100))</f>
        <v>0.221563922245218</v>
      </c>
    </row>
    <row r="101">
      <c r="A101" s="8" t="n">
        <v>2328</v>
      </c>
      <c r="B101" s="8" t="n">
        <v>3</v>
      </c>
      <c r="C101" s="9" t="inlineStr">
        <is>
          <t>林　湊</t>
        </is>
      </c>
      <c r="D101" s="9" t="inlineStr">
        <is>
          <t>はやし　みなと</t>
        </is>
      </c>
      <c r="E101" s="8" t="inlineStr">
        <is>
          <t>男</t>
        </is>
      </c>
      <c r="F101" s="8" t="n">
        <v>56</v>
      </c>
      <c r="G101" s="8" t="n">
        <v>77</v>
      </c>
      <c r="H101" s="8" t="n">
        <v>65</v>
      </c>
      <c r="I101" s="8" t="n">
        <v>57</v>
      </c>
      <c r="J101" s="8" t="n">
        <v>59</v>
      </c>
      <c r="K101" s="10">
        <f>IF(COUNT(F101:J101)=0,"",ROUND(AVERAGE(F101:J101),1))</f>
        <v>62.8</v>
      </c>
      <c r="L101" s="11" t="n">
        <v>8.300000000000001</v>
      </c>
      <c r="M101" s="8" t="inlineStr">
        <is>
          <t>×</t>
        </is>
      </c>
      <c r="N101" s="8" t="n"/>
      <c r="O101" s="8" t="n"/>
      <c r="P101" s="8" t="n"/>
      <c r="Q101" s="12" t="n"/>
      <c r="R101" s="12" t="n"/>
      <c r="S101" s="12" t="n"/>
      <c r="T101" s="9" t="n"/>
      <c r="U101" s="13">
        <f>IF(A101="","",INDEX('計算'!$Z$2:$Z$151,AF101))</f>
        <v>1</v>
      </c>
      <c r="V101" s="13">
        <f>IF(A101="","",IFERROR(IF(INDEX('②クラス編成'!$E$9:$E$158,MATCH(A101,'②クラス編成'!$D$9:$D$158,0))="","未",INDEX('②クラス編成'!$E$9:$E$158,MATCH(A101,'②クラス編成'!$D$9:$D$158,0))),"未"))</f>
        <v>1</v>
      </c>
      <c r="W101" s="14" t="str">
        <f>IF(A101="","",A101&amp;" "&amp;C101)</f>
        <v>2328 林　湊</v>
      </c>
      <c r="X101" s="14">
        <f>IF(A101="","",IF(E101="男",1,IF(E101="女",2,3)))</f>
        <v>1</v>
      </c>
      <c r="Y101" s="14">
        <f>IF(OR(M101="〇",M101="○",M101="◯"),1,0)</f>
        <v>0</v>
      </c>
      <c r="Z101" s="14">
        <f>IF(OR(N101="〇",N101="○",N101="◯"),1,0)</f>
        <v>0</v>
      </c>
      <c r="AA101" s="14">
        <f>IF(OR(O101="〇",O101="○",O101="◯"),1,0)</f>
        <v>0</v>
      </c>
      <c r="AB101" s="14">
        <f>IF(OR(P101="〇",P101="○",P101="◯"),1,0)</f>
        <v>0</v>
      </c>
      <c r="AC101" s="14">
        <f>IF(A101="","",IF(AA101=1,1,IF(Y101=1,2,IF(Z101=1,3,IF(AB101=1,4,5)))))</f>
        <v>5</v>
      </c>
      <c r="AD101" s="14">
        <f>IF(A101="","",IF(K101="",'設定'!$C$37,K101))</f>
        <v>62.8</v>
      </c>
      <c r="AE101" s="14">
        <f>IF(A101="","",AC101*10000000-ROUND(ABS((AD101-'設定'!$C$37)/'設定'!$C$38)*10000,0))</f>
        <v>49999767</v>
      </c>
      <c r="AF101" s="14">
        <f>IF(A101="","",COUNTIF($AE$4:$AE$153,"&lt;"&amp;AE101)+COUNTIFS($AE$4:$AE$153,AE101,$A$4:$A$153,"&lt;"&amp;A101)+1)</f>
        <v>103</v>
      </c>
      <c r="AG101" s="14" t="str">
        <f>IF(Q101="","",IFERROR(VALUE(LEFT(Q101,FIND(" ",Q101&amp;" ")-1)),IFERROR(INDEX($A$4:$A$153,MATCH(Q101,$C$4:$C$153,0)),"")))</f>
        <v/>
      </c>
      <c r="AH101" s="14" t="str">
        <f>IF(R101="","",IFERROR(VALUE(LEFT(R101,FIND(" ",R101&amp;" ")-1)),IFERROR(INDEX($A$4:$A$153,MATCH(R101,$C$4:$C$153,0)),"")))</f>
        <v/>
      </c>
      <c r="AI101" s="14" t="str">
        <f>IF(S101="","",IFERROR(VALUE(LEFT(S101,FIND(" ",S101&amp;" ")-1)),IFERROR(INDEX($A$4:$A$153,MATCH(S101,$C$4:$C$153,0)),"")))</f>
        <v/>
      </c>
      <c r="AJ101" s="14" t="str">
        <f>IF(OR(A101="",B101=""),"",IF(COUNTIFS($B$4:B101,B101,$A$4:A101,"&lt;&gt;")=1,MAX($AJ$3:AJ100)+1,""))</f>
        <v/>
      </c>
      <c r="AK101" s="14">
        <f>IF(OR(A101="",NOT(ISNUMBER(L101))),"",L101^2)</f>
        <v>68.89</v>
      </c>
      <c r="AL101" s="14">
        <f>IF(OR(A101="",NOT(ISNUMBER(L101))),0,(L101-INDEX('計算'!$AE$7:$AG$7,X101))/INDEX('計算'!$AE$8:$AG$8,X101))</f>
        <v>1.38660662778237</v>
      </c>
    </row>
    <row r="102">
      <c r="A102" s="8" t="n">
        <v>2329</v>
      </c>
      <c r="B102" s="8" t="n">
        <v>3</v>
      </c>
      <c r="C102" s="9" t="inlineStr">
        <is>
          <t>原田　結菜</t>
        </is>
      </c>
      <c r="D102" s="9" t="inlineStr">
        <is>
          <t>はらだ　ゆな</t>
        </is>
      </c>
      <c r="E102" s="8" t="inlineStr">
        <is>
          <t>女</t>
        </is>
      </c>
      <c r="F102" s="8" t="n">
        <v>67</v>
      </c>
      <c r="G102" s="8" t="n">
        <v>63</v>
      </c>
      <c r="H102" s="8" t="n">
        <v>84</v>
      </c>
      <c r="I102" s="8" t="n">
        <v>61</v>
      </c>
      <c r="J102" s="8" t="n">
        <v>70</v>
      </c>
      <c r="K102" s="10">
        <f>IF(COUNT(F102:J102)=0,"",ROUND(AVERAGE(F102:J102),1))</f>
        <v>69</v>
      </c>
      <c r="L102" s="11" t="n">
        <v>7.9</v>
      </c>
      <c r="M102" s="8" t="inlineStr">
        <is>
          <t>×</t>
        </is>
      </c>
      <c r="N102" s="8" t="n"/>
      <c r="O102" s="8" t="n"/>
      <c r="P102" s="8" t="n"/>
      <c r="Q102" s="12" t="n"/>
      <c r="R102" s="12" t="n"/>
      <c r="S102" s="12" t="n"/>
      <c r="T102" s="9" t="n"/>
      <c r="U102" s="13">
        <f>IF(A102="","",INDEX('計算'!$Z$2:$Z$151,AF102))</f>
        <v>2</v>
      </c>
      <c r="V102" s="13">
        <f>IF(A102="","",IFERROR(IF(INDEX('②クラス編成'!$E$9:$E$158,MATCH(A102,'②クラス編成'!$D$9:$D$158,0))="","未",INDEX('②クラス編成'!$E$9:$E$158,MATCH(A102,'②クラス編成'!$D$9:$D$158,0))),"未"))</f>
        <v>2</v>
      </c>
      <c r="W102" s="14" t="str">
        <f>IF(A102="","",A102&amp;" "&amp;C102)</f>
        <v>2329 原田　結菜</v>
      </c>
      <c r="X102" s="14">
        <f>IF(A102="","",IF(E102="男",1,IF(E102="女",2,3)))</f>
        <v>2</v>
      </c>
      <c r="Y102" s="14">
        <f>IF(OR(M102="〇",M102="○",M102="◯"),1,0)</f>
        <v>0</v>
      </c>
      <c r="Z102" s="14">
        <f>IF(OR(N102="〇",N102="○",N102="◯"),1,0)</f>
        <v>0</v>
      </c>
      <c r="AA102" s="14">
        <f>IF(OR(O102="〇",O102="○",O102="◯"),1,0)</f>
        <v>0</v>
      </c>
      <c r="AB102" s="14">
        <f>IF(OR(P102="〇",P102="○",P102="◯"),1,0)</f>
        <v>0</v>
      </c>
      <c r="AC102" s="14">
        <f>IF(A102="","",IF(AA102=1,1,IF(Y102=1,2,IF(Z102=1,3,IF(AB102=1,4,5)))))</f>
        <v>5</v>
      </c>
      <c r="AD102" s="14">
        <f>IF(A102="","",IF(K102="",'設定'!$C$37,K102))</f>
        <v>69</v>
      </c>
      <c r="AE102" s="14">
        <f>IF(A102="","",AC102*10000000-ROUND(ABS((AD102-'設定'!$C$37)/'設定'!$C$38)*10000,0))</f>
        <v>49995137</v>
      </c>
      <c r="AF102" s="14">
        <f>IF(A102="","",COUNTIF($AE$4:$AE$153,"&lt;"&amp;AE102)+COUNTIFS($AE$4:$AE$153,AE102,$A$4:$A$153,"&lt;"&amp;A102)+1)</f>
        <v>83</v>
      </c>
      <c r="AG102" s="14" t="str">
        <f>IF(Q102="","",IFERROR(VALUE(LEFT(Q102,FIND(" ",Q102&amp;" ")-1)),IFERROR(INDEX($A$4:$A$153,MATCH(Q102,$C$4:$C$153,0)),"")))</f>
        <v/>
      </c>
      <c r="AH102" s="14" t="str">
        <f>IF(R102="","",IFERROR(VALUE(LEFT(R102,FIND(" ",R102&amp;" ")-1)),IFERROR(INDEX($A$4:$A$153,MATCH(R102,$C$4:$C$153,0)),"")))</f>
        <v/>
      </c>
      <c r="AI102" s="14" t="str">
        <f>IF(S102="","",IFERROR(VALUE(LEFT(S102,FIND(" ",S102&amp;" ")-1)),IFERROR(INDEX($A$4:$A$153,MATCH(S102,$C$4:$C$153,0)),"")))</f>
        <v/>
      </c>
      <c r="AJ102" s="14" t="str">
        <f>IF(OR(A102="",B102=""),"",IF(COUNTIFS($B$4:B102,B102,$A$4:A102,"&lt;&gt;")=1,MAX($AJ$3:AJ101)+1,""))</f>
        <v/>
      </c>
      <c r="AK102" s="14">
        <f>IF(OR(A102="",NOT(ISNUMBER(L102))),"",L102^2)</f>
        <v>62.41</v>
      </c>
      <c r="AL102" s="14">
        <f>IF(OR(A102="",NOT(ISNUMBER(L102))),0,(L102-INDEX('計算'!$AE$7:$AG$7,X102))/INDEX('計算'!$AE$8:$AG$8,X102))</f>
        <v>-1.57984709774852</v>
      </c>
    </row>
    <row r="103">
      <c r="A103" s="8" t="n">
        <v>2330</v>
      </c>
      <c r="B103" s="8" t="n">
        <v>3</v>
      </c>
      <c r="C103" s="9" t="inlineStr">
        <is>
          <t>三浦　健太</t>
        </is>
      </c>
      <c r="D103" s="9" t="inlineStr">
        <is>
          <t>みうら　けんた</t>
        </is>
      </c>
      <c r="E103" s="8" t="inlineStr">
        <is>
          <t>男</t>
        </is>
      </c>
      <c r="F103" s="8" t="n">
        <v>74</v>
      </c>
      <c r="G103" s="8" t="n">
        <v>75</v>
      </c>
      <c r="H103" s="8" t="n">
        <v>78</v>
      </c>
      <c r="I103" s="8" t="n">
        <v>80</v>
      </c>
      <c r="J103" s="8" t="n">
        <v>79</v>
      </c>
      <c r="K103" s="10">
        <f>IF(COUNT(F103:J103)=0,"",ROUND(AVERAGE(F103:J103),1))</f>
        <v>77.2</v>
      </c>
      <c r="L103" s="11" t="n">
        <v>7.3</v>
      </c>
      <c r="M103" s="8" t="inlineStr">
        <is>
          <t>×</t>
        </is>
      </c>
      <c r="N103" s="8" t="n"/>
      <c r="O103" s="8" t="n"/>
      <c r="P103" s="8" t="n"/>
      <c r="Q103" s="12" t="n"/>
      <c r="R103" s="12" t="n"/>
      <c r="S103" s="12" t="n"/>
      <c r="T103" s="9" t="n"/>
      <c r="U103" s="13">
        <f>IF(A103="","",INDEX('計算'!$Z$2:$Z$151,AF103))</f>
        <v>2</v>
      </c>
      <c r="V103" s="13">
        <f>IF(A103="","",IFERROR(IF(INDEX('②クラス編成'!$E$9:$E$158,MATCH(A103,'②クラス編成'!$D$9:$D$158,0))="","未",INDEX('②クラス編成'!$E$9:$E$158,MATCH(A103,'②クラス編成'!$D$9:$D$158,0))),"未"))</f>
        <v>2</v>
      </c>
      <c r="W103" s="14" t="str">
        <f>IF(A103="","",A103&amp;" "&amp;C103)</f>
        <v>2330 三浦　健太</v>
      </c>
      <c r="X103" s="14">
        <f>IF(A103="","",IF(E103="男",1,IF(E103="女",2,3)))</f>
        <v>1</v>
      </c>
      <c r="Y103" s="14">
        <f>IF(OR(M103="〇",M103="○",M103="◯"),1,0)</f>
        <v>0</v>
      </c>
      <c r="Z103" s="14">
        <f>IF(OR(N103="〇",N103="○",N103="◯"),1,0)</f>
        <v>0</v>
      </c>
      <c r="AA103" s="14">
        <f>IF(OR(O103="〇",O103="○",O103="◯"),1,0)</f>
        <v>0</v>
      </c>
      <c r="AB103" s="14">
        <f>IF(OR(P103="〇",P103="○",P103="◯"),1,0)</f>
        <v>0</v>
      </c>
      <c r="AC103" s="14">
        <f>IF(A103="","",IF(AA103=1,1,IF(Y103=1,2,IF(Z103=1,3,IF(AB103=1,4,5)))))</f>
        <v>5</v>
      </c>
      <c r="AD103" s="14">
        <f>IF(A103="","",IF(K103="",'設定'!$C$37,K103))</f>
        <v>77.2</v>
      </c>
      <c r="AE103" s="14">
        <f>IF(A103="","",AC103*10000000-ROUND(ABS((AD103-'設定'!$C$37)/'設定'!$C$38)*10000,0))</f>
        <v>49989013</v>
      </c>
      <c r="AF103" s="14">
        <f>IF(A103="","",COUNTIF($AE$4:$AE$153,"&lt;"&amp;AE103)+COUNTIFS($AE$4:$AE$153,AE103,$A$4:$A$153,"&lt;"&amp;A103)+1)</f>
        <v>49</v>
      </c>
      <c r="AG103" s="14" t="str">
        <f>IF(Q103="","",IFERROR(VALUE(LEFT(Q103,FIND(" ",Q103&amp;" ")-1)),IFERROR(INDEX($A$4:$A$153,MATCH(Q103,$C$4:$C$153,0)),"")))</f>
        <v/>
      </c>
      <c r="AH103" s="14" t="str">
        <f>IF(R103="","",IFERROR(VALUE(LEFT(R103,FIND(" ",R103&amp;" ")-1)),IFERROR(INDEX($A$4:$A$153,MATCH(R103,$C$4:$C$153,0)),"")))</f>
        <v/>
      </c>
      <c r="AI103" s="14" t="str">
        <f>IF(S103="","",IFERROR(VALUE(LEFT(S103,FIND(" ",S103&amp;" ")-1)),IFERROR(INDEX($A$4:$A$153,MATCH(S103,$C$4:$C$153,0)),"")))</f>
        <v/>
      </c>
      <c r="AJ103" s="14" t="str">
        <f>IF(OR(A103="",B103=""),"",IF(COUNTIFS($B$4:B103,B103,$A$4:A103,"&lt;&gt;")=1,MAX($AJ$3:AJ102)+1,""))</f>
        <v/>
      </c>
      <c r="AK103" s="14">
        <f>IF(OR(A103="",NOT(ISNUMBER(L103))),"",L103^2)</f>
        <v>53.29</v>
      </c>
      <c r="AL103" s="14">
        <f>IF(OR(A103="",NOT(ISNUMBER(L103))),0,(L103-INDEX('計算'!$AE$7:$AG$7,X103))/INDEX('計算'!$AE$8:$AG$8,X103))</f>
        <v>-0.889282670097504</v>
      </c>
    </row>
    <row r="104">
      <c r="A104" s="8" t="n">
        <v>2331</v>
      </c>
      <c r="B104" s="8" t="n">
        <v>3</v>
      </c>
      <c r="C104" s="9" t="inlineStr">
        <is>
          <t>森　湊</t>
        </is>
      </c>
      <c r="D104" s="9" t="inlineStr">
        <is>
          <t>もり　みなと</t>
        </is>
      </c>
      <c r="E104" s="8" t="inlineStr">
        <is>
          <t>男</t>
        </is>
      </c>
      <c r="F104" s="8" t="n">
        <v>83</v>
      </c>
      <c r="G104" s="8" t="n">
        <v>80</v>
      </c>
      <c r="H104" s="8" t="n">
        <v>92</v>
      </c>
      <c r="I104" s="8" t="n">
        <v>74</v>
      </c>
      <c r="J104" s="8" t="n">
        <v>71</v>
      </c>
      <c r="K104" s="10">
        <f>IF(COUNT(F104:J104)=0,"",ROUND(AVERAGE(F104:J104),1))</f>
        <v>80</v>
      </c>
      <c r="L104" s="11" t="n">
        <v>8.300000000000001</v>
      </c>
      <c r="M104" s="8" t="inlineStr">
        <is>
          <t>×</t>
        </is>
      </c>
      <c r="N104" s="8" t="n"/>
      <c r="O104" s="8" t="n"/>
      <c r="P104" s="8" t="n"/>
      <c r="Q104" s="12" t="n"/>
      <c r="R104" s="12" t="n"/>
      <c r="S104" s="12" t="n"/>
      <c r="T104" s="9" t="n"/>
      <c r="U104" s="13">
        <f>IF(A104="","",INDEX('計算'!$Z$2:$Z$151,AF104))</f>
        <v>1</v>
      </c>
      <c r="V104" s="13">
        <f>IF(A104="","",IFERROR(IF(INDEX('②クラス編成'!$E$9:$E$158,MATCH(A104,'②クラス編成'!$D$9:$D$158,0))="","未",INDEX('②クラス編成'!$E$9:$E$158,MATCH(A104,'②クラス編成'!$D$9:$D$158,0))),"未"))</f>
        <v>1</v>
      </c>
      <c r="W104" s="14" t="str">
        <f>IF(A104="","",A104&amp;" "&amp;C104)</f>
        <v>2331 森　湊</v>
      </c>
      <c r="X104" s="14">
        <f>IF(A104="","",IF(E104="男",1,IF(E104="女",2,3)))</f>
        <v>1</v>
      </c>
      <c r="Y104" s="14">
        <f>IF(OR(M104="〇",M104="○",M104="◯"),1,0)</f>
        <v>0</v>
      </c>
      <c r="Z104" s="14">
        <f>IF(OR(N104="〇",N104="○",N104="◯"),1,0)</f>
        <v>0</v>
      </c>
      <c r="AA104" s="14">
        <f>IF(OR(O104="〇",O104="○",O104="◯"),1,0)</f>
        <v>0</v>
      </c>
      <c r="AB104" s="14">
        <f>IF(OR(P104="〇",P104="○",P104="◯"),1,0)</f>
        <v>0</v>
      </c>
      <c r="AC104" s="14">
        <f>IF(A104="","",IF(AA104=1,1,IF(Y104=1,2,IF(Z104=1,3,IF(AB104=1,4,5)))))</f>
        <v>5</v>
      </c>
      <c r="AD104" s="14">
        <f>IF(A104="","",IF(K104="",'設定'!$C$37,K104))</f>
        <v>80</v>
      </c>
      <c r="AE104" s="14">
        <f>IF(A104="","",AC104*10000000-ROUND(ABS((AD104-'設定'!$C$37)/'設定'!$C$38)*10000,0))</f>
        <v>49986922</v>
      </c>
      <c r="AF104" s="14">
        <f>IF(A104="","",COUNTIF($AE$4:$AE$153,"&lt;"&amp;AE104)+COUNTIFS($AE$4:$AE$153,AE104,$A$4:$A$153,"&lt;"&amp;A104)+1)</f>
        <v>40</v>
      </c>
      <c r="AG104" s="14" t="str">
        <f>IF(Q104="","",IFERROR(VALUE(LEFT(Q104,FIND(" ",Q104&amp;" ")-1)),IFERROR(INDEX($A$4:$A$153,MATCH(Q104,$C$4:$C$153,0)),"")))</f>
        <v/>
      </c>
      <c r="AH104" s="14" t="str">
        <f>IF(R104="","",IFERROR(VALUE(LEFT(R104,FIND(" ",R104&amp;" ")-1)),IFERROR(INDEX($A$4:$A$153,MATCH(R104,$C$4:$C$153,0)),"")))</f>
        <v/>
      </c>
      <c r="AI104" s="14" t="str">
        <f>IF(S104="","",IFERROR(VALUE(LEFT(S104,FIND(" ",S104&amp;" ")-1)),IFERROR(INDEX($A$4:$A$153,MATCH(S104,$C$4:$C$153,0)),"")))</f>
        <v/>
      </c>
      <c r="AJ104" s="14" t="str">
        <f>IF(OR(A104="",B104=""),"",IF(COUNTIFS($B$4:B104,B104,$A$4:A104,"&lt;&gt;")=1,MAX($AJ$3:AJ103)+1,""))</f>
        <v/>
      </c>
      <c r="AK104" s="14">
        <f>IF(OR(A104="",NOT(ISNUMBER(L104))),"",L104^2)</f>
        <v>68.89</v>
      </c>
      <c r="AL104" s="14">
        <f>IF(OR(A104="",NOT(ISNUMBER(L104))),0,(L104-INDEX('計算'!$AE$7:$AG$7,X104))/INDEX('計算'!$AE$8:$AG$8,X104))</f>
        <v>1.38660662778237</v>
      </c>
    </row>
    <row r="105">
      <c r="A105" s="8" t="n">
        <v>2332</v>
      </c>
      <c r="B105" s="8" t="n">
        <v>3</v>
      </c>
      <c r="C105" s="9" t="inlineStr">
        <is>
          <t>山崎　優奈</t>
        </is>
      </c>
      <c r="D105" s="9" t="inlineStr">
        <is>
          <t>やまざき　ゆうな</t>
        </is>
      </c>
      <c r="E105" s="8" t="inlineStr">
        <is>
          <t>女</t>
        </is>
      </c>
      <c r="F105" s="8" t="n">
        <v>64</v>
      </c>
      <c r="G105" s="8" t="n">
        <v>64</v>
      </c>
      <c r="H105" s="8" t="n">
        <v>61</v>
      </c>
      <c r="I105" s="8" t="n">
        <v>62</v>
      </c>
      <c r="J105" s="8" t="n">
        <v>69</v>
      </c>
      <c r="K105" s="10">
        <f>IF(COUNT(F105:J105)=0,"",ROUND(AVERAGE(F105:J105),1))</f>
        <v>64</v>
      </c>
      <c r="L105" s="11" t="n">
        <v>8.4</v>
      </c>
      <c r="M105" s="8" t="inlineStr">
        <is>
          <t>×</t>
        </is>
      </c>
      <c r="N105" s="8" t="n"/>
      <c r="O105" s="8" t="n"/>
      <c r="P105" s="8" t="n"/>
      <c r="Q105" s="12" t="n"/>
      <c r="R105" s="12" t="n"/>
      <c r="S105" s="12" t="n"/>
      <c r="T105" s="9" t="n"/>
      <c r="U105" s="13">
        <f>IF(A105="","",INDEX('計算'!$Z$2:$Z$151,AF105))</f>
        <v>3</v>
      </c>
      <c r="V105" s="13">
        <f>IF(A105="","",IFERROR(IF(INDEX('②クラス編成'!$E$9:$E$158,MATCH(A105,'②クラス編成'!$D$9:$D$158,0))="","未",INDEX('②クラス編成'!$E$9:$E$158,MATCH(A105,'②クラス編成'!$D$9:$D$158,0))),"未"))</f>
        <v>3</v>
      </c>
      <c r="W105" s="14" t="str">
        <f>IF(A105="","",A105&amp;" "&amp;C105)</f>
        <v>2332 山崎　優奈</v>
      </c>
      <c r="X105" s="14">
        <f>IF(A105="","",IF(E105="男",1,IF(E105="女",2,3)))</f>
        <v>2</v>
      </c>
      <c r="Y105" s="14">
        <f>IF(OR(M105="〇",M105="○",M105="◯"),1,0)</f>
        <v>0</v>
      </c>
      <c r="Z105" s="14">
        <f>IF(OR(N105="〇",N105="○",N105="◯"),1,0)</f>
        <v>0</v>
      </c>
      <c r="AA105" s="14">
        <f>IF(OR(O105="〇",O105="○",O105="◯"),1,0)</f>
        <v>0</v>
      </c>
      <c r="AB105" s="14">
        <f>IF(OR(P105="〇",P105="○",P105="◯"),1,0)</f>
        <v>0</v>
      </c>
      <c r="AC105" s="14">
        <f>IF(A105="","",IF(AA105=1,1,IF(Y105=1,2,IF(Z105=1,3,IF(AB105=1,4,5)))))</f>
        <v>5</v>
      </c>
      <c r="AD105" s="14">
        <f>IF(A105="","",IF(K105="",'設定'!$C$37,K105))</f>
        <v>64</v>
      </c>
      <c r="AE105" s="14">
        <f>IF(A105="","",AC105*10000000-ROUND(ABS((AD105-'設定'!$C$37)/'設定'!$C$38)*10000,0))</f>
        <v>49998871</v>
      </c>
      <c r="AF105" s="14">
        <f>IF(A105="","",COUNTIF($AE$4:$AE$153,"&lt;"&amp;AE105)+COUNTIFS($AE$4:$AE$153,AE105,$A$4:$A$153,"&lt;"&amp;A105)+1)</f>
        <v>97</v>
      </c>
      <c r="AG105" s="14" t="str">
        <f>IF(Q105="","",IFERROR(VALUE(LEFT(Q105,FIND(" ",Q105&amp;" ")-1)),IFERROR(INDEX($A$4:$A$153,MATCH(Q105,$C$4:$C$153,0)),"")))</f>
        <v/>
      </c>
      <c r="AH105" s="14" t="str">
        <f>IF(R105="","",IFERROR(VALUE(LEFT(R105,FIND(" ",R105&amp;" ")-1)),IFERROR(INDEX($A$4:$A$153,MATCH(R105,$C$4:$C$153,0)),"")))</f>
        <v/>
      </c>
      <c r="AI105" s="14" t="str">
        <f>IF(S105="","",IFERROR(VALUE(LEFT(S105,FIND(" ",S105&amp;" ")-1)),IFERROR(INDEX($A$4:$A$153,MATCH(S105,$C$4:$C$153,0)),"")))</f>
        <v/>
      </c>
      <c r="AJ105" s="14" t="str">
        <f>IF(OR(A105="",B105=""),"",IF(COUNTIFS($B$4:B105,B105,$A$4:A105,"&lt;&gt;")=1,MAX($AJ$3:AJ104)+1,""))</f>
        <v/>
      </c>
      <c r="AK105" s="14">
        <f>IF(OR(A105="",NOT(ISNUMBER(L105))),"",L105^2)</f>
        <v>70.56</v>
      </c>
      <c r="AL105" s="14">
        <f>IF(OR(A105="",NOT(ISNUMBER(L105))),0,(L105-INDEX('計算'!$AE$7:$AG$7,X105))/INDEX('計算'!$AE$8:$AG$8,X105))</f>
        <v>-0.761023906842273</v>
      </c>
    </row>
    <row r="106">
      <c r="A106" s="8" t="n">
        <v>2333</v>
      </c>
      <c r="B106" s="8" t="n">
        <v>3</v>
      </c>
      <c r="C106" s="9" t="inlineStr">
        <is>
          <t>山下　沙耶</t>
        </is>
      </c>
      <c r="D106" s="9" t="inlineStr">
        <is>
          <t>やました　さや</t>
        </is>
      </c>
      <c r="E106" s="8" t="inlineStr">
        <is>
          <t>女</t>
        </is>
      </c>
      <c r="F106" s="8" t="n">
        <v>57</v>
      </c>
      <c r="G106" s="8" t="n">
        <v>68</v>
      </c>
      <c r="H106" s="8" t="n">
        <v>57</v>
      </c>
      <c r="I106" s="8" t="n">
        <v>70</v>
      </c>
      <c r="J106" s="8" t="n">
        <v>74</v>
      </c>
      <c r="K106" s="10">
        <f>IF(COUNT(F106:J106)=0,"",ROUND(AVERAGE(F106:J106),1))</f>
        <v>65.2</v>
      </c>
      <c r="L106" s="11" t="n">
        <v>9.6</v>
      </c>
      <c r="M106" s="8" t="inlineStr">
        <is>
          <t>×</t>
        </is>
      </c>
      <c r="N106" s="8" t="n"/>
      <c r="O106" s="8" t="n"/>
      <c r="P106" s="8" t="n"/>
      <c r="Q106" s="12" t="n"/>
      <c r="R106" s="12" t="n"/>
      <c r="S106" s="12" t="n"/>
      <c r="T106" s="9" t="inlineStr">
        <is>
          <t>学級委員の経験あり</t>
        </is>
      </c>
      <c r="U106" s="13">
        <f>IF(A106="","",INDEX('計算'!$Z$2:$Z$151,AF106))</f>
        <v>1</v>
      </c>
      <c r="V106" s="13">
        <f>IF(A106="","",IFERROR(IF(INDEX('②クラス編成'!$E$9:$E$158,MATCH(A106,'②クラス編成'!$D$9:$D$158,0))="","未",INDEX('②クラス編成'!$E$9:$E$158,MATCH(A106,'②クラス編成'!$D$9:$D$158,0))),"未"))</f>
        <v>1</v>
      </c>
      <c r="W106" s="14" t="str">
        <f>IF(A106="","",A106&amp;" "&amp;C106)</f>
        <v>2333 山下　沙耶</v>
      </c>
      <c r="X106" s="14">
        <f>IF(A106="","",IF(E106="男",1,IF(E106="女",2,3)))</f>
        <v>2</v>
      </c>
      <c r="Y106" s="14">
        <f>IF(OR(M106="〇",M106="○",M106="◯"),1,0)</f>
        <v>0</v>
      </c>
      <c r="Z106" s="14">
        <f>IF(OR(N106="〇",N106="○",N106="◯"),1,0)</f>
        <v>0</v>
      </c>
      <c r="AA106" s="14">
        <f>IF(OR(O106="〇",O106="○",O106="◯"),1,0)</f>
        <v>0</v>
      </c>
      <c r="AB106" s="14">
        <f>IF(OR(P106="〇",P106="○",P106="◯"),1,0)</f>
        <v>0</v>
      </c>
      <c r="AC106" s="14">
        <f>IF(A106="","",IF(AA106=1,1,IF(Y106=1,2,IF(Z106=1,3,IF(AB106=1,4,5)))))</f>
        <v>5</v>
      </c>
      <c r="AD106" s="14">
        <f>IF(A106="","",IF(K106="",'設定'!$C$37,K106))</f>
        <v>65.2</v>
      </c>
      <c r="AE106" s="14">
        <f>IF(A106="","",AC106*10000000-ROUND(ABS((AD106-'設定'!$C$37)/'設定'!$C$38)*10000,0))</f>
        <v>49997974</v>
      </c>
      <c r="AF106" s="14">
        <f>IF(A106="","",COUNTIF($AE$4:$AE$153,"&lt;"&amp;AE106)+COUNTIFS($AE$4:$AE$153,AE106,$A$4:$A$153,"&lt;"&amp;A106)+1)</f>
        <v>94</v>
      </c>
      <c r="AG106" s="14" t="str">
        <f>IF(Q106="","",IFERROR(VALUE(LEFT(Q106,FIND(" ",Q106&amp;" ")-1)),IFERROR(INDEX($A$4:$A$153,MATCH(Q106,$C$4:$C$153,0)),"")))</f>
        <v/>
      </c>
      <c r="AH106" s="14" t="str">
        <f>IF(R106="","",IFERROR(VALUE(LEFT(R106,FIND(" ",R106&amp;" ")-1)),IFERROR(INDEX($A$4:$A$153,MATCH(R106,$C$4:$C$153,0)),"")))</f>
        <v/>
      </c>
      <c r="AI106" s="14" t="str">
        <f>IF(S106="","",IFERROR(VALUE(LEFT(S106,FIND(" ",S106&amp;" ")-1)),IFERROR(INDEX($A$4:$A$153,MATCH(S106,$C$4:$C$153,0)),"")))</f>
        <v/>
      </c>
      <c r="AJ106" s="14" t="str">
        <f>IF(OR(A106="",B106=""),"",IF(COUNTIFS($B$4:B106,B106,$A$4:A106,"&lt;&gt;")=1,MAX($AJ$3:AJ105)+1,""))</f>
        <v/>
      </c>
      <c r="AK106" s="14">
        <f>IF(OR(A106="",NOT(ISNUMBER(L106))),"",L106^2)</f>
        <v>92.16</v>
      </c>
      <c r="AL106" s="14">
        <f>IF(OR(A106="",NOT(ISNUMBER(L106))),0,(L106-INDEX('計算'!$AE$7:$AG$7,X106))/INDEX('計算'!$AE$8:$AG$8,X106))</f>
        <v>1.20415175133271</v>
      </c>
    </row>
    <row r="107">
      <c r="A107" s="8" t="n">
        <v>2334</v>
      </c>
      <c r="B107" s="8" t="n">
        <v>3</v>
      </c>
      <c r="C107" s="9" t="inlineStr">
        <is>
          <t>渡辺　拓海</t>
        </is>
      </c>
      <c r="D107" s="9" t="inlineStr">
        <is>
          <t>わたなべ　たくみ</t>
        </is>
      </c>
      <c r="E107" s="8" t="inlineStr">
        <is>
          <t>男</t>
        </is>
      </c>
      <c r="F107" s="8" t="n">
        <v>68</v>
      </c>
      <c r="G107" s="8" t="n">
        <v>56</v>
      </c>
      <c r="H107" s="8" t="n">
        <v>61</v>
      </c>
      <c r="I107" s="8" t="n">
        <v>71</v>
      </c>
      <c r="J107" s="8" t="n">
        <v>62</v>
      </c>
      <c r="K107" s="10">
        <f>IF(COUNT(F107:J107)=0,"",ROUND(AVERAGE(F107:J107),1))</f>
        <v>63.6</v>
      </c>
      <c r="L107" s="11" t="n">
        <v>7.7</v>
      </c>
      <c r="M107" s="8" t="inlineStr">
        <is>
          <t>×</t>
        </is>
      </c>
      <c r="N107" s="8" t="n"/>
      <c r="O107" s="8" t="inlineStr">
        <is>
          <t>〇</t>
        </is>
      </c>
      <c r="P107" s="8" t="n"/>
      <c r="Q107" s="12" t="n"/>
      <c r="R107" s="12" t="n"/>
      <c r="S107" s="12" t="n"/>
      <c r="T107" s="9" t="n"/>
      <c r="U107" s="13">
        <f>IF(A107="","",INDEX('計算'!$Z$2:$Z$151,AF107))</f>
        <v>1</v>
      </c>
      <c r="V107" s="13">
        <f>IF(A107="","",IFERROR(IF(INDEX('②クラス編成'!$E$9:$E$158,MATCH(A107,'②クラス編成'!$D$9:$D$158,0))="","未",INDEX('②クラス編成'!$E$9:$E$158,MATCH(A107,'②クラス編成'!$D$9:$D$158,0))),"未"))</f>
        <v>1</v>
      </c>
      <c r="W107" s="14" t="str">
        <f>IF(A107="","",A107&amp;" "&amp;C107)</f>
        <v>2334 渡辺　拓海</v>
      </c>
      <c r="X107" s="14">
        <f>IF(A107="","",IF(E107="男",1,IF(E107="女",2,3)))</f>
        <v>1</v>
      </c>
      <c r="Y107" s="14">
        <f>IF(OR(M107="〇",M107="○",M107="◯"),1,0)</f>
        <v>0</v>
      </c>
      <c r="Z107" s="14">
        <f>IF(OR(N107="〇",N107="○",N107="◯"),1,0)</f>
        <v>0</v>
      </c>
      <c r="AA107" s="14">
        <f>IF(OR(O107="〇",O107="○",O107="◯"),1,0)</f>
        <v>1</v>
      </c>
      <c r="AB107" s="14">
        <f>IF(OR(P107="〇",P107="○",P107="◯"),1,0)</f>
        <v>0</v>
      </c>
      <c r="AC107" s="14">
        <f>IF(A107="","",IF(AA107=1,1,IF(Y107=1,2,IF(Z107=1,3,IF(AB107=1,4,5)))))</f>
        <v>1</v>
      </c>
      <c r="AD107" s="14">
        <f>IF(A107="","",IF(K107="",'設定'!$C$37,K107))</f>
        <v>63.6</v>
      </c>
      <c r="AE107" s="14">
        <f>IF(A107="","",AC107*10000000-ROUND(ABS((AD107-'設定'!$C$37)/'設定'!$C$38)*10000,0))</f>
        <v>9999169</v>
      </c>
      <c r="AF107" s="14">
        <f>IF(A107="","",COUNTIF($AE$4:$AE$153,"&lt;"&amp;AE107)+COUNTIFS($AE$4:$AE$153,AE107,$A$4:$A$153,"&lt;"&amp;A107)+1)</f>
        <v>7</v>
      </c>
      <c r="AG107" s="14" t="str">
        <f>IF(Q107="","",IFERROR(VALUE(LEFT(Q107,FIND(" ",Q107&amp;" ")-1)),IFERROR(INDEX($A$4:$A$153,MATCH(Q107,$C$4:$C$153,0)),"")))</f>
        <v/>
      </c>
      <c r="AH107" s="14" t="str">
        <f>IF(R107="","",IFERROR(VALUE(LEFT(R107,FIND(" ",R107&amp;" ")-1)),IFERROR(INDEX($A$4:$A$153,MATCH(R107,$C$4:$C$153,0)),"")))</f>
        <v/>
      </c>
      <c r="AI107" s="14" t="str">
        <f>IF(S107="","",IFERROR(VALUE(LEFT(S107,FIND(" ",S107&amp;" ")-1)),IFERROR(INDEX($A$4:$A$153,MATCH(S107,$C$4:$C$153,0)),"")))</f>
        <v/>
      </c>
      <c r="AJ107" s="14" t="str">
        <f>IF(OR(A107="",B107=""),"",IF(COUNTIFS($B$4:B107,B107,$A$4:A107,"&lt;&gt;")=1,MAX($AJ$3:AJ106)+1,""))</f>
        <v/>
      </c>
      <c r="AK107" s="14">
        <f>IF(OR(A107="",NOT(ISNUMBER(L107))),"",L107^2)</f>
        <v>59.29</v>
      </c>
      <c r="AL107" s="14">
        <f>IF(OR(A107="",NOT(ISNUMBER(L107))),0,(L107-INDEX('計算'!$AE$7:$AG$7,X107))/INDEX('計算'!$AE$8:$AG$8,X107))</f>
        <v>0.0210730490544438</v>
      </c>
    </row>
    <row r="108">
      <c r="A108" s="8" t="n">
        <v>2335</v>
      </c>
      <c r="B108" s="8" t="n">
        <v>3</v>
      </c>
      <c r="C108" s="9" t="inlineStr">
        <is>
          <t>和田　航</t>
        </is>
      </c>
      <c r="D108" s="9" t="inlineStr">
        <is>
          <t>わだ　わたる</t>
        </is>
      </c>
      <c r="E108" s="8" t="inlineStr">
        <is>
          <t>男</t>
        </is>
      </c>
      <c r="F108" s="8" t="n">
        <v>83</v>
      </c>
      <c r="G108" s="8" t="n">
        <v>76</v>
      </c>
      <c r="H108" s="8" t="n">
        <v>78</v>
      </c>
      <c r="I108" s="8" t="n">
        <v>79</v>
      </c>
      <c r="J108" s="8" t="n">
        <v>67</v>
      </c>
      <c r="K108" s="10">
        <f>IF(COUNT(F108:J108)=0,"",ROUND(AVERAGE(F108:J108),1))</f>
        <v>76.6</v>
      </c>
      <c r="L108" s="11" t="n">
        <v>7.7</v>
      </c>
      <c r="M108" s="8" t="inlineStr">
        <is>
          <t>×</t>
        </is>
      </c>
      <c r="N108" s="8" t="n"/>
      <c r="O108" s="8" t="n"/>
      <c r="P108" s="8" t="n"/>
      <c r="Q108" s="12" t="n"/>
      <c r="R108" s="12" t="n"/>
      <c r="S108" s="12" t="n"/>
      <c r="T108" s="9" t="n"/>
      <c r="U108" s="13">
        <f>IF(A108="","",INDEX('計算'!$Z$2:$Z$151,AF108))</f>
        <v>3</v>
      </c>
      <c r="V108" s="13">
        <f>IF(A108="","",IFERROR(IF(INDEX('②クラス編成'!$E$9:$E$158,MATCH(A108,'②クラス編成'!$D$9:$D$158,0))="","未",INDEX('②クラス編成'!$E$9:$E$158,MATCH(A108,'②クラス編成'!$D$9:$D$158,0))),"未"))</f>
        <v>3</v>
      </c>
      <c r="W108" s="14" t="str">
        <f>IF(A108="","",A108&amp;" "&amp;C108)</f>
        <v>2335 和田　航</v>
      </c>
      <c r="X108" s="14">
        <f>IF(A108="","",IF(E108="男",1,IF(E108="女",2,3)))</f>
        <v>1</v>
      </c>
      <c r="Y108" s="14">
        <f>IF(OR(M108="〇",M108="○",M108="◯"),1,0)</f>
        <v>0</v>
      </c>
      <c r="Z108" s="14">
        <f>IF(OR(N108="〇",N108="○",N108="◯"),1,0)</f>
        <v>0</v>
      </c>
      <c r="AA108" s="14">
        <f>IF(OR(O108="〇",O108="○",O108="◯"),1,0)</f>
        <v>0</v>
      </c>
      <c r="AB108" s="14">
        <f>IF(OR(P108="〇",P108="○",P108="◯"),1,0)</f>
        <v>0</v>
      </c>
      <c r="AC108" s="14">
        <f>IF(A108="","",IF(AA108=1,1,IF(Y108=1,2,IF(Z108=1,3,IF(AB108=1,4,5)))))</f>
        <v>5</v>
      </c>
      <c r="AD108" s="14">
        <f>IF(A108="","",IF(K108="",'設定'!$C$37,K108))</f>
        <v>76.6</v>
      </c>
      <c r="AE108" s="14">
        <f>IF(A108="","",AC108*10000000-ROUND(ABS((AD108-'設定'!$C$37)/'設定'!$C$38)*10000,0))</f>
        <v>49989461</v>
      </c>
      <c r="AF108" s="14">
        <f>IF(A108="","",COUNTIF($AE$4:$AE$153,"&lt;"&amp;AE108)+COUNTIFS($AE$4:$AE$153,AE108,$A$4:$A$153,"&lt;"&amp;A108)+1)</f>
        <v>55</v>
      </c>
      <c r="AG108" s="14" t="str">
        <f>IF(Q108="","",IFERROR(VALUE(LEFT(Q108,FIND(" ",Q108&amp;" ")-1)),IFERROR(INDEX($A$4:$A$153,MATCH(Q108,$C$4:$C$153,0)),"")))</f>
        <v/>
      </c>
      <c r="AH108" s="14" t="str">
        <f>IF(R108="","",IFERROR(VALUE(LEFT(R108,FIND(" ",R108&amp;" ")-1)),IFERROR(INDEX($A$4:$A$153,MATCH(R108,$C$4:$C$153,0)),"")))</f>
        <v/>
      </c>
      <c r="AI108" s="14" t="str">
        <f>IF(S108="","",IFERROR(VALUE(LEFT(S108,FIND(" ",S108&amp;" ")-1)),IFERROR(INDEX($A$4:$A$153,MATCH(S108,$C$4:$C$153,0)),"")))</f>
        <v/>
      </c>
      <c r="AJ108" s="14" t="str">
        <f>IF(OR(A108="",B108=""),"",IF(COUNTIFS($B$4:B108,B108,$A$4:A108,"&lt;&gt;")=1,MAX($AJ$3:AJ107)+1,""))</f>
        <v/>
      </c>
      <c r="AK108" s="14">
        <f>IF(OR(A108="",NOT(ISNUMBER(L108))),"",L108^2)</f>
        <v>59.29</v>
      </c>
      <c r="AL108" s="14">
        <f>IF(OR(A108="",NOT(ISNUMBER(L108))),0,(L108-INDEX('計算'!$AE$7:$AG$7,X108))/INDEX('計算'!$AE$8:$AG$8,X108))</f>
        <v>0.0210730490544438</v>
      </c>
    </row>
    <row r="109">
      <c r="A109" s="8" t="n"/>
      <c r="B109" s="8" t="n"/>
      <c r="C109" s="9" t="n"/>
      <c r="D109" s="9" t="n"/>
      <c r="E109" s="8" t="n"/>
      <c r="F109" s="8" t="n"/>
      <c r="G109" s="8" t="n"/>
      <c r="H109" s="8" t="n"/>
      <c r="I109" s="8" t="n"/>
      <c r="J109" s="8" t="n"/>
      <c r="K109" s="10" t="str">
        <f>IF(COUNT(F109:J109)=0,"",ROUND(AVERAGE(F109:J109),1))</f>
        <v/>
      </c>
      <c r="L109" s="11" t="n"/>
      <c r="M109" s="8" t="n"/>
      <c r="N109" s="8" t="n"/>
      <c r="O109" s="8" t="n"/>
      <c r="P109" s="8" t="n"/>
      <c r="Q109" s="12" t="n"/>
      <c r="R109" s="12" t="n"/>
      <c r="S109" s="12" t="n"/>
      <c r="T109" s="9" t="n"/>
      <c r="U109" s="13" t="str">
        <f>IF(A109="","",INDEX('計算'!$Z$2:$Z$151,AF109))</f>
        <v/>
      </c>
      <c r="V109" s="13" t="str">
        <f>IF(A109="","",IFERROR(IF(INDEX('②クラス編成'!$E$9:$E$158,MATCH(A109,'②クラス編成'!$D$9:$D$158,0))="","未",INDEX('②クラス編成'!$E$9:$E$158,MATCH(A109,'②クラス編成'!$D$9:$D$158,0))),"未"))</f>
        <v/>
      </c>
      <c r="W109" s="14" t="str">
        <f>IF(A109="","",A109&amp;" "&amp;C109)</f>
        <v/>
      </c>
      <c r="X109" s="14" t="str">
        <f>IF(A109="","",IF(E109="男",1,IF(E109="女",2,3)))</f>
        <v/>
      </c>
      <c r="Y109" s="14">
        <f>IF(OR(M109="〇",M109="○",M109="◯"),1,0)</f>
        <v>0</v>
      </c>
      <c r="Z109" s="14">
        <f>IF(OR(N109="〇",N109="○",N109="◯"),1,0)</f>
        <v>0</v>
      </c>
      <c r="AA109" s="14">
        <f>IF(OR(O109="〇",O109="○",O109="◯"),1,0)</f>
        <v>0</v>
      </c>
      <c r="AB109" s="14">
        <f>IF(OR(P109="〇",P109="○",P109="◯"),1,0)</f>
        <v>0</v>
      </c>
      <c r="AC109" s="14" t="str">
        <f>IF(A109="","",IF(AA109=1,1,IF(Y109=1,2,IF(Z109=1,3,IF(AB109=1,4,5)))))</f>
        <v/>
      </c>
      <c r="AD109" s="14" t="str">
        <f>IF(A109="","",IF(K109="",'設定'!$C$37,K109))</f>
        <v/>
      </c>
      <c r="AE109" s="14" t="str">
        <f>IF(A109="","",AC109*10000000-ROUND(ABS((AD109-'設定'!$C$37)/'設定'!$C$38)*10000,0))</f>
        <v/>
      </c>
      <c r="AF109" s="14" t="str">
        <f>IF(A109="","",COUNTIF($AE$4:$AE$153,"&lt;"&amp;AE109)+COUNTIFS($AE$4:$AE$153,AE109,$A$4:$A$153,"&lt;"&amp;A109)+1)</f>
        <v/>
      </c>
      <c r="AG109" s="14" t="str">
        <f>IF(Q109="","",IFERROR(VALUE(LEFT(Q109,FIND(" ",Q109&amp;" ")-1)),IFERROR(INDEX($A$4:$A$153,MATCH(Q109,$C$4:$C$153,0)),"")))</f>
        <v/>
      </c>
      <c r="AH109" s="14" t="str">
        <f>IF(R109="","",IFERROR(VALUE(LEFT(R109,FIND(" ",R109&amp;" ")-1)),IFERROR(INDEX($A$4:$A$153,MATCH(R109,$C$4:$C$153,0)),"")))</f>
        <v/>
      </c>
      <c r="AI109" s="14" t="str">
        <f>IF(S109="","",IFERROR(VALUE(LEFT(S109,FIND(" ",S109&amp;" ")-1)),IFERROR(INDEX($A$4:$A$153,MATCH(S109,$C$4:$C$153,0)),"")))</f>
        <v/>
      </c>
      <c r="AJ109" s="14" t="str">
        <f>IF(OR(A109="",B109=""),"",IF(COUNTIFS($B$4:B109,B109,$A$4:A109,"&lt;&gt;")=1,MAX($AJ$3:AJ108)+1,""))</f>
        <v/>
      </c>
      <c r="AK109" s="14" t="str">
        <f>IF(OR(A109="",NOT(ISNUMBER(L109))),"",L109^2)</f>
        <v/>
      </c>
      <c r="AL109" s="14">
        <f>IF(OR(A109="",NOT(ISNUMBER(L109))),0,(L109-INDEX('計算'!$AE$7:$AG$7,X109))/INDEX('計算'!$AE$8:$AG$8,X109))</f>
        <v>0</v>
      </c>
    </row>
    <row r="110">
      <c r="A110" s="8" t="n"/>
      <c r="B110" s="8" t="n"/>
      <c r="C110" s="9" t="n"/>
      <c r="D110" s="9" t="n"/>
      <c r="E110" s="8" t="n"/>
      <c r="F110" s="8" t="n"/>
      <c r="G110" s="8" t="n"/>
      <c r="H110" s="8" t="n"/>
      <c r="I110" s="8" t="n"/>
      <c r="J110" s="8" t="n"/>
      <c r="K110" s="10" t="str">
        <f>IF(COUNT(F110:J110)=0,"",ROUND(AVERAGE(F110:J110),1))</f>
        <v/>
      </c>
      <c r="L110" s="11" t="n"/>
      <c r="M110" s="8" t="n"/>
      <c r="N110" s="8" t="n"/>
      <c r="O110" s="8" t="n"/>
      <c r="P110" s="8" t="n"/>
      <c r="Q110" s="12" t="n"/>
      <c r="R110" s="12" t="n"/>
      <c r="S110" s="12" t="n"/>
      <c r="T110" s="9" t="n"/>
      <c r="U110" s="13" t="str">
        <f>IF(A110="","",INDEX('計算'!$Z$2:$Z$151,AF110))</f>
        <v/>
      </c>
      <c r="V110" s="13" t="str">
        <f>IF(A110="","",IFERROR(IF(INDEX('②クラス編成'!$E$9:$E$158,MATCH(A110,'②クラス編成'!$D$9:$D$158,0))="","未",INDEX('②クラス編成'!$E$9:$E$158,MATCH(A110,'②クラス編成'!$D$9:$D$158,0))),"未"))</f>
        <v/>
      </c>
      <c r="W110" s="14" t="str">
        <f>IF(A110="","",A110&amp;" "&amp;C110)</f>
        <v/>
      </c>
      <c r="X110" s="14" t="str">
        <f>IF(A110="","",IF(E110="男",1,IF(E110="女",2,3)))</f>
        <v/>
      </c>
      <c r="Y110" s="14">
        <f>IF(OR(M110="〇",M110="○",M110="◯"),1,0)</f>
        <v>0</v>
      </c>
      <c r="Z110" s="14">
        <f>IF(OR(N110="〇",N110="○",N110="◯"),1,0)</f>
        <v>0</v>
      </c>
      <c r="AA110" s="14">
        <f>IF(OR(O110="〇",O110="○",O110="◯"),1,0)</f>
        <v>0</v>
      </c>
      <c r="AB110" s="14">
        <f>IF(OR(P110="〇",P110="○",P110="◯"),1,0)</f>
        <v>0</v>
      </c>
      <c r="AC110" s="14" t="str">
        <f>IF(A110="","",IF(AA110=1,1,IF(Y110=1,2,IF(Z110=1,3,IF(AB110=1,4,5)))))</f>
        <v/>
      </c>
      <c r="AD110" s="14" t="str">
        <f>IF(A110="","",IF(K110="",'設定'!$C$37,K110))</f>
        <v/>
      </c>
      <c r="AE110" s="14" t="str">
        <f>IF(A110="","",AC110*10000000-ROUND(ABS((AD110-'設定'!$C$37)/'設定'!$C$38)*10000,0))</f>
        <v/>
      </c>
      <c r="AF110" s="14" t="str">
        <f>IF(A110="","",COUNTIF($AE$4:$AE$153,"&lt;"&amp;AE110)+COUNTIFS($AE$4:$AE$153,AE110,$A$4:$A$153,"&lt;"&amp;A110)+1)</f>
        <v/>
      </c>
      <c r="AG110" s="14" t="str">
        <f>IF(Q110="","",IFERROR(VALUE(LEFT(Q110,FIND(" ",Q110&amp;" ")-1)),IFERROR(INDEX($A$4:$A$153,MATCH(Q110,$C$4:$C$153,0)),"")))</f>
        <v/>
      </c>
      <c r="AH110" s="14" t="str">
        <f>IF(R110="","",IFERROR(VALUE(LEFT(R110,FIND(" ",R110&amp;" ")-1)),IFERROR(INDEX($A$4:$A$153,MATCH(R110,$C$4:$C$153,0)),"")))</f>
        <v/>
      </c>
      <c r="AI110" s="14" t="str">
        <f>IF(S110="","",IFERROR(VALUE(LEFT(S110,FIND(" ",S110&amp;" ")-1)),IFERROR(INDEX($A$4:$A$153,MATCH(S110,$C$4:$C$153,0)),"")))</f>
        <v/>
      </c>
      <c r="AJ110" s="14" t="str">
        <f>IF(OR(A110="",B110=""),"",IF(COUNTIFS($B$4:B110,B110,$A$4:A110,"&lt;&gt;")=1,MAX($AJ$3:AJ109)+1,""))</f>
        <v/>
      </c>
      <c r="AK110" s="14" t="str">
        <f>IF(OR(A110="",NOT(ISNUMBER(L110))),"",L110^2)</f>
        <v/>
      </c>
      <c r="AL110" s="14">
        <f>IF(OR(A110="",NOT(ISNUMBER(L110))),0,(L110-INDEX('計算'!$AE$7:$AG$7,X110))/INDEX('計算'!$AE$8:$AG$8,X110))</f>
        <v>0</v>
      </c>
    </row>
    <row r="111">
      <c r="A111" s="8" t="n"/>
      <c r="B111" s="8" t="n"/>
      <c r="C111" s="9" t="n"/>
      <c r="D111" s="9" t="n"/>
      <c r="E111" s="8" t="n"/>
      <c r="F111" s="8" t="n"/>
      <c r="G111" s="8" t="n"/>
      <c r="H111" s="8" t="n"/>
      <c r="I111" s="8" t="n"/>
      <c r="J111" s="8" t="n"/>
      <c r="K111" s="10" t="str">
        <f>IF(COUNT(F111:J111)=0,"",ROUND(AVERAGE(F111:J111),1))</f>
        <v/>
      </c>
      <c r="L111" s="11" t="n"/>
      <c r="M111" s="8" t="n"/>
      <c r="N111" s="8" t="n"/>
      <c r="O111" s="8" t="n"/>
      <c r="P111" s="8" t="n"/>
      <c r="Q111" s="12" t="n"/>
      <c r="R111" s="12" t="n"/>
      <c r="S111" s="12" t="n"/>
      <c r="T111" s="9" t="n"/>
      <c r="U111" s="13" t="str">
        <f>IF(A111="","",INDEX('計算'!$Z$2:$Z$151,AF111))</f>
        <v/>
      </c>
      <c r="V111" s="13" t="str">
        <f>IF(A111="","",IFERROR(IF(INDEX('②クラス編成'!$E$9:$E$158,MATCH(A111,'②クラス編成'!$D$9:$D$158,0))="","未",INDEX('②クラス編成'!$E$9:$E$158,MATCH(A111,'②クラス編成'!$D$9:$D$158,0))),"未"))</f>
        <v/>
      </c>
      <c r="W111" s="14" t="str">
        <f>IF(A111="","",A111&amp;" "&amp;C111)</f>
        <v/>
      </c>
      <c r="X111" s="14" t="str">
        <f>IF(A111="","",IF(E111="男",1,IF(E111="女",2,3)))</f>
        <v/>
      </c>
      <c r="Y111" s="14">
        <f>IF(OR(M111="〇",M111="○",M111="◯"),1,0)</f>
        <v>0</v>
      </c>
      <c r="Z111" s="14">
        <f>IF(OR(N111="〇",N111="○",N111="◯"),1,0)</f>
        <v>0</v>
      </c>
      <c r="AA111" s="14">
        <f>IF(OR(O111="〇",O111="○",O111="◯"),1,0)</f>
        <v>0</v>
      </c>
      <c r="AB111" s="14">
        <f>IF(OR(P111="〇",P111="○",P111="◯"),1,0)</f>
        <v>0</v>
      </c>
      <c r="AC111" s="14" t="str">
        <f>IF(A111="","",IF(AA111=1,1,IF(Y111=1,2,IF(Z111=1,3,IF(AB111=1,4,5)))))</f>
        <v/>
      </c>
      <c r="AD111" s="14" t="str">
        <f>IF(A111="","",IF(K111="",'設定'!$C$37,K111))</f>
        <v/>
      </c>
      <c r="AE111" s="14" t="str">
        <f>IF(A111="","",AC111*10000000-ROUND(ABS((AD111-'設定'!$C$37)/'設定'!$C$38)*10000,0))</f>
        <v/>
      </c>
      <c r="AF111" s="14" t="str">
        <f>IF(A111="","",COUNTIF($AE$4:$AE$153,"&lt;"&amp;AE111)+COUNTIFS($AE$4:$AE$153,AE111,$A$4:$A$153,"&lt;"&amp;A111)+1)</f>
        <v/>
      </c>
      <c r="AG111" s="14" t="str">
        <f>IF(Q111="","",IFERROR(VALUE(LEFT(Q111,FIND(" ",Q111&amp;" ")-1)),IFERROR(INDEX($A$4:$A$153,MATCH(Q111,$C$4:$C$153,0)),"")))</f>
        <v/>
      </c>
      <c r="AH111" s="14" t="str">
        <f>IF(R111="","",IFERROR(VALUE(LEFT(R111,FIND(" ",R111&amp;" ")-1)),IFERROR(INDEX($A$4:$A$153,MATCH(R111,$C$4:$C$153,0)),"")))</f>
        <v/>
      </c>
      <c r="AI111" s="14" t="str">
        <f>IF(S111="","",IFERROR(VALUE(LEFT(S111,FIND(" ",S111&amp;" ")-1)),IFERROR(INDEX($A$4:$A$153,MATCH(S111,$C$4:$C$153,0)),"")))</f>
        <v/>
      </c>
      <c r="AJ111" s="14" t="str">
        <f>IF(OR(A111="",B111=""),"",IF(COUNTIFS($B$4:B111,B111,$A$4:A111,"&lt;&gt;")=1,MAX($AJ$3:AJ110)+1,""))</f>
        <v/>
      </c>
      <c r="AK111" s="14" t="str">
        <f>IF(OR(A111="",NOT(ISNUMBER(L111))),"",L111^2)</f>
        <v/>
      </c>
      <c r="AL111" s="14">
        <f>IF(OR(A111="",NOT(ISNUMBER(L111))),0,(L111-INDEX('計算'!$AE$7:$AG$7,X111))/INDEX('計算'!$AE$8:$AG$8,X111))</f>
        <v>0</v>
      </c>
    </row>
    <row r="112">
      <c r="A112" s="8" t="n"/>
      <c r="B112" s="8" t="n"/>
      <c r="C112" s="9" t="n"/>
      <c r="D112" s="9" t="n"/>
      <c r="E112" s="8" t="n"/>
      <c r="F112" s="8" t="n"/>
      <c r="G112" s="8" t="n"/>
      <c r="H112" s="8" t="n"/>
      <c r="I112" s="8" t="n"/>
      <c r="J112" s="8" t="n"/>
      <c r="K112" s="10" t="str">
        <f>IF(COUNT(F112:J112)=0,"",ROUND(AVERAGE(F112:J112),1))</f>
        <v/>
      </c>
      <c r="L112" s="11" t="n"/>
      <c r="M112" s="8" t="n"/>
      <c r="N112" s="8" t="n"/>
      <c r="O112" s="8" t="n"/>
      <c r="P112" s="8" t="n"/>
      <c r="Q112" s="12" t="n"/>
      <c r="R112" s="12" t="n"/>
      <c r="S112" s="12" t="n"/>
      <c r="T112" s="9" t="n"/>
      <c r="U112" s="13" t="str">
        <f>IF(A112="","",INDEX('計算'!$Z$2:$Z$151,AF112))</f>
        <v/>
      </c>
      <c r="V112" s="13" t="str">
        <f>IF(A112="","",IFERROR(IF(INDEX('②クラス編成'!$E$9:$E$158,MATCH(A112,'②クラス編成'!$D$9:$D$158,0))="","未",INDEX('②クラス編成'!$E$9:$E$158,MATCH(A112,'②クラス編成'!$D$9:$D$158,0))),"未"))</f>
        <v/>
      </c>
      <c r="W112" s="14" t="str">
        <f>IF(A112="","",A112&amp;" "&amp;C112)</f>
        <v/>
      </c>
      <c r="X112" s="14" t="str">
        <f>IF(A112="","",IF(E112="男",1,IF(E112="女",2,3)))</f>
        <v/>
      </c>
      <c r="Y112" s="14">
        <f>IF(OR(M112="〇",M112="○",M112="◯"),1,0)</f>
        <v>0</v>
      </c>
      <c r="Z112" s="14">
        <f>IF(OR(N112="〇",N112="○",N112="◯"),1,0)</f>
        <v>0</v>
      </c>
      <c r="AA112" s="14">
        <f>IF(OR(O112="〇",O112="○",O112="◯"),1,0)</f>
        <v>0</v>
      </c>
      <c r="AB112" s="14">
        <f>IF(OR(P112="〇",P112="○",P112="◯"),1,0)</f>
        <v>0</v>
      </c>
      <c r="AC112" s="14" t="str">
        <f>IF(A112="","",IF(AA112=1,1,IF(Y112=1,2,IF(Z112=1,3,IF(AB112=1,4,5)))))</f>
        <v/>
      </c>
      <c r="AD112" s="14" t="str">
        <f>IF(A112="","",IF(K112="",'設定'!$C$37,K112))</f>
        <v/>
      </c>
      <c r="AE112" s="14" t="str">
        <f>IF(A112="","",AC112*10000000-ROUND(ABS((AD112-'設定'!$C$37)/'設定'!$C$38)*10000,0))</f>
        <v/>
      </c>
      <c r="AF112" s="14" t="str">
        <f>IF(A112="","",COUNTIF($AE$4:$AE$153,"&lt;"&amp;AE112)+COUNTIFS($AE$4:$AE$153,AE112,$A$4:$A$153,"&lt;"&amp;A112)+1)</f>
        <v/>
      </c>
      <c r="AG112" s="14" t="str">
        <f>IF(Q112="","",IFERROR(VALUE(LEFT(Q112,FIND(" ",Q112&amp;" ")-1)),IFERROR(INDEX($A$4:$A$153,MATCH(Q112,$C$4:$C$153,0)),"")))</f>
        <v/>
      </c>
      <c r="AH112" s="14" t="str">
        <f>IF(R112="","",IFERROR(VALUE(LEFT(R112,FIND(" ",R112&amp;" ")-1)),IFERROR(INDEX($A$4:$A$153,MATCH(R112,$C$4:$C$153,0)),"")))</f>
        <v/>
      </c>
      <c r="AI112" s="14" t="str">
        <f>IF(S112="","",IFERROR(VALUE(LEFT(S112,FIND(" ",S112&amp;" ")-1)),IFERROR(INDEX($A$4:$A$153,MATCH(S112,$C$4:$C$153,0)),"")))</f>
        <v/>
      </c>
      <c r="AJ112" s="14" t="str">
        <f>IF(OR(A112="",B112=""),"",IF(COUNTIFS($B$4:B112,B112,$A$4:A112,"&lt;&gt;")=1,MAX($AJ$3:AJ111)+1,""))</f>
        <v/>
      </c>
      <c r="AK112" s="14" t="str">
        <f>IF(OR(A112="",NOT(ISNUMBER(L112))),"",L112^2)</f>
        <v/>
      </c>
      <c r="AL112" s="14">
        <f>IF(OR(A112="",NOT(ISNUMBER(L112))),0,(L112-INDEX('計算'!$AE$7:$AG$7,X112))/INDEX('計算'!$AE$8:$AG$8,X112))</f>
        <v>0</v>
      </c>
    </row>
    <row r="113">
      <c r="A113" s="8" t="n"/>
      <c r="B113" s="8" t="n"/>
      <c r="C113" s="9" t="n"/>
      <c r="D113" s="9" t="n"/>
      <c r="E113" s="8" t="n"/>
      <c r="F113" s="8" t="n"/>
      <c r="G113" s="8" t="n"/>
      <c r="H113" s="8" t="n"/>
      <c r="I113" s="8" t="n"/>
      <c r="J113" s="8" t="n"/>
      <c r="K113" s="10" t="str">
        <f>IF(COUNT(F113:J113)=0,"",ROUND(AVERAGE(F113:J113),1))</f>
        <v/>
      </c>
      <c r="L113" s="11" t="n"/>
      <c r="M113" s="8" t="n"/>
      <c r="N113" s="8" t="n"/>
      <c r="O113" s="8" t="n"/>
      <c r="P113" s="8" t="n"/>
      <c r="Q113" s="12" t="n"/>
      <c r="R113" s="12" t="n"/>
      <c r="S113" s="12" t="n"/>
      <c r="T113" s="9" t="n"/>
      <c r="U113" s="13" t="str">
        <f>IF(A113="","",INDEX('計算'!$Z$2:$Z$151,AF113))</f>
        <v/>
      </c>
      <c r="V113" s="13" t="str">
        <f>IF(A113="","",IFERROR(IF(INDEX('②クラス編成'!$E$9:$E$158,MATCH(A113,'②クラス編成'!$D$9:$D$158,0))="","未",INDEX('②クラス編成'!$E$9:$E$158,MATCH(A113,'②クラス編成'!$D$9:$D$158,0))),"未"))</f>
        <v/>
      </c>
      <c r="W113" s="14" t="str">
        <f>IF(A113="","",A113&amp;" "&amp;C113)</f>
        <v/>
      </c>
      <c r="X113" s="14" t="str">
        <f>IF(A113="","",IF(E113="男",1,IF(E113="女",2,3)))</f>
        <v/>
      </c>
      <c r="Y113" s="14">
        <f>IF(OR(M113="〇",M113="○",M113="◯"),1,0)</f>
        <v>0</v>
      </c>
      <c r="Z113" s="14">
        <f>IF(OR(N113="〇",N113="○",N113="◯"),1,0)</f>
        <v>0</v>
      </c>
      <c r="AA113" s="14">
        <f>IF(OR(O113="〇",O113="○",O113="◯"),1,0)</f>
        <v>0</v>
      </c>
      <c r="AB113" s="14">
        <f>IF(OR(P113="〇",P113="○",P113="◯"),1,0)</f>
        <v>0</v>
      </c>
      <c r="AC113" s="14" t="str">
        <f>IF(A113="","",IF(AA113=1,1,IF(Y113=1,2,IF(Z113=1,3,IF(AB113=1,4,5)))))</f>
        <v/>
      </c>
      <c r="AD113" s="14" t="str">
        <f>IF(A113="","",IF(K113="",'設定'!$C$37,K113))</f>
        <v/>
      </c>
      <c r="AE113" s="14" t="str">
        <f>IF(A113="","",AC113*10000000-ROUND(ABS((AD113-'設定'!$C$37)/'設定'!$C$38)*10000,0))</f>
        <v/>
      </c>
      <c r="AF113" s="14" t="str">
        <f>IF(A113="","",COUNTIF($AE$4:$AE$153,"&lt;"&amp;AE113)+COUNTIFS($AE$4:$AE$153,AE113,$A$4:$A$153,"&lt;"&amp;A113)+1)</f>
        <v/>
      </c>
      <c r="AG113" s="14" t="str">
        <f>IF(Q113="","",IFERROR(VALUE(LEFT(Q113,FIND(" ",Q113&amp;" ")-1)),IFERROR(INDEX($A$4:$A$153,MATCH(Q113,$C$4:$C$153,0)),"")))</f>
        <v/>
      </c>
      <c r="AH113" s="14" t="str">
        <f>IF(R113="","",IFERROR(VALUE(LEFT(R113,FIND(" ",R113&amp;" ")-1)),IFERROR(INDEX($A$4:$A$153,MATCH(R113,$C$4:$C$153,0)),"")))</f>
        <v/>
      </c>
      <c r="AI113" s="14" t="str">
        <f>IF(S113="","",IFERROR(VALUE(LEFT(S113,FIND(" ",S113&amp;" ")-1)),IFERROR(INDEX($A$4:$A$153,MATCH(S113,$C$4:$C$153,0)),"")))</f>
        <v/>
      </c>
      <c r="AJ113" s="14" t="str">
        <f>IF(OR(A113="",B113=""),"",IF(COUNTIFS($B$4:B113,B113,$A$4:A113,"&lt;&gt;")=1,MAX($AJ$3:AJ112)+1,""))</f>
        <v/>
      </c>
      <c r="AK113" s="14" t="str">
        <f>IF(OR(A113="",NOT(ISNUMBER(L113))),"",L113^2)</f>
        <v/>
      </c>
      <c r="AL113" s="14">
        <f>IF(OR(A113="",NOT(ISNUMBER(L113))),0,(L113-INDEX('計算'!$AE$7:$AG$7,X113))/INDEX('計算'!$AE$8:$AG$8,X113))</f>
        <v>0</v>
      </c>
    </row>
    <row r="114">
      <c r="A114" s="8" t="n"/>
      <c r="B114" s="8" t="n"/>
      <c r="C114" s="9" t="n"/>
      <c r="D114" s="9" t="n"/>
      <c r="E114" s="8" t="n"/>
      <c r="F114" s="8" t="n"/>
      <c r="G114" s="8" t="n"/>
      <c r="H114" s="8" t="n"/>
      <c r="I114" s="8" t="n"/>
      <c r="J114" s="8" t="n"/>
      <c r="K114" s="10" t="str">
        <f>IF(COUNT(F114:J114)=0,"",ROUND(AVERAGE(F114:J114),1))</f>
        <v/>
      </c>
      <c r="L114" s="11" t="n"/>
      <c r="M114" s="8" t="n"/>
      <c r="N114" s="8" t="n"/>
      <c r="O114" s="8" t="n"/>
      <c r="P114" s="8" t="n"/>
      <c r="Q114" s="12" t="n"/>
      <c r="R114" s="12" t="n"/>
      <c r="S114" s="12" t="n"/>
      <c r="T114" s="9" t="n"/>
      <c r="U114" s="13" t="str">
        <f>IF(A114="","",INDEX('計算'!$Z$2:$Z$151,AF114))</f>
        <v/>
      </c>
      <c r="V114" s="13" t="str">
        <f>IF(A114="","",IFERROR(IF(INDEX('②クラス編成'!$E$9:$E$158,MATCH(A114,'②クラス編成'!$D$9:$D$158,0))="","未",INDEX('②クラス編成'!$E$9:$E$158,MATCH(A114,'②クラス編成'!$D$9:$D$158,0))),"未"))</f>
        <v/>
      </c>
      <c r="W114" s="14" t="str">
        <f>IF(A114="","",A114&amp;" "&amp;C114)</f>
        <v/>
      </c>
      <c r="X114" s="14" t="str">
        <f>IF(A114="","",IF(E114="男",1,IF(E114="女",2,3)))</f>
        <v/>
      </c>
      <c r="Y114" s="14">
        <f>IF(OR(M114="〇",M114="○",M114="◯"),1,0)</f>
        <v>0</v>
      </c>
      <c r="Z114" s="14">
        <f>IF(OR(N114="〇",N114="○",N114="◯"),1,0)</f>
        <v>0</v>
      </c>
      <c r="AA114" s="14">
        <f>IF(OR(O114="〇",O114="○",O114="◯"),1,0)</f>
        <v>0</v>
      </c>
      <c r="AB114" s="14">
        <f>IF(OR(P114="〇",P114="○",P114="◯"),1,0)</f>
        <v>0</v>
      </c>
      <c r="AC114" s="14" t="str">
        <f>IF(A114="","",IF(AA114=1,1,IF(Y114=1,2,IF(Z114=1,3,IF(AB114=1,4,5)))))</f>
        <v/>
      </c>
      <c r="AD114" s="14" t="str">
        <f>IF(A114="","",IF(K114="",'設定'!$C$37,K114))</f>
        <v/>
      </c>
      <c r="AE114" s="14" t="str">
        <f>IF(A114="","",AC114*10000000-ROUND(ABS((AD114-'設定'!$C$37)/'設定'!$C$38)*10000,0))</f>
        <v/>
      </c>
      <c r="AF114" s="14" t="str">
        <f>IF(A114="","",COUNTIF($AE$4:$AE$153,"&lt;"&amp;AE114)+COUNTIFS($AE$4:$AE$153,AE114,$A$4:$A$153,"&lt;"&amp;A114)+1)</f>
        <v/>
      </c>
      <c r="AG114" s="14" t="str">
        <f>IF(Q114="","",IFERROR(VALUE(LEFT(Q114,FIND(" ",Q114&amp;" ")-1)),IFERROR(INDEX($A$4:$A$153,MATCH(Q114,$C$4:$C$153,0)),"")))</f>
        <v/>
      </c>
      <c r="AH114" s="14" t="str">
        <f>IF(R114="","",IFERROR(VALUE(LEFT(R114,FIND(" ",R114&amp;" ")-1)),IFERROR(INDEX($A$4:$A$153,MATCH(R114,$C$4:$C$153,0)),"")))</f>
        <v/>
      </c>
      <c r="AI114" s="14" t="str">
        <f>IF(S114="","",IFERROR(VALUE(LEFT(S114,FIND(" ",S114&amp;" ")-1)),IFERROR(INDEX($A$4:$A$153,MATCH(S114,$C$4:$C$153,0)),"")))</f>
        <v/>
      </c>
      <c r="AJ114" s="14" t="str">
        <f>IF(OR(A114="",B114=""),"",IF(COUNTIFS($B$4:B114,B114,$A$4:A114,"&lt;&gt;")=1,MAX($AJ$3:AJ113)+1,""))</f>
        <v/>
      </c>
      <c r="AK114" s="14" t="str">
        <f>IF(OR(A114="",NOT(ISNUMBER(L114))),"",L114^2)</f>
        <v/>
      </c>
      <c r="AL114" s="14">
        <f>IF(OR(A114="",NOT(ISNUMBER(L114))),0,(L114-INDEX('計算'!$AE$7:$AG$7,X114))/INDEX('計算'!$AE$8:$AG$8,X114))</f>
        <v>0</v>
      </c>
    </row>
    <row r="115">
      <c r="A115" s="8" t="n"/>
      <c r="B115" s="8" t="n"/>
      <c r="C115" s="9" t="n"/>
      <c r="D115" s="9" t="n"/>
      <c r="E115" s="8" t="n"/>
      <c r="F115" s="8" t="n"/>
      <c r="G115" s="8" t="n"/>
      <c r="H115" s="8" t="n"/>
      <c r="I115" s="8" t="n"/>
      <c r="J115" s="8" t="n"/>
      <c r="K115" s="10" t="str">
        <f>IF(COUNT(F115:J115)=0,"",ROUND(AVERAGE(F115:J115),1))</f>
        <v/>
      </c>
      <c r="L115" s="11" t="n"/>
      <c r="M115" s="8" t="n"/>
      <c r="N115" s="8" t="n"/>
      <c r="O115" s="8" t="n"/>
      <c r="P115" s="8" t="n"/>
      <c r="Q115" s="12" t="n"/>
      <c r="R115" s="12" t="n"/>
      <c r="S115" s="12" t="n"/>
      <c r="T115" s="9" t="n"/>
      <c r="U115" s="13" t="str">
        <f>IF(A115="","",INDEX('計算'!$Z$2:$Z$151,AF115))</f>
        <v/>
      </c>
      <c r="V115" s="13" t="str">
        <f>IF(A115="","",IFERROR(IF(INDEX('②クラス編成'!$E$9:$E$158,MATCH(A115,'②クラス編成'!$D$9:$D$158,0))="","未",INDEX('②クラス編成'!$E$9:$E$158,MATCH(A115,'②クラス編成'!$D$9:$D$158,0))),"未"))</f>
        <v/>
      </c>
      <c r="W115" s="14" t="str">
        <f>IF(A115="","",A115&amp;" "&amp;C115)</f>
        <v/>
      </c>
      <c r="X115" s="14" t="str">
        <f>IF(A115="","",IF(E115="男",1,IF(E115="女",2,3)))</f>
        <v/>
      </c>
      <c r="Y115" s="14">
        <f>IF(OR(M115="〇",M115="○",M115="◯"),1,0)</f>
        <v>0</v>
      </c>
      <c r="Z115" s="14">
        <f>IF(OR(N115="〇",N115="○",N115="◯"),1,0)</f>
        <v>0</v>
      </c>
      <c r="AA115" s="14">
        <f>IF(OR(O115="〇",O115="○",O115="◯"),1,0)</f>
        <v>0</v>
      </c>
      <c r="AB115" s="14">
        <f>IF(OR(P115="〇",P115="○",P115="◯"),1,0)</f>
        <v>0</v>
      </c>
      <c r="AC115" s="14" t="str">
        <f>IF(A115="","",IF(AA115=1,1,IF(Y115=1,2,IF(Z115=1,3,IF(AB115=1,4,5)))))</f>
        <v/>
      </c>
      <c r="AD115" s="14" t="str">
        <f>IF(A115="","",IF(K115="",'設定'!$C$37,K115))</f>
        <v/>
      </c>
      <c r="AE115" s="14" t="str">
        <f>IF(A115="","",AC115*10000000-ROUND(ABS((AD115-'設定'!$C$37)/'設定'!$C$38)*10000,0))</f>
        <v/>
      </c>
      <c r="AF115" s="14" t="str">
        <f>IF(A115="","",COUNTIF($AE$4:$AE$153,"&lt;"&amp;AE115)+COUNTIFS($AE$4:$AE$153,AE115,$A$4:$A$153,"&lt;"&amp;A115)+1)</f>
        <v/>
      </c>
      <c r="AG115" s="14" t="str">
        <f>IF(Q115="","",IFERROR(VALUE(LEFT(Q115,FIND(" ",Q115&amp;" ")-1)),IFERROR(INDEX($A$4:$A$153,MATCH(Q115,$C$4:$C$153,0)),"")))</f>
        <v/>
      </c>
      <c r="AH115" s="14" t="str">
        <f>IF(R115="","",IFERROR(VALUE(LEFT(R115,FIND(" ",R115&amp;" ")-1)),IFERROR(INDEX($A$4:$A$153,MATCH(R115,$C$4:$C$153,0)),"")))</f>
        <v/>
      </c>
      <c r="AI115" s="14" t="str">
        <f>IF(S115="","",IFERROR(VALUE(LEFT(S115,FIND(" ",S115&amp;" ")-1)),IFERROR(INDEX($A$4:$A$153,MATCH(S115,$C$4:$C$153,0)),"")))</f>
        <v/>
      </c>
      <c r="AJ115" s="14" t="str">
        <f>IF(OR(A115="",B115=""),"",IF(COUNTIFS($B$4:B115,B115,$A$4:A115,"&lt;&gt;")=1,MAX($AJ$3:AJ114)+1,""))</f>
        <v/>
      </c>
      <c r="AK115" s="14" t="str">
        <f>IF(OR(A115="",NOT(ISNUMBER(L115))),"",L115^2)</f>
        <v/>
      </c>
      <c r="AL115" s="14">
        <f>IF(OR(A115="",NOT(ISNUMBER(L115))),0,(L115-INDEX('計算'!$AE$7:$AG$7,X115))/INDEX('計算'!$AE$8:$AG$8,X115))</f>
        <v>0</v>
      </c>
    </row>
    <row r="116">
      <c r="A116" s="8" t="n"/>
      <c r="B116" s="8" t="n"/>
      <c r="C116" s="9" t="n"/>
      <c r="D116" s="9" t="n"/>
      <c r="E116" s="8" t="n"/>
      <c r="F116" s="8" t="n"/>
      <c r="G116" s="8" t="n"/>
      <c r="H116" s="8" t="n"/>
      <c r="I116" s="8" t="n"/>
      <c r="J116" s="8" t="n"/>
      <c r="K116" s="10" t="str">
        <f>IF(COUNT(F116:J116)=0,"",ROUND(AVERAGE(F116:J116),1))</f>
        <v/>
      </c>
      <c r="L116" s="11" t="n"/>
      <c r="M116" s="8" t="n"/>
      <c r="N116" s="8" t="n"/>
      <c r="O116" s="8" t="n"/>
      <c r="P116" s="8" t="n"/>
      <c r="Q116" s="12" t="n"/>
      <c r="R116" s="12" t="n"/>
      <c r="S116" s="12" t="n"/>
      <c r="T116" s="9" t="n"/>
      <c r="U116" s="13" t="str">
        <f>IF(A116="","",INDEX('計算'!$Z$2:$Z$151,AF116))</f>
        <v/>
      </c>
      <c r="V116" s="13" t="str">
        <f>IF(A116="","",IFERROR(IF(INDEX('②クラス編成'!$E$9:$E$158,MATCH(A116,'②クラス編成'!$D$9:$D$158,0))="","未",INDEX('②クラス編成'!$E$9:$E$158,MATCH(A116,'②クラス編成'!$D$9:$D$158,0))),"未"))</f>
        <v/>
      </c>
      <c r="W116" s="14" t="str">
        <f>IF(A116="","",A116&amp;" "&amp;C116)</f>
        <v/>
      </c>
      <c r="X116" s="14" t="str">
        <f>IF(A116="","",IF(E116="男",1,IF(E116="女",2,3)))</f>
        <v/>
      </c>
      <c r="Y116" s="14">
        <f>IF(OR(M116="〇",M116="○",M116="◯"),1,0)</f>
        <v>0</v>
      </c>
      <c r="Z116" s="14">
        <f>IF(OR(N116="〇",N116="○",N116="◯"),1,0)</f>
        <v>0</v>
      </c>
      <c r="AA116" s="14">
        <f>IF(OR(O116="〇",O116="○",O116="◯"),1,0)</f>
        <v>0</v>
      </c>
      <c r="AB116" s="14">
        <f>IF(OR(P116="〇",P116="○",P116="◯"),1,0)</f>
        <v>0</v>
      </c>
      <c r="AC116" s="14" t="str">
        <f>IF(A116="","",IF(AA116=1,1,IF(Y116=1,2,IF(Z116=1,3,IF(AB116=1,4,5)))))</f>
        <v/>
      </c>
      <c r="AD116" s="14" t="str">
        <f>IF(A116="","",IF(K116="",'設定'!$C$37,K116))</f>
        <v/>
      </c>
      <c r="AE116" s="14" t="str">
        <f>IF(A116="","",AC116*10000000-ROUND(ABS((AD116-'設定'!$C$37)/'設定'!$C$38)*10000,0))</f>
        <v/>
      </c>
      <c r="AF116" s="14" t="str">
        <f>IF(A116="","",COUNTIF($AE$4:$AE$153,"&lt;"&amp;AE116)+COUNTIFS($AE$4:$AE$153,AE116,$A$4:$A$153,"&lt;"&amp;A116)+1)</f>
        <v/>
      </c>
      <c r="AG116" s="14" t="str">
        <f>IF(Q116="","",IFERROR(VALUE(LEFT(Q116,FIND(" ",Q116&amp;" ")-1)),IFERROR(INDEX($A$4:$A$153,MATCH(Q116,$C$4:$C$153,0)),"")))</f>
        <v/>
      </c>
      <c r="AH116" s="14" t="str">
        <f>IF(R116="","",IFERROR(VALUE(LEFT(R116,FIND(" ",R116&amp;" ")-1)),IFERROR(INDEX($A$4:$A$153,MATCH(R116,$C$4:$C$153,0)),"")))</f>
        <v/>
      </c>
      <c r="AI116" s="14" t="str">
        <f>IF(S116="","",IFERROR(VALUE(LEFT(S116,FIND(" ",S116&amp;" ")-1)),IFERROR(INDEX($A$4:$A$153,MATCH(S116,$C$4:$C$153,0)),"")))</f>
        <v/>
      </c>
      <c r="AJ116" s="14" t="str">
        <f>IF(OR(A116="",B116=""),"",IF(COUNTIFS($B$4:B116,B116,$A$4:A116,"&lt;&gt;")=1,MAX($AJ$3:AJ115)+1,""))</f>
        <v/>
      </c>
      <c r="AK116" s="14" t="str">
        <f>IF(OR(A116="",NOT(ISNUMBER(L116))),"",L116^2)</f>
        <v/>
      </c>
      <c r="AL116" s="14">
        <f>IF(OR(A116="",NOT(ISNUMBER(L116))),0,(L116-INDEX('計算'!$AE$7:$AG$7,X116))/INDEX('計算'!$AE$8:$AG$8,X116))</f>
        <v>0</v>
      </c>
    </row>
    <row r="117">
      <c r="A117" s="8" t="n"/>
      <c r="B117" s="8" t="n"/>
      <c r="C117" s="9" t="n"/>
      <c r="D117" s="9" t="n"/>
      <c r="E117" s="8" t="n"/>
      <c r="F117" s="8" t="n"/>
      <c r="G117" s="8" t="n"/>
      <c r="H117" s="8" t="n"/>
      <c r="I117" s="8" t="n"/>
      <c r="J117" s="8" t="n"/>
      <c r="K117" s="10" t="str">
        <f>IF(COUNT(F117:J117)=0,"",ROUND(AVERAGE(F117:J117),1))</f>
        <v/>
      </c>
      <c r="L117" s="11" t="n"/>
      <c r="M117" s="8" t="n"/>
      <c r="N117" s="8" t="n"/>
      <c r="O117" s="8" t="n"/>
      <c r="P117" s="8" t="n"/>
      <c r="Q117" s="12" t="n"/>
      <c r="R117" s="12" t="n"/>
      <c r="S117" s="12" t="n"/>
      <c r="T117" s="9" t="n"/>
      <c r="U117" s="13" t="str">
        <f>IF(A117="","",INDEX('計算'!$Z$2:$Z$151,AF117))</f>
        <v/>
      </c>
      <c r="V117" s="13" t="str">
        <f>IF(A117="","",IFERROR(IF(INDEX('②クラス編成'!$E$9:$E$158,MATCH(A117,'②クラス編成'!$D$9:$D$158,0))="","未",INDEX('②クラス編成'!$E$9:$E$158,MATCH(A117,'②クラス編成'!$D$9:$D$158,0))),"未"))</f>
        <v/>
      </c>
      <c r="W117" s="14" t="str">
        <f>IF(A117="","",A117&amp;" "&amp;C117)</f>
        <v/>
      </c>
      <c r="X117" s="14" t="str">
        <f>IF(A117="","",IF(E117="男",1,IF(E117="女",2,3)))</f>
        <v/>
      </c>
      <c r="Y117" s="14">
        <f>IF(OR(M117="〇",M117="○",M117="◯"),1,0)</f>
        <v>0</v>
      </c>
      <c r="Z117" s="14">
        <f>IF(OR(N117="〇",N117="○",N117="◯"),1,0)</f>
        <v>0</v>
      </c>
      <c r="AA117" s="14">
        <f>IF(OR(O117="〇",O117="○",O117="◯"),1,0)</f>
        <v>0</v>
      </c>
      <c r="AB117" s="14">
        <f>IF(OR(P117="〇",P117="○",P117="◯"),1,0)</f>
        <v>0</v>
      </c>
      <c r="AC117" s="14" t="str">
        <f>IF(A117="","",IF(AA117=1,1,IF(Y117=1,2,IF(Z117=1,3,IF(AB117=1,4,5)))))</f>
        <v/>
      </c>
      <c r="AD117" s="14" t="str">
        <f>IF(A117="","",IF(K117="",'設定'!$C$37,K117))</f>
        <v/>
      </c>
      <c r="AE117" s="14" t="str">
        <f>IF(A117="","",AC117*10000000-ROUND(ABS((AD117-'設定'!$C$37)/'設定'!$C$38)*10000,0))</f>
        <v/>
      </c>
      <c r="AF117" s="14" t="str">
        <f>IF(A117="","",COUNTIF($AE$4:$AE$153,"&lt;"&amp;AE117)+COUNTIFS($AE$4:$AE$153,AE117,$A$4:$A$153,"&lt;"&amp;A117)+1)</f>
        <v/>
      </c>
      <c r="AG117" s="14" t="str">
        <f>IF(Q117="","",IFERROR(VALUE(LEFT(Q117,FIND(" ",Q117&amp;" ")-1)),IFERROR(INDEX($A$4:$A$153,MATCH(Q117,$C$4:$C$153,0)),"")))</f>
        <v/>
      </c>
      <c r="AH117" s="14" t="str">
        <f>IF(R117="","",IFERROR(VALUE(LEFT(R117,FIND(" ",R117&amp;" ")-1)),IFERROR(INDEX($A$4:$A$153,MATCH(R117,$C$4:$C$153,0)),"")))</f>
        <v/>
      </c>
      <c r="AI117" s="14" t="str">
        <f>IF(S117="","",IFERROR(VALUE(LEFT(S117,FIND(" ",S117&amp;" ")-1)),IFERROR(INDEX($A$4:$A$153,MATCH(S117,$C$4:$C$153,0)),"")))</f>
        <v/>
      </c>
      <c r="AJ117" s="14" t="str">
        <f>IF(OR(A117="",B117=""),"",IF(COUNTIFS($B$4:B117,B117,$A$4:A117,"&lt;&gt;")=1,MAX($AJ$3:AJ116)+1,""))</f>
        <v/>
      </c>
      <c r="AK117" s="14" t="str">
        <f>IF(OR(A117="",NOT(ISNUMBER(L117))),"",L117^2)</f>
        <v/>
      </c>
      <c r="AL117" s="14">
        <f>IF(OR(A117="",NOT(ISNUMBER(L117))),0,(L117-INDEX('計算'!$AE$7:$AG$7,X117))/INDEX('計算'!$AE$8:$AG$8,X117))</f>
        <v>0</v>
      </c>
    </row>
    <row r="118">
      <c r="A118" s="8" t="n"/>
      <c r="B118" s="8" t="n"/>
      <c r="C118" s="9" t="n"/>
      <c r="D118" s="9" t="n"/>
      <c r="E118" s="8" t="n"/>
      <c r="F118" s="8" t="n"/>
      <c r="G118" s="8" t="n"/>
      <c r="H118" s="8" t="n"/>
      <c r="I118" s="8" t="n"/>
      <c r="J118" s="8" t="n"/>
      <c r="K118" s="10" t="str">
        <f>IF(COUNT(F118:J118)=0,"",ROUND(AVERAGE(F118:J118),1))</f>
        <v/>
      </c>
      <c r="L118" s="11" t="n"/>
      <c r="M118" s="8" t="n"/>
      <c r="N118" s="8" t="n"/>
      <c r="O118" s="8" t="n"/>
      <c r="P118" s="8" t="n"/>
      <c r="Q118" s="12" t="n"/>
      <c r="R118" s="12" t="n"/>
      <c r="S118" s="12" t="n"/>
      <c r="T118" s="9" t="n"/>
      <c r="U118" s="13" t="str">
        <f>IF(A118="","",INDEX('計算'!$Z$2:$Z$151,AF118))</f>
        <v/>
      </c>
      <c r="V118" s="13" t="str">
        <f>IF(A118="","",IFERROR(IF(INDEX('②クラス編成'!$E$9:$E$158,MATCH(A118,'②クラス編成'!$D$9:$D$158,0))="","未",INDEX('②クラス編成'!$E$9:$E$158,MATCH(A118,'②クラス編成'!$D$9:$D$158,0))),"未"))</f>
        <v/>
      </c>
      <c r="W118" s="14" t="str">
        <f>IF(A118="","",A118&amp;" "&amp;C118)</f>
        <v/>
      </c>
      <c r="X118" s="14" t="str">
        <f>IF(A118="","",IF(E118="男",1,IF(E118="女",2,3)))</f>
        <v/>
      </c>
      <c r="Y118" s="14">
        <f>IF(OR(M118="〇",M118="○",M118="◯"),1,0)</f>
        <v>0</v>
      </c>
      <c r="Z118" s="14">
        <f>IF(OR(N118="〇",N118="○",N118="◯"),1,0)</f>
        <v>0</v>
      </c>
      <c r="AA118" s="14">
        <f>IF(OR(O118="〇",O118="○",O118="◯"),1,0)</f>
        <v>0</v>
      </c>
      <c r="AB118" s="14">
        <f>IF(OR(P118="〇",P118="○",P118="◯"),1,0)</f>
        <v>0</v>
      </c>
      <c r="AC118" s="14" t="str">
        <f>IF(A118="","",IF(AA118=1,1,IF(Y118=1,2,IF(Z118=1,3,IF(AB118=1,4,5)))))</f>
        <v/>
      </c>
      <c r="AD118" s="14" t="str">
        <f>IF(A118="","",IF(K118="",'設定'!$C$37,K118))</f>
        <v/>
      </c>
      <c r="AE118" s="14" t="str">
        <f>IF(A118="","",AC118*10000000-ROUND(ABS((AD118-'設定'!$C$37)/'設定'!$C$38)*10000,0))</f>
        <v/>
      </c>
      <c r="AF118" s="14" t="str">
        <f>IF(A118="","",COUNTIF($AE$4:$AE$153,"&lt;"&amp;AE118)+COUNTIFS($AE$4:$AE$153,AE118,$A$4:$A$153,"&lt;"&amp;A118)+1)</f>
        <v/>
      </c>
      <c r="AG118" s="14" t="str">
        <f>IF(Q118="","",IFERROR(VALUE(LEFT(Q118,FIND(" ",Q118&amp;" ")-1)),IFERROR(INDEX($A$4:$A$153,MATCH(Q118,$C$4:$C$153,0)),"")))</f>
        <v/>
      </c>
      <c r="AH118" s="14" t="str">
        <f>IF(R118="","",IFERROR(VALUE(LEFT(R118,FIND(" ",R118&amp;" ")-1)),IFERROR(INDEX($A$4:$A$153,MATCH(R118,$C$4:$C$153,0)),"")))</f>
        <v/>
      </c>
      <c r="AI118" s="14" t="str">
        <f>IF(S118="","",IFERROR(VALUE(LEFT(S118,FIND(" ",S118&amp;" ")-1)),IFERROR(INDEX($A$4:$A$153,MATCH(S118,$C$4:$C$153,0)),"")))</f>
        <v/>
      </c>
      <c r="AJ118" s="14" t="str">
        <f>IF(OR(A118="",B118=""),"",IF(COUNTIFS($B$4:B118,B118,$A$4:A118,"&lt;&gt;")=1,MAX($AJ$3:AJ117)+1,""))</f>
        <v/>
      </c>
      <c r="AK118" s="14" t="str">
        <f>IF(OR(A118="",NOT(ISNUMBER(L118))),"",L118^2)</f>
        <v/>
      </c>
      <c r="AL118" s="14">
        <f>IF(OR(A118="",NOT(ISNUMBER(L118))),0,(L118-INDEX('計算'!$AE$7:$AG$7,X118))/INDEX('計算'!$AE$8:$AG$8,X118))</f>
        <v>0</v>
      </c>
    </row>
    <row r="119">
      <c r="A119" s="8" t="n"/>
      <c r="B119" s="8" t="n"/>
      <c r="C119" s="9" t="n"/>
      <c r="D119" s="9" t="n"/>
      <c r="E119" s="8" t="n"/>
      <c r="F119" s="8" t="n"/>
      <c r="G119" s="8" t="n"/>
      <c r="H119" s="8" t="n"/>
      <c r="I119" s="8" t="n"/>
      <c r="J119" s="8" t="n"/>
      <c r="K119" s="10" t="str">
        <f>IF(COUNT(F119:J119)=0,"",ROUND(AVERAGE(F119:J119),1))</f>
        <v/>
      </c>
      <c r="L119" s="11" t="n"/>
      <c r="M119" s="8" t="n"/>
      <c r="N119" s="8" t="n"/>
      <c r="O119" s="8" t="n"/>
      <c r="P119" s="8" t="n"/>
      <c r="Q119" s="12" t="n"/>
      <c r="R119" s="12" t="n"/>
      <c r="S119" s="12" t="n"/>
      <c r="T119" s="9" t="n"/>
      <c r="U119" s="13" t="str">
        <f>IF(A119="","",INDEX('計算'!$Z$2:$Z$151,AF119))</f>
        <v/>
      </c>
      <c r="V119" s="13" t="str">
        <f>IF(A119="","",IFERROR(IF(INDEX('②クラス編成'!$E$9:$E$158,MATCH(A119,'②クラス編成'!$D$9:$D$158,0))="","未",INDEX('②クラス編成'!$E$9:$E$158,MATCH(A119,'②クラス編成'!$D$9:$D$158,0))),"未"))</f>
        <v/>
      </c>
      <c r="W119" s="14" t="str">
        <f>IF(A119="","",A119&amp;" "&amp;C119)</f>
        <v/>
      </c>
      <c r="X119" s="14" t="str">
        <f>IF(A119="","",IF(E119="男",1,IF(E119="女",2,3)))</f>
        <v/>
      </c>
      <c r="Y119" s="14">
        <f>IF(OR(M119="〇",M119="○",M119="◯"),1,0)</f>
        <v>0</v>
      </c>
      <c r="Z119" s="14">
        <f>IF(OR(N119="〇",N119="○",N119="◯"),1,0)</f>
        <v>0</v>
      </c>
      <c r="AA119" s="14">
        <f>IF(OR(O119="〇",O119="○",O119="◯"),1,0)</f>
        <v>0</v>
      </c>
      <c r="AB119" s="14">
        <f>IF(OR(P119="〇",P119="○",P119="◯"),1,0)</f>
        <v>0</v>
      </c>
      <c r="AC119" s="14" t="str">
        <f>IF(A119="","",IF(AA119=1,1,IF(Y119=1,2,IF(Z119=1,3,IF(AB119=1,4,5)))))</f>
        <v/>
      </c>
      <c r="AD119" s="14" t="str">
        <f>IF(A119="","",IF(K119="",'設定'!$C$37,K119))</f>
        <v/>
      </c>
      <c r="AE119" s="14" t="str">
        <f>IF(A119="","",AC119*10000000-ROUND(ABS((AD119-'設定'!$C$37)/'設定'!$C$38)*10000,0))</f>
        <v/>
      </c>
      <c r="AF119" s="14" t="str">
        <f>IF(A119="","",COUNTIF($AE$4:$AE$153,"&lt;"&amp;AE119)+COUNTIFS($AE$4:$AE$153,AE119,$A$4:$A$153,"&lt;"&amp;A119)+1)</f>
        <v/>
      </c>
      <c r="AG119" s="14" t="str">
        <f>IF(Q119="","",IFERROR(VALUE(LEFT(Q119,FIND(" ",Q119&amp;" ")-1)),IFERROR(INDEX($A$4:$A$153,MATCH(Q119,$C$4:$C$153,0)),"")))</f>
        <v/>
      </c>
      <c r="AH119" s="14" t="str">
        <f>IF(R119="","",IFERROR(VALUE(LEFT(R119,FIND(" ",R119&amp;" ")-1)),IFERROR(INDEX($A$4:$A$153,MATCH(R119,$C$4:$C$153,0)),"")))</f>
        <v/>
      </c>
      <c r="AI119" s="14" t="str">
        <f>IF(S119="","",IFERROR(VALUE(LEFT(S119,FIND(" ",S119&amp;" ")-1)),IFERROR(INDEX($A$4:$A$153,MATCH(S119,$C$4:$C$153,0)),"")))</f>
        <v/>
      </c>
      <c r="AJ119" s="14" t="str">
        <f>IF(OR(A119="",B119=""),"",IF(COUNTIFS($B$4:B119,B119,$A$4:A119,"&lt;&gt;")=1,MAX($AJ$3:AJ118)+1,""))</f>
        <v/>
      </c>
      <c r="AK119" s="14" t="str">
        <f>IF(OR(A119="",NOT(ISNUMBER(L119))),"",L119^2)</f>
        <v/>
      </c>
      <c r="AL119" s="14">
        <f>IF(OR(A119="",NOT(ISNUMBER(L119))),0,(L119-INDEX('計算'!$AE$7:$AG$7,X119))/INDEX('計算'!$AE$8:$AG$8,X119))</f>
        <v>0</v>
      </c>
    </row>
    <row r="120">
      <c r="A120" s="8" t="n"/>
      <c r="B120" s="8" t="n"/>
      <c r="C120" s="9" t="n"/>
      <c r="D120" s="9" t="n"/>
      <c r="E120" s="8" t="n"/>
      <c r="F120" s="8" t="n"/>
      <c r="G120" s="8" t="n"/>
      <c r="H120" s="8" t="n"/>
      <c r="I120" s="8" t="n"/>
      <c r="J120" s="8" t="n"/>
      <c r="K120" s="10" t="str">
        <f>IF(COUNT(F120:J120)=0,"",ROUND(AVERAGE(F120:J120),1))</f>
        <v/>
      </c>
      <c r="L120" s="11" t="n"/>
      <c r="M120" s="8" t="n"/>
      <c r="N120" s="8" t="n"/>
      <c r="O120" s="8" t="n"/>
      <c r="P120" s="8" t="n"/>
      <c r="Q120" s="12" t="n"/>
      <c r="R120" s="12" t="n"/>
      <c r="S120" s="12" t="n"/>
      <c r="T120" s="9" t="n"/>
      <c r="U120" s="13" t="str">
        <f>IF(A120="","",INDEX('計算'!$Z$2:$Z$151,AF120))</f>
        <v/>
      </c>
      <c r="V120" s="13" t="str">
        <f>IF(A120="","",IFERROR(IF(INDEX('②クラス編成'!$E$9:$E$158,MATCH(A120,'②クラス編成'!$D$9:$D$158,0))="","未",INDEX('②クラス編成'!$E$9:$E$158,MATCH(A120,'②クラス編成'!$D$9:$D$158,0))),"未"))</f>
        <v/>
      </c>
      <c r="W120" s="14" t="str">
        <f>IF(A120="","",A120&amp;" "&amp;C120)</f>
        <v/>
      </c>
      <c r="X120" s="14" t="str">
        <f>IF(A120="","",IF(E120="男",1,IF(E120="女",2,3)))</f>
        <v/>
      </c>
      <c r="Y120" s="14">
        <f>IF(OR(M120="〇",M120="○",M120="◯"),1,0)</f>
        <v>0</v>
      </c>
      <c r="Z120" s="14">
        <f>IF(OR(N120="〇",N120="○",N120="◯"),1,0)</f>
        <v>0</v>
      </c>
      <c r="AA120" s="14">
        <f>IF(OR(O120="〇",O120="○",O120="◯"),1,0)</f>
        <v>0</v>
      </c>
      <c r="AB120" s="14">
        <f>IF(OR(P120="〇",P120="○",P120="◯"),1,0)</f>
        <v>0</v>
      </c>
      <c r="AC120" s="14" t="str">
        <f>IF(A120="","",IF(AA120=1,1,IF(Y120=1,2,IF(Z120=1,3,IF(AB120=1,4,5)))))</f>
        <v/>
      </c>
      <c r="AD120" s="14" t="str">
        <f>IF(A120="","",IF(K120="",'設定'!$C$37,K120))</f>
        <v/>
      </c>
      <c r="AE120" s="14" t="str">
        <f>IF(A120="","",AC120*10000000-ROUND(ABS((AD120-'設定'!$C$37)/'設定'!$C$38)*10000,0))</f>
        <v/>
      </c>
      <c r="AF120" s="14" t="str">
        <f>IF(A120="","",COUNTIF($AE$4:$AE$153,"&lt;"&amp;AE120)+COUNTIFS($AE$4:$AE$153,AE120,$A$4:$A$153,"&lt;"&amp;A120)+1)</f>
        <v/>
      </c>
      <c r="AG120" s="14" t="str">
        <f>IF(Q120="","",IFERROR(VALUE(LEFT(Q120,FIND(" ",Q120&amp;" ")-1)),IFERROR(INDEX($A$4:$A$153,MATCH(Q120,$C$4:$C$153,0)),"")))</f>
        <v/>
      </c>
      <c r="AH120" s="14" t="str">
        <f>IF(R120="","",IFERROR(VALUE(LEFT(R120,FIND(" ",R120&amp;" ")-1)),IFERROR(INDEX($A$4:$A$153,MATCH(R120,$C$4:$C$153,0)),"")))</f>
        <v/>
      </c>
      <c r="AI120" s="14" t="str">
        <f>IF(S120="","",IFERROR(VALUE(LEFT(S120,FIND(" ",S120&amp;" ")-1)),IFERROR(INDEX($A$4:$A$153,MATCH(S120,$C$4:$C$153,0)),"")))</f>
        <v/>
      </c>
      <c r="AJ120" s="14" t="str">
        <f>IF(OR(A120="",B120=""),"",IF(COUNTIFS($B$4:B120,B120,$A$4:A120,"&lt;&gt;")=1,MAX($AJ$3:AJ119)+1,""))</f>
        <v/>
      </c>
      <c r="AK120" s="14" t="str">
        <f>IF(OR(A120="",NOT(ISNUMBER(L120))),"",L120^2)</f>
        <v/>
      </c>
      <c r="AL120" s="14">
        <f>IF(OR(A120="",NOT(ISNUMBER(L120))),0,(L120-INDEX('計算'!$AE$7:$AG$7,X120))/INDEX('計算'!$AE$8:$AG$8,X120))</f>
        <v>0</v>
      </c>
    </row>
    <row r="121">
      <c r="A121" s="8" t="n"/>
      <c r="B121" s="8" t="n"/>
      <c r="C121" s="9" t="n"/>
      <c r="D121" s="9" t="n"/>
      <c r="E121" s="8" t="n"/>
      <c r="F121" s="8" t="n"/>
      <c r="G121" s="8" t="n"/>
      <c r="H121" s="8" t="n"/>
      <c r="I121" s="8" t="n"/>
      <c r="J121" s="8" t="n"/>
      <c r="K121" s="10" t="str">
        <f>IF(COUNT(F121:J121)=0,"",ROUND(AVERAGE(F121:J121),1))</f>
        <v/>
      </c>
      <c r="L121" s="11" t="n"/>
      <c r="M121" s="8" t="n"/>
      <c r="N121" s="8" t="n"/>
      <c r="O121" s="8" t="n"/>
      <c r="P121" s="8" t="n"/>
      <c r="Q121" s="12" t="n"/>
      <c r="R121" s="12" t="n"/>
      <c r="S121" s="12" t="n"/>
      <c r="T121" s="9" t="n"/>
      <c r="U121" s="13" t="str">
        <f>IF(A121="","",INDEX('計算'!$Z$2:$Z$151,AF121))</f>
        <v/>
      </c>
      <c r="V121" s="13" t="str">
        <f>IF(A121="","",IFERROR(IF(INDEX('②クラス編成'!$E$9:$E$158,MATCH(A121,'②クラス編成'!$D$9:$D$158,0))="","未",INDEX('②クラス編成'!$E$9:$E$158,MATCH(A121,'②クラス編成'!$D$9:$D$158,0))),"未"))</f>
        <v/>
      </c>
      <c r="W121" s="14" t="str">
        <f>IF(A121="","",A121&amp;" "&amp;C121)</f>
        <v/>
      </c>
      <c r="X121" s="14" t="str">
        <f>IF(A121="","",IF(E121="男",1,IF(E121="女",2,3)))</f>
        <v/>
      </c>
      <c r="Y121" s="14">
        <f>IF(OR(M121="〇",M121="○",M121="◯"),1,0)</f>
        <v>0</v>
      </c>
      <c r="Z121" s="14">
        <f>IF(OR(N121="〇",N121="○",N121="◯"),1,0)</f>
        <v>0</v>
      </c>
      <c r="AA121" s="14">
        <f>IF(OR(O121="〇",O121="○",O121="◯"),1,0)</f>
        <v>0</v>
      </c>
      <c r="AB121" s="14">
        <f>IF(OR(P121="〇",P121="○",P121="◯"),1,0)</f>
        <v>0</v>
      </c>
      <c r="AC121" s="14" t="str">
        <f>IF(A121="","",IF(AA121=1,1,IF(Y121=1,2,IF(Z121=1,3,IF(AB121=1,4,5)))))</f>
        <v/>
      </c>
      <c r="AD121" s="14" t="str">
        <f>IF(A121="","",IF(K121="",'設定'!$C$37,K121))</f>
        <v/>
      </c>
      <c r="AE121" s="14" t="str">
        <f>IF(A121="","",AC121*10000000-ROUND(ABS((AD121-'設定'!$C$37)/'設定'!$C$38)*10000,0))</f>
        <v/>
      </c>
      <c r="AF121" s="14" t="str">
        <f>IF(A121="","",COUNTIF($AE$4:$AE$153,"&lt;"&amp;AE121)+COUNTIFS($AE$4:$AE$153,AE121,$A$4:$A$153,"&lt;"&amp;A121)+1)</f>
        <v/>
      </c>
      <c r="AG121" s="14" t="str">
        <f>IF(Q121="","",IFERROR(VALUE(LEFT(Q121,FIND(" ",Q121&amp;" ")-1)),IFERROR(INDEX($A$4:$A$153,MATCH(Q121,$C$4:$C$153,0)),"")))</f>
        <v/>
      </c>
      <c r="AH121" s="14" t="str">
        <f>IF(R121="","",IFERROR(VALUE(LEFT(R121,FIND(" ",R121&amp;" ")-1)),IFERROR(INDEX($A$4:$A$153,MATCH(R121,$C$4:$C$153,0)),"")))</f>
        <v/>
      </c>
      <c r="AI121" s="14" t="str">
        <f>IF(S121="","",IFERROR(VALUE(LEFT(S121,FIND(" ",S121&amp;" ")-1)),IFERROR(INDEX($A$4:$A$153,MATCH(S121,$C$4:$C$153,0)),"")))</f>
        <v/>
      </c>
      <c r="AJ121" s="14" t="str">
        <f>IF(OR(A121="",B121=""),"",IF(COUNTIFS($B$4:B121,B121,$A$4:A121,"&lt;&gt;")=1,MAX($AJ$3:AJ120)+1,""))</f>
        <v/>
      </c>
      <c r="AK121" s="14" t="str">
        <f>IF(OR(A121="",NOT(ISNUMBER(L121))),"",L121^2)</f>
        <v/>
      </c>
      <c r="AL121" s="14">
        <f>IF(OR(A121="",NOT(ISNUMBER(L121))),0,(L121-INDEX('計算'!$AE$7:$AG$7,X121))/INDEX('計算'!$AE$8:$AG$8,X121))</f>
        <v>0</v>
      </c>
    </row>
    <row r="122">
      <c r="A122" s="8" t="n"/>
      <c r="B122" s="8" t="n"/>
      <c r="C122" s="9" t="n"/>
      <c r="D122" s="9" t="n"/>
      <c r="E122" s="8" t="n"/>
      <c r="F122" s="8" t="n"/>
      <c r="G122" s="8" t="n"/>
      <c r="H122" s="8" t="n"/>
      <c r="I122" s="8" t="n"/>
      <c r="J122" s="8" t="n"/>
      <c r="K122" s="10" t="str">
        <f>IF(COUNT(F122:J122)=0,"",ROUND(AVERAGE(F122:J122),1))</f>
        <v/>
      </c>
      <c r="L122" s="11" t="n"/>
      <c r="M122" s="8" t="n"/>
      <c r="N122" s="8" t="n"/>
      <c r="O122" s="8" t="n"/>
      <c r="P122" s="8" t="n"/>
      <c r="Q122" s="12" t="n"/>
      <c r="R122" s="12" t="n"/>
      <c r="S122" s="12" t="n"/>
      <c r="T122" s="9" t="n"/>
      <c r="U122" s="13" t="str">
        <f>IF(A122="","",INDEX('計算'!$Z$2:$Z$151,AF122))</f>
        <v/>
      </c>
      <c r="V122" s="13" t="str">
        <f>IF(A122="","",IFERROR(IF(INDEX('②クラス編成'!$E$9:$E$158,MATCH(A122,'②クラス編成'!$D$9:$D$158,0))="","未",INDEX('②クラス編成'!$E$9:$E$158,MATCH(A122,'②クラス編成'!$D$9:$D$158,0))),"未"))</f>
        <v/>
      </c>
      <c r="W122" s="14" t="str">
        <f>IF(A122="","",A122&amp;" "&amp;C122)</f>
        <v/>
      </c>
      <c r="X122" s="14" t="str">
        <f>IF(A122="","",IF(E122="男",1,IF(E122="女",2,3)))</f>
        <v/>
      </c>
      <c r="Y122" s="14">
        <f>IF(OR(M122="〇",M122="○",M122="◯"),1,0)</f>
        <v>0</v>
      </c>
      <c r="Z122" s="14">
        <f>IF(OR(N122="〇",N122="○",N122="◯"),1,0)</f>
        <v>0</v>
      </c>
      <c r="AA122" s="14">
        <f>IF(OR(O122="〇",O122="○",O122="◯"),1,0)</f>
        <v>0</v>
      </c>
      <c r="AB122" s="14">
        <f>IF(OR(P122="〇",P122="○",P122="◯"),1,0)</f>
        <v>0</v>
      </c>
      <c r="AC122" s="14" t="str">
        <f>IF(A122="","",IF(AA122=1,1,IF(Y122=1,2,IF(Z122=1,3,IF(AB122=1,4,5)))))</f>
        <v/>
      </c>
      <c r="AD122" s="14" t="str">
        <f>IF(A122="","",IF(K122="",'設定'!$C$37,K122))</f>
        <v/>
      </c>
      <c r="AE122" s="14" t="str">
        <f>IF(A122="","",AC122*10000000-ROUND(ABS((AD122-'設定'!$C$37)/'設定'!$C$38)*10000,0))</f>
        <v/>
      </c>
      <c r="AF122" s="14" t="str">
        <f>IF(A122="","",COUNTIF($AE$4:$AE$153,"&lt;"&amp;AE122)+COUNTIFS($AE$4:$AE$153,AE122,$A$4:$A$153,"&lt;"&amp;A122)+1)</f>
        <v/>
      </c>
      <c r="AG122" s="14" t="str">
        <f>IF(Q122="","",IFERROR(VALUE(LEFT(Q122,FIND(" ",Q122&amp;" ")-1)),IFERROR(INDEX($A$4:$A$153,MATCH(Q122,$C$4:$C$153,0)),"")))</f>
        <v/>
      </c>
      <c r="AH122" s="14" t="str">
        <f>IF(R122="","",IFERROR(VALUE(LEFT(R122,FIND(" ",R122&amp;" ")-1)),IFERROR(INDEX($A$4:$A$153,MATCH(R122,$C$4:$C$153,0)),"")))</f>
        <v/>
      </c>
      <c r="AI122" s="14" t="str">
        <f>IF(S122="","",IFERROR(VALUE(LEFT(S122,FIND(" ",S122&amp;" ")-1)),IFERROR(INDEX($A$4:$A$153,MATCH(S122,$C$4:$C$153,0)),"")))</f>
        <v/>
      </c>
      <c r="AJ122" s="14" t="str">
        <f>IF(OR(A122="",B122=""),"",IF(COUNTIFS($B$4:B122,B122,$A$4:A122,"&lt;&gt;")=1,MAX($AJ$3:AJ121)+1,""))</f>
        <v/>
      </c>
      <c r="AK122" s="14" t="str">
        <f>IF(OR(A122="",NOT(ISNUMBER(L122))),"",L122^2)</f>
        <v/>
      </c>
      <c r="AL122" s="14">
        <f>IF(OR(A122="",NOT(ISNUMBER(L122))),0,(L122-INDEX('計算'!$AE$7:$AG$7,X122))/INDEX('計算'!$AE$8:$AG$8,X122))</f>
        <v>0</v>
      </c>
    </row>
    <row r="123">
      <c r="A123" s="8" t="n"/>
      <c r="B123" s="8" t="n"/>
      <c r="C123" s="9" t="n"/>
      <c r="D123" s="9" t="n"/>
      <c r="E123" s="8" t="n"/>
      <c r="F123" s="8" t="n"/>
      <c r="G123" s="8" t="n"/>
      <c r="H123" s="8" t="n"/>
      <c r="I123" s="8" t="n"/>
      <c r="J123" s="8" t="n"/>
      <c r="K123" s="10" t="str">
        <f>IF(COUNT(F123:J123)=0,"",ROUND(AVERAGE(F123:J123),1))</f>
        <v/>
      </c>
      <c r="L123" s="11" t="n"/>
      <c r="M123" s="8" t="n"/>
      <c r="N123" s="8" t="n"/>
      <c r="O123" s="8" t="n"/>
      <c r="P123" s="8" t="n"/>
      <c r="Q123" s="12" t="n"/>
      <c r="R123" s="12" t="n"/>
      <c r="S123" s="12" t="n"/>
      <c r="T123" s="9" t="n"/>
      <c r="U123" s="13" t="str">
        <f>IF(A123="","",INDEX('計算'!$Z$2:$Z$151,AF123))</f>
        <v/>
      </c>
      <c r="V123" s="13" t="str">
        <f>IF(A123="","",IFERROR(IF(INDEX('②クラス編成'!$E$9:$E$158,MATCH(A123,'②クラス編成'!$D$9:$D$158,0))="","未",INDEX('②クラス編成'!$E$9:$E$158,MATCH(A123,'②クラス編成'!$D$9:$D$158,0))),"未"))</f>
        <v/>
      </c>
      <c r="W123" s="14" t="str">
        <f>IF(A123="","",A123&amp;" "&amp;C123)</f>
        <v/>
      </c>
      <c r="X123" s="14" t="str">
        <f>IF(A123="","",IF(E123="男",1,IF(E123="女",2,3)))</f>
        <v/>
      </c>
      <c r="Y123" s="14">
        <f>IF(OR(M123="〇",M123="○",M123="◯"),1,0)</f>
        <v>0</v>
      </c>
      <c r="Z123" s="14">
        <f>IF(OR(N123="〇",N123="○",N123="◯"),1,0)</f>
        <v>0</v>
      </c>
      <c r="AA123" s="14">
        <f>IF(OR(O123="〇",O123="○",O123="◯"),1,0)</f>
        <v>0</v>
      </c>
      <c r="AB123" s="14">
        <f>IF(OR(P123="〇",P123="○",P123="◯"),1,0)</f>
        <v>0</v>
      </c>
      <c r="AC123" s="14" t="str">
        <f>IF(A123="","",IF(AA123=1,1,IF(Y123=1,2,IF(Z123=1,3,IF(AB123=1,4,5)))))</f>
        <v/>
      </c>
      <c r="AD123" s="14" t="str">
        <f>IF(A123="","",IF(K123="",'設定'!$C$37,K123))</f>
        <v/>
      </c>
      <c r="AE123" s="14" t="str">
        <f>IF(A123="","",AC123*10000000-ROUND(ABS((AD123-'設定'!$C$37)/'設定'!$C$38)*10000,0))</f>
        <v/>
      </c>
      <c r="AF123" s="14" t="str">
        <f>IF(A123="","",COUNTIF($AE$4:$AE$153,"&lt;"&amp;AE123)+COUNTIFS($AE$4:$AE$153,AE123,$A$4:$A$153,"&lt;"&amp;A123)+1)</f>
        <v/>
      </c>
      <c r="AG123" s="14" t="str">
        <f>IF(Q123="","",IFERROR(VALUE(LEFT(Q123,FIND(" ",Q123&amp;" ")-1)),IFERROR(INDEX($A$4:$A$153,MATCH(Q123,$C$4:$C$153,0)),"")))</f>
        <v/>
      </c>
      <c r="AH123" s="14" t="str">
        <f>IF(R123="","",IFERROR(VALUE(LEFT(R123,FIND(" ",R123&amp;" ")-1)),IFERROR(INDEX($A$4:$A$153,MATCH(R123,$C$4:$C$153,0)),"")))</f>
        <v/>
      </c>
      <c r="AI123" s="14" t="str">
        <f>IF(S123="","",IFERROR(VALUE(LEFT(S123,FIND(" ",S123&amp;" ")-1)),IFERROR(INDEX($A$4:$A$153,MATCH(S123,$C$4:$C$153,0)),"")))</f>
        <v/>
      </c>
      <c r="AJ123" s="14" t="str">
        <f>IF(OR(A123="",B123=""),"",IF(COUNTIFS($B$4:B123,B123,$A$4:A123,"&lt;&gt;")=1,MAX($AJ$3:AJ122)+1,""))</f>
        <v/>
      </c>
      <c r="AK123" s="14" t="str">
        <f>IF(OR(A123="",NOT(ISNUMBER(L123))),"",L123^2)</f>
        <v/>
      </c>
      <c r="AL123" s="14">
        <f>IF(OR(A123="",NOT(ISNUMBER(L123))),0,(L123-INDEX('計算'!$AE$7:$AG$7,X123))/INDEX('計算'!$AE$8:$AG$8,X123))</f>
        <v>0</v>
      </c>
    </row>
    <row r="124">
      <c r="A124" s="8" t="n"/>
      <c r="B124" s="8" t="n"/>
      <c r="C124" s="9" t="n"/>
      <c r="D124" s="9" t="n"/>
      <c r="E124" s="8" t="n"/>
      <c r="F124" s="8" t="n"/>
      <c r="G124" s="8" t="n"/>
      <c r="H124" s="8" t="n"/>
      <c r="I124" s="8" t="n"/>
      <c r="J124" s="8" t="n"/>
      <c r="K124" s="10" t="str">
        <f>IF(COUNT(F124:J124)=0,"",ROUND(AVERAGE(F124:J124),1))</f>
        <v/>
      </c>
      <c r="L124" s="11" t="n"/>
      <c r="M124" s="8" t="n"/>
      <c r="N124" s="8" t="n"/>
      <c r="O124" s="8" t="n"/>
      <c r="P124" s="8" t="n"/>
      <c r="Q124" s="12" t="n"/>
      <c r="R124" s="12" t="n"/>
      <c r="S124" s="12" t="n"/>
      <c r="T124" s="9" t="n"/>
      <c r="U124" s="13" t="str">
        <f>IF(A124="","",INDEX('計算'!$Z$2:$Z$151,AF124))</f>
        <v/>
      </c>
      <c r="V124" s="13" t="str">
        <f>IF(A124="","",IFERROR(IF(INDEX('②クラス編成'!$E$9:$E$158,MATCH(A124,'②クラス編成'!$D$9:$D$158,0))="","未",INDEX('②クラス編成'!$E$9:$E$158,MATCH(A124,'②クラス編成'!$D$9:$D$158,0))),"未"))</f>
        <v/>
      </c>
      <c r="W124" s="14" t="str">
        <f>IF(A124="","",A124&amp;" "&amp;C124)</f>
        <v/>
      </c>
      <c r="X124" s="14" t="str">
        <f>IF(A124="","",IF(E124="男",1,IF(E124="女",2,3)))</f>
        <v/>
      </c>
      <c r="Y124" s="14">
        <f>IF(OR(M124="〇",M124="○",M124="◯"),1,0)</f>
        <v>0</v>
      </c>
      <c r="Z124" s="14">
        <f>IF(OR(N124="〇",N124="○",N124="◯"),1,0)</f>
        <v>0</v>
      </c>
      <c r="AA124" s="14">
        <f>IF(OR(O124="〇",O124="○",O124="◯"),1,0)</f>
        <v>0</v>
      </c>
      <c r="AB124" s="14">
        <f>IF(OR(P124="〇",P124="○",P124="◯"),1,0)</f>
        <v>0</v>
      </c>
      <c r="AC124" s="14" t="str">
        <f>IF(A124="","",IF(AA124=1,1,IF(Y124=1,2,IF(Z124=1,3,IF(AB124=1,4,5)))))</f>
        <v/>
      </c>
      <c r="AD124" s="14" t="str">
        <f>IF(A124="","",IF(K124="",'設定'!$C$37,K124))</f>
        <v/>
      </c>
      <c r="AE124" s="14" t="str">
        <f>IF(A124="","",AC124*10000000-ROUND(ABS((AD124-'設定'!$C$37)/'設定'!$C$38)*10000,0))</f>
        <v/>
      </c>
      <c r="AF124" s="14" t="str">
        <f>IF(A124="","",COUNTIF($AE$4:$AE$153,"&lt;"&amp;AE124)+COUNTIFS($AE$4:$AE$153,AE124,$A$4:$A$153,"&lt;"&amp;A124)+1)</f>
        <v/>
      </c>
      <c r="AG124" s="14" t="str">
        <f>IF(Q124="","",IFERROR(VALUE(LEFT(Q124,FIND(" ",Q124&amp;" ")-1)),IFERROR(INDEX($A$4:$A$153,MATCH(Q124,$C$4:$C$153,0)),"")))</f>
        <v/>
      </c>
      <c r="AH124" s="14" t="str">
        <f>IF(R124="","",IFERROR(VALUE(LEFT(R124,FIND(" ",R124&amp;" ")-1)),IFERROR(INDEX($A$4:$A$153,MATCH(R124,$C$4:$C$153,0)),"")))</f>
        <v/>
      </c>
      <c r="AI124" s="14" t="str">
        <f>IF(S124="","",IFERROR(VALUE(LEFT(S124,FIND(" ",S124&amp;" ")-1)),IFERROR(INDEX($A$4:$A$153,MATCH(S124,$C$4:$C$153,0)),"")))</f>
        <v/>
      </c>
      <c r="AJ124" s="14" t="str">
        <f>IF(OR(A124="",B124=""),"",IF(COUNTIFS($B$4:B124,B124,$A$4:A124,"&lt;&gt;")=1,MAX($AJ$3:AJ123)+1,""))</f>
        <v/>
      </c>
      <c r="AK124" s="14" t="str">
        <f>IF(OR(A124="",NOT(ISNUMBER(L124))),"",L124^2)</f>
        <v/>
      </c>
      <c r="AL124" s="14">
        <f>IF(OR(A124="",NOT(ISNUMBER(L124))),0,(L124-INDEX('計算'!$AE$7:$AG$7,X124))/INDEX('計算'!$AE$8:$AG$8,X124))</f>
        <v>0</v>
      </c>
    </row>
    <row r="125">
      <c r="A125" s="8" t="n"/>
      <c r="B125" s="8" t="n"/>
      <c r="C125" s="9" t="n"/>
      <c r="D125" s="9" t="n"/>
      <c r="E125" s="8" t="n"/>
      <c r="F125" s="8" t="n"/>
      <c r="G125" s="8" t="n"/>
      <c r="H125" s="8" t="n"/>
      <c r="I125" s="8" t="n"/>
      <c r="J125" s="8" t="n"/>
      <c r="K125" s="10" t="str">
        <f>IF(COUNT(F125:J125)=0,"",ROUND(AVERAGE(F125:J125),1))</f>
        <v/>
      </c>
      <c r="L125" s="11" t="n"/>
      <c r="M125" s="8" t="n"/>
      <c r="N125" s="8" t="n"/>
      <c r="O125" s="8" t="n"/>
      <c r="P125" s="8" t="n"/>
      <c r="Q125" s="12" t="n"/>
      <c r="R125" s="12" t="n"/>
      <c r="S125" s="12" t="n"/>
      <c r="T125" s="9" t="n"/>
      <c r="U125" s="13" t="str">
        <f>IF(A125="","",INDEX('計算'!$Z$2:$Z$151,AF125))</f>
        <v/>
      </c>
      <c r="V125" s="13" t="str">
        <f>IF(A125="","",IFERROR(IF(INDEX('②クラス編成'!$E$9:$E$158,MATCH(A125,'②クラス編成'!$D$9:$D$158,0))="","未",INDEX('②クラス編成'!$E$9:$E$158,MATCH(A125,'②クラス編成'!$D$9:$D$158,0))),"未"))</f>
        <v/>
      </c>
      <c r="W125" s="14" t="str">
        <f>IF(A125="","",A125&amp;" "&amp;C125)</f>
        <v/>
      </c>
      <c r="X125" s="14" t="str">
        <f>IF(A125="","",IF(E125="男",1,IF(E125="女",2,3)))</f>
        <v/>
      </c>
      <c r="Y125" s="14">
        <f>IF(OR(M125="〇",M125="○",M125="◯"),1,0)</f>
        <v>0</v>
      </c>
      <c r="Z125" s="14">
        <f>IF(OR(N125="〇",N125="○",N125="◯"),1,0)</f>
        <v>0</v>
      </c>
      <c r="AA125" s="14">
        <f>IF(OR(O125="〇",O125="○",O125="◯"),1,0)</f>
        <v>0</v>
      </c>
      <c r="AB125" s="14">
        <f>IF(OR(P125="〇",P125="○",P125="◯"),1,0)</f>
        <v>0</v>
      </c>
      <c r="AC125" s="14" t="str">
        <f>IF(A125="","",IF(AA125=1,1,IF(Y125=1,2,IF(Z125=1,3,IF(AB125=1,4,5)))))</f>
        <v/>
      </c>
      <c r="AD125" s="14" t="str">
        <f>IF(A125="","",IF(K125="",'設定'!$C$37,K125))</f>
        <v/>
      </c>
      <c r="AE125" s="14" t="str">
        <f>IF(A125="","",AC125*10000000-ROUND(ABS((AD125-'設定'!$C$37)/'設定'!$C$38)*10000,0))</f>
        <v/>
      </c>
      <c r="AF125" s="14" t="str">
        <f>IF(A125="","",COUNTIF($AE$4:$AE$153,"&lt;"&amp;AE125)+COUNTIFS($AE$4:$AE$153,AE125,$A$4:$A$153,"&lt;"&amp;A125)+1)</f>
        <v/>
      </c>
      <c r="AG125" s="14" t="str">
        <f>IF(Q125="","",IFERROR(VALUE(LEFT(Q125,FIND(" ",Q125&amp;" ")-1)),IFERROR(INDEX($A$4:$A$153,MATCH(Q125,$C$4:$C$153,0)),"")))</f>
        <v/>
      </c>
      <c r="AH125" s="14" t="str">
        <f>IF(R125="","",IFERROR(VALUE(LEFT(R125,FIND(" ",R125&amp;" ")-1)),IFERROR(INDEX($A$4:$A$153,MATCH(R125,$C$4:$C$153,0)),"")))</f>
        <v/>
      </c>
      <c r="AI125" s="14" t="str">
        <f>IF(S125="","",IFERROR(VALUE(LEFT(S125,FIND(" ",S125&amp;" ")-1)),IFERROR(INDEX($A$4:$A$153,MATCH(S125,$C$4:$C$153,0)),"")))</f>
        <v/>
      </c>
      <c r="AJ125" s="14" t="str">
        <f>IF(OR(A125="",B125=""),"",IF(COUNTIFS($B$4:B125,B125,$A$4:A125,"&lt;&gt;")=1,MAX($AJ$3:AJ124)+1,""))</f>
        <v/>
      </c>
      <c r="AK125" s="14" t="str">
        <f>IF(OR(A125="",NOT(ISNUMBER(L125))),"",L125^2)</f>
        <v/>
      </c>
      <c r="AL125" s="14">
        <f>IF(OR(A125="",NOT(ISNUMBER(L125))),0,(L125-INDEX('計算'!$AE$7:$AG$7,X125))/INDEX('計算'!$AE$8:$AG$8,X125))</f>
        <v>0</v>
      </c>
    </row>
    <row r="126">
      <c r="A126" s="8" t="n"/>
      <c r="B126" s="8" t="n"/>
      <c r="C126" s="9" t="n"/>
      <c r="D126" s="9" t="n"/>
      <c r="E126" s="8" t="n"/>
      <c r="F126" s="8" t="n"/>
      <c r="G126" s="8" t="n"/>
      <c r="H126" s="8" t="n"/>
      <c r="I126" s="8" t="n"/>
      <c r="J126" s="8" t="n"/>
      <c r="K126" s="10" t="str">
        <f>IF(COUNT(F126:J126)=0,"",ROUND(AVERAGE(F126:J126),1))</f>
        <v/>
      </c>
      <c r="L126" s="11" t="n"/>
      <c r="M126" s="8" t="n"/>
      <c r="N126" s="8" t="n"/>
      <c r="O126" s="8" t="n"/>
      <c r="P126" s="8" t="n"/>
      <c r="Q126" s="12" t="n"/>
      <c r="R126" s="12" t="n"/>
      <c r="S126" s="12" t="n"/>
      <c r="T126" s="9" t="n"/>
      <c r="U126" s="13" t="str">
        <f>IF(A126="","",INDEX('計算'!$Z$2:$Z$151,AF126))</f>
        <v/>
      </c>
      <c r="V126" s="13" t="str">
        <f>IF(A126="","",IFERROR(IF(INDEX('②クラス編成'!$E$9:$E$158,MATCH(A126,'②クラス編成'!$D$9:$D$158,0))="","未",INDEX('②クラス編成'!$E$9:$E$158,MATCH(A126,'②クラス編成'!$D$9:$D$158,0))),"未"))</f>
        <v/>
      </c>
      <c r="W126" s="14" t="str">
        <f>IF(A126="","",A126&amp;" "&amp;C126)</f>
        <v/>
      </c>
      <c r="X126" s="14" t="str">
        <f>IF(A126="","",IF(E126="男",1,IF(E126="女",2,3)))</f>
        <v/>
      </c>
      <c r="Y126" s="14">
        <f>IF(OR(M126="〇",M126="○",M126="◯"),1,0)</f>
        <v>0</v>
      </c>
      <c r="Z126" s="14">
        <f>IF(OR(N126="〇",N126="○",N126="◯"),1,0)</f>
        <v>0</v>
      </c>
      <c r="AA126" s="14">
        <f>IF(OR(O126="〇",O126="○",O126="◯"),1,0)</f>
        <v>0</v>
      </c>
      <c r="AB126" s="14">
        <f>IF(OR(P126="〇",P126="○",P126="◯"),1,0)</f>
        <v>0</v>
      </c>
      <c r="AC126" s="14" t="str">
        <f>IF(A126="","",IF(AA126=1,1,IF(Y126=1,2,IF(Z126=1,3,IF(AB126=1,4,5)))))</f>
        <v/>
      </c>
      <c r="AD126" s="14" t="str">
        <f>IF(A126="","",IF(K126="",'設定'!$C$37,K126))</f>
        <v/>
      </c>
      <c r="AE126" s="14" t="str">
        <f>IF(A126="","",AC126*10000000-ROUND(ABS((AD126-'設定'!$C$37)/'設定'!$C$38)*10000,0))</f>
        <v/>
      </c>
      <c r="AF126" s="14" t="str">
        <f>IF(A126="","",COUNTIF($AE$4:$AE$153,"&lt;"&amp;AE126)+COUNTIFS($AE$4:$AE$153,AE126,$A$4:$A$153,"&lt;"&amp;A126)+1)</f>
        <v/>
      </c>
      <c r="AG126" s="14" t="str">
        <f>IF(Q126="","",IFERROR(VALUE(LEFT(Q126,FIND(" ",Q126&amp;" ")-1)),IFERROR(INDEX($A$4:$A$153,MATCH(Q126,$C$4:$C$153,0)),"")))</f>
        <v/>
      </c>
      <c r="AH126" s="14" t="str">
        <f>IF(R126="","",IFERROR(VALUE(LEFT(R126,FIND(" ",R126&amp;" ")-1)),IFERROR(INDEX($A$4:$A$153,MATCH(R126,$C$4:$C$153,0)),"")))</f>
        <v/>
      </c>
      <c r="AI126" s="14" t="str">
        <f>IF(S126="","",IFERROR(VALUE(LEFT(S126,FIND(" ",S126&amp;" ")-1)),IFERROR(INDEX($A$4:$A$153,MATCH(S126,$C$4:$C$153,0)),"")))</f>
        <v/>
      </c>
      <c r="AJ126" s="14" t="str">
        <f>IF(OR(A126="",B126=""),"",IF(COUNTIFS($B$4:B126,B126,$A$4:A126,"&lt;&gt;")=1,MAX($AJ$3:AJ125)+1,""))</f>
        <v/>
      </c>
      <c r="AK126" s="14" t="str">
        <f>IF(OR(A126="",NOT(ISNUMBER(L126))),"",L126^2)</f>
        <v/>
      </c>
      <c r="AL126" s="14">
        <f>IF(OR(A126="",NOT(ISNUMBER(L126))),0,(L126-INDEX('計算'!$AE$7:$AG$7,X126))/INDEX('計算'!$AE$8:$AG$8,X126))</f>
        <v>0</v>
      </c>
    </row>
    <row r="127">
      <c r="A127" s="8" t="n"/>
      <c r="B127" s="8" t="n"/>
      <c r="C127" s="9" t="n"/>
      <c r="D127" s="9" t="n"/>
      <c r="E127" s="8" t="n"/>
      <c r="F127" s="8" t="n"/>
      <c r="G127" s="8" t="n"/>
      <c r="H127" s="8" t="n"/>
      <c r="I127" s="8" t="n"/>
      <c r="J127" s="8" t="n"/>
      <c r="K127" s="10" t="str">
        <f>IF(COUNT(F127:J127)=0,"",ROUND(AVERAGE(F127:J127),1))</f>
        <v/>
      </c>
      <c r="L127" s="11" t="n"/>
      <c r="M127" s="8" t="n"/>
      <c r="N127" s="8" t="n"/>
      <c r="O127" s="8" t="n"/>
      <c r="P127" s="8" t="n"/>
      <c r="Q127" s="12" t="n"/>
      <c r="R127" s="12" t="n"/>
      <c r="S127" s="12" t="n"/>
      <c r="T127" s="9" t="n"/>
      <c r="U127" s="13" t="str">
        <f>IF(A127="","",INDEX('計算'!$Z$2:$Z$151,AF127))</f>
        <v/>
      </c>
      <c r="V127" s="13" t="str">
        <f>IF(A127="","",IFERROR(IF(INDEX('②クラス編成'!$E$9:$E$158,MATCH(A127,'②クラス編成'!$D$9:$D$158,0))="","未",INDEX('②クラス編成'!$E$9:$E$158,MATCH(A127,'②クラス編成'!$D$9:$D$158,0))),"未"))</f>
        <v/>
      </c>
      <c r="W127" s="14" t="str">
        <f>IF(A127="","",A127&amp;" "&amp;C127)</f>
        <v/>
      </c>
      <c r="X127" s="14" t="str">
        <f>IF(A127="","",IF(E127="男",1,IF(E127="女",2,3)))</f>
        <v/>
      </c>
      <c r="Y127" s="14">
        <f>IF(OR(M127="〇",M127="○",M127="◯"),1,0)</f>
        <v>0</v>
      </c>
      <c r="Z127" s="14">
        <f>IF(OR(N127="〇",N127="○",N127="◯"),1,0)</f>
        <v>0</v>
      </c>
      <c r="AA127" s="14">
        <f>IF(OR(O127="〇",O127="○",O127="◯"),1,0)</f>
        <v>0</v>
      </c>
      <c r="AB127" s="14">
        <f>IF(OR(P127="〇",P127="○",P127="◯"),1,0)</f>
        <v>0</v>
      </c>
      <c r="AC127" s="14" t="str">
        <f>IF(A127="","",IF(AA127=1,1,IF(Y127=1,2,IF(Z127=1,3,IF(AB127=1,4,5)))))</f>
        <v/>
      </c>
      <c r="AD127" s="14" t="str">
        <f>IF(A127="","",IF(K127="",'設定'!$C$37,K127))</f>
        <v/>
      </c>
      <c r="AE127" s="14" t="str">
        <f>IF(A127="","",AC127*10000000-ROUND(ABS((AD127-'設定'!$C$37)/'設定'!$C$38)*10000,0))</f>
        <v/>
      </c>
      <c r="AF127" s="14" t="str">
        <f>IF(A127="","",COUNTIF($AE$4:$AE$153,"&lt;"&amp;AE127)+COUNTIFS($AE$4:$AE$153,AE127,$A$4:$A$153,"&lt;"&amp;A127)+1)</f>
        <v/>
      </c>
      <c r="AG127" s="14" t="str">
        <f>IF(Q127="","",IFERROR(VALUE(LEFT(Q127,FIND(" ",Q127&amp;" ")-1)),IFERROR(INDEX($A$4:$A$153,MATCH(Q127,$C$4:$C$153,0)),"")))</f>
        <v/>
      </c>
      <c r="AH127" s="14" t="str">
        <f>IF(R127="","",IFERROR(VALUE(LEFT(R127,FIND(" ",R127&amp;" ")-1)),IFERROR(INDEX($A$4:$A$153,MATCH(R127,$C$4:$C$153,0)),"")))</f>
        <v/>
      </c>
      <c r="AI127" s="14" t="str">
        <f>IF(S127="","",IFERROR(VALUE(LEFT(S127,FIND(" ",S127&amp;" ")-1)),IFERROR(INDEX($A$4:$A$153,MATCH(S127,$C$4:$C$153,0)),"")))</f>
        <v/>
      </c>
      <c r="AJ127" s="14" t="str">
        <f>IF(OR(A127="",B127=""),"",IF(COUNTIFS($B$4:B127,B127,$A$4:A127,"&lt;&gt;")=1,MAX($AJ$3:AJ126)+1,""))</f>
        <v/>
      </c>
      <c r="AK127" s="14" t="str">
        <f>IF(OR(A127="",NOT(ISNUMBER(L127))),"",L127^2)</f>
        <v/>
      </c>
      <c r="AL127" s="14">
        <f>IF(OR(A127="",NOT(ISNUMBER(L127))),0,(L127-INDEX('計算'!$AE$7:$AG$7,X127))/INDEX('計算'!$AE$8:$AG$8,X127))</f>
        <v>0</v>
      </c>
    </row>
    <row r="128">
      <c r="A128" s="8" t="n"/>
      <c r="B128" s="8" t="n"/>
      <c r="C128" s="9" t="n"/>
      <c r="D128" s="9" t="n"/>
      <c r="E128" s="8" t="n"/>
      <c r="F128" s="8" t="n"/>
      <c r="G128" s="8" t="n"/>
      <c r="H128" s="8" t="n"/>
      <c r="I128" s="8" t="n"/>
      <c r="J128" s="8" t="n"/>
      <c r="K128" s="10" t="str">
        <f>IF(COUNT(F128:J128)=0,"",ROUND(AVERAGE(F128:J128),1))</f>
        <v/>
      </c>
      <c r="L128" s="11" t="n"/>
      <c r="M128" s="8" t="n"/>
      <c r="N128" s="8" t="n"/>
      <c r="O128" s="8" t="n"/>
      <c r="P128" s="8" t="n"/>
      <c r="Q128" s="12" t="n"/>
      <c r="R128" s="12" t="n"/>
      <c r="S128" s="12" t="n"/>
      <c r="T128" s="9" t="n"/>
      <c r="U128" s="13" t="str">
        <f>IF(A128="","",INDEX('計算'!$Z$2:$Z$151,AF128))</f>
        <v/>
      </c>
      <c r="V128" s="13" t="str">
        <f>IF(A128="","",IFERROR(IF(INDEX('②クラス編成'!$E$9:$E$158,MATCH(A128,'②クラス編成'!$D$9:$D$158,0))="","未",INDEX('②クラス編成'!$E$9:$E$158,MATCH(A128,'②クラス編成'!$D$9:$D$158,0))),"未"))</f>
        <v/>
      </c>
      <c r="W128" s="14" t="str">
        <f>IF(A128="","",A128&amp;" "&amp;C128)</f>
        <v/>
      </c>
      <c r="X128" s="14" t="str">
        <f>IF(A128="","",IF(E128="男",1,IF(E128="女",2,3)))</f>
        <v/>
      </c>
      <c r="Y128" s="14">
        <f>IF(OR(M128="〇",M128="○",M128="◯"),1,0)</f>
        <v>0</v>
      </c>
      <c r="Z128" s="14">
        <f>IF(OR(N128="〇",N128="○",N128="◯"),1,0)</f>
        <v>0</v>
      </c>
      <c r="AA128" s="14">
        <f>IF(OR(O128="〇",O128="○",O128="◯"),1,0)</f>
        <v>0</v>
      </c>
      <c r="AB128" s="14">
        <f>IF(OR(P128="〇",P128="○",P128="◯"),1,0)</f>
        <v>0</v>
      </c>
      <c r="AC128" s="14" t="str">
        <f>IF(A128="","",IF(AA128=1,1,IF(Y128=1,2,IF(Z128=1,3,IF(AB128=1,4,5)))))</f>
        <v/>
      </c>
      <c r="AD128" s="14" t="str">
        <f>IF(A128="","",IF(K128="",'設定'!$C$37,K128))</f>
        <v/>
      </c>
      <c r="AE128" s="14" t="str">
        <f>IF(A128="","",AC128*10000000-ROUND(ABS((AD128-'設定'!$C$37)/'設定'!$C$38)*10000,0))</f>
        <v/>
      </c>
      <c r="AF128" s="14" t="str">
        <f>IF(A128="","",COUNTIF($AE$4:$AE$153,"&lt;"&amp;AE128)+COUNTIFS($AE$4:$AE$153,AE128,$A$4:$A$153,"&lt;"&amp;A128)+1)</f>
        <v/>
      </c>
      <c r="AG128" s="14" t="str">
        <f>IF(Q128="","",IFERROR(VALUE(LEFT(Q128,FIND(" ",Q128&amp;" ")-1)),IFERROR(INDEX($A$4:$A$153,MATCH(Q128,$C$4:$C$153,0)),"")))</f>
        <v/>
      </c>
      <c r="AH128" s="14" t="str">
        <f>IF(R128="","",IFERROR(VALUE(LEFT(R128,FIND(" ",R128&amp;" ")-1)),IFERROR(INDEX($A$4:$A$153,MATCH(R128,$C$4:$C$153,0)),"")))</f>
        <v/>
      </c>
      <c r="AI128" s="14" t="str">
        <f>IF(S128="","",IFERROR(VALUE(LEFT(S128,FIND(" ",S128&amp;" ")-1)),IFERROR(INDEX($A$4:$A$153,MATCH(S128,$C$4:$C$153,0)),"")))</f>
        <v/>
      </c>
      <c r="AJ128" s="14" t="str">
        <f>IF(OR(A128="",B128=""),"",IF(COUNTIFS($B$4:B128,B128,$A$4:A128,"&lt;&gt;")=1,MAX($AJ$3:AJ127)+1,""))</f>
        <v/>
      </c>
      <c r="AK128" s="14" t="str">
        <f>IF(OR(A128="",NOT(ISNUMBER(L128))),"",L128^2)</f>
        <v/>
      </c>
      <c r="AL128" s="14">
        <f>IF(OR(A128="",NOT(ISNUMBER(L128))),0,(L128-INDEX('計算'!$AE$7:$AG$7,X128))/INDEX('計算'!$AE$8:$AG$8,X128))</f>
        <v>0</v>
      </c>
    </row>
    <row r="129">
      <c r="A129" s="8" t="n"/>
      <c r="B129" s="8" t="n"/>
      <c r="C129" s="9" t="n"/>
      <c r="D129" s="9" t="n"/>
      <c r="E129" s="8" t="n"/>
      <c r="F129" s="8" t="n"/>
      <c r="G129" s="8" t="n"/>
      <c r="H129" s="8" t="n"/>
      <c r="I129" s="8" t="n"/>
      <c r="J129" s="8" t="n"/>
      <c r="K129" s="10" t="str">
        <f>IF(COUNT(F129:J129)=0,"",ROUND(AVERAGE(F129:J129),1))</f>
        <v/>
      </c>
      <c r="L129" s="11" t="n"/>
      <c r="M129" s="8" t="n"/>
      <c r="N129" s="8" t="n"/>
      <c r="O129" s="8" t="n"/>
      <c r="P129" s="8" t="n"/>
      <c r="Q129" s="12" t="n"/>
      <c r="R129" s="12" t="n"/>
      <c r="S129" s="12" t="n"/>
      <c r="T129" s="9" t="n"/>
      <c r="U129" s="13" t="str">
        <f>IF(A129="","",INDEX('計算'!$Z$2:$Z$151,AF129))</f>
        <v/>
      </c>
      <c r="V129" s="13" t="str">
        <f>IF(A129="","",IFERROR(IF(INDEX('②クラス編成'!$E$9:$E$158,MATCH(A129,'②クラス編成'!$D$9:$D$158,0))="","未",INDEX('②クラス編成'!$E$9:$E$158,MATCH(A129,'②クラス編成'!$D$9:$D$158,0))),"未"))</f>
        <v/>
      </c>
      <c r="W129" s="14" t="str">
        <f>IF(A129="","",A129&amp;" "&amp;C129)</f>
        <v/>
      </c>
      <c r="X129" s="14" t="str">
        <f>IF(A129="","",IF(E129="男",1,IF(E129="女",2,3)))</f>
        <v/>
      </c>
      <c r="Y129" s="14">
        <f>IF(OR(M129="〇",M129="○",M129="◯"),1,0)</f>
        <v>0</v>
      </c>
      <c r="Z129" s="14">
        <f>IF(OR(N129="〇",N129="○",N129="◯"),1,0)</f>
        <v>0</v>
      </c>
      <c r="AA129" s="14">
        <f>IF(OR(O129="〇",O129="○",O129="◯"),1,0)</f>
        <v>0</v>
      </c>
      <c r="AB129" s="14">
        <f>IF(OR(P129="〇",P129="○",P129="◯"),1,0)</f>
        <v>0</v>
      </c>
      <c r="AC129" s="14" t="str">
        <f>IF(A129="","",IF(AA129=1,1,IF(Y129=1,2,IF(Z129=1,3,IF(AB129=1,4,5)))))</f>
        <v/>
      </c>
      <c r="AD129" s="14" t="str">
        <f>IF(A129="","",IF(K129="",'設定'!$C$37,K129))</f>
        <v/>
      </c>
      <c r="AE129" s="14" t="str">
        <f>IF(A129="","",AC129*10000000-ROUND(ABS((AD129-'設定'!$C$37)/'設定'!$C$38)*10000,0))</f>
        <v/>
      </c>
      <c r="AF129" s="14" t="str">
        <f>IF(A129="","",COUNTIF($AE$4:$AE$153,"&lt;"&amp;AE129)+COUNTIFS($AE$4:$AE$153,AE129,$A$4:$A$153,"&lt;"&amp;A129)+1)</f>
        <v/>
      </c>
      <c r="AG129" s="14" t="str">
        <f>IF(Q129="","",IFERROR(VALUE(LEFT(Q129,FIND(" ",Q129&amp;" ")-1)),IFERROR(INDEX($A$4:$A$153,MATCH(Q129,$C$4:$C$153,0)),"")))</f>
        <v/>
      </c>
      <c r="AH129" s="14" t="str">
        <f>IF(R129="","",IFERROR(VALUE(LEFT(R129,FIND(" ",R129&amp;" ")-1)),IFERROR(INDEX($A$4:$A$153,MATCH(R129,$C$4:$C$153,0)),"")))</f>
        <v/>
      </c>
      <c r="AI129" s="14" t="str">
        <f>IF(S129="","",IFERROR(VALUE(LEFT(S129,FIND(" ",S129&amp;" ")-1)),IFERROR(INDEX($A$4:$A$153,MATCH(S129,$C$4:$C$153,0)),"")))</f>
        <v/>
      </c>
      <c r="AJ129" s="14" t="str">
        <f>IF(OR(A129="",B129=""),"",IF(COUNTIFS($B$4:B129,B129,$A$4:A129,"&lt;&gt;")=1,MAX($AJ$3:AJ128)+1,""))</f>
        <v/>
      </c>
      <c r="AK129" s="14" t="str">
        <f>IF(OR(A129="",NOT(ISNUMBER(L129))),"",L129^2)</f>
        <v/>
      </c>
      <c r="AL129" s="14">
        <f>IF(OR(A129="",NOT(ISNUMBER(L129))),0,(L129-INDEX('計算'!$AE$7:$AG$7,X129))/INDEX('計算'!$AE$8:$AG$8,X129))</f>
        <v>0</v>
      </c>
    </row>
    <row r="130">
      <c r="A130" s="8" t="n"/>
      <c r="B130" s="8" t="n"/>
      <c r="C130" s="9" t="n"/>
      <c r="D130" s="9" t="n"/>
      <c r="E130" s="8" t="n"/>
      <c r="F130" s="8" t="n"/>
      <c r="G130" s="8" t="n"/>
      <c r="H130" s="8" t="n"/>
      <c r="I130" s="8" t="n"/>
      <c r="J130" s="8" t="n"/>
      <c r="K130" s="10" t="str">
        <f>IF(COUNT(F130:J130)=0,"",ROUND(AVERAGE(F130:J130),1))</f>
        <v/>
      </c>
      <c r="L130" s="11" t="n"/>
      <c r="M130" s="8" t="n"/>
      <c r="N130" s="8" t="n"/>
      <c r="O130" s="8" t="n"/>
      <c r="P130" s="8" t="n"/>
      <c r="Q130" s="12" t="n"/>
      <c r="R130" s="12" t="n"/>
      <c r="S130" s="12" t="n"/>
      <c r="T130" s="9" t="n"/>
      <c r="U130" s="13" t="str">
        <f>IF(A130="","",INDEX('計算'!$Z$2:$Z$151,AF130))</f>
        <v/>
      </c>
      <c r="V130" s="13" t="str">
        <f>IF(A130="","",IFERROR(IF(INDEX('②クラス編成'!$E$9:$E$158,MATCH(A130,'②クラス編成'!$D$9:$D$158,0))="","未",INDEX('②クラス編成'!$E$9:$E$158,MATCH(A130,'②クラス編成'!$D$9:$D$158,0))),"未"))</f>
        <v/>
      </c>
      <c r="W130" s="14" t="str">
        <f>IF(A130="","",A130&amp;" "&amp;C130)</f>
        <v/>
      </c>
      <c r="X130" s="14" t="str">
        <f>IF(A130="","",IF(E130="男",1,IF(E130="女",2,3)))</f>
        <v/>
      </c>
      <c r="Y130" s="14">
        <f>IF(OR(M130="〇",M130="○",M130="◯"),1,0)</f>
        <v>0</v>
      </c>
      <c r="Z130" s="14">
        <f>IF(OR(N130="〇",N130="○",N130="◯"),1,0)</f>
        <v>0</v>
      </c>
      <c r="AA130" s="14">
        <f>IF(OR(O130="〇",O130="○",O130="◯"),1,0)</f>
        <v>0</v>
      </c>
      <c r="AB130" s="14">
        <f>IF(OR(P130="〇",P130="○",P130="◯"),1,0)</f>
        <v>0</v>
      </c>
      <c r="AC130" s="14" t="str">
        <f>IF(A130="","",IF(AA130=1,1,IF(Y130=1,2,IF(Z130=1,3,IF(AB130=1,4,5)))))</f>
        <v/>
      </c>
      <c r="AD130" s="14" t="str">
        <f>IF(A130="","",IF(K130="",'設定'!$C$37,K130))</f>
        <v/>
      </c>
      <c r="AE130" s="14" t="str">
        <f>IF(A130="","",AC130*10000000-ROUND(ABS((AD130-'設定'!$C$37)/'設定'!$C$38)*10000,0))</f>
        <v/>
      </c>
      <c r="AF130" s="14" t="str">
        <f>IF(A130="","",COUNTIF($AE$4:$AE$153,"&lt;"&amp;AE130)+COUNTIFS($AE$4:$AE$153,AE130,$A$4:$A$153,"&lt;"&amp;A130)+1)</f>
        <v/>
      </c>
      <c r="AG130" s="14" t="str">
        <f>IF(Q130="","",IFERROR(VALUE(LEFT(Q130,FIND(" ",Q130&amp;" ")-1)),IFERROR(INDEX($A$4:$A$153,MATCH(Q130,$C$4:$C$153,0)),"")))</f>
        <v/>
      </c>
      <c r="AH130" s="14" t="str">
        <f>IF(R130="","",IFERROR(VALUE(LEFT(R130,FIND(" ",R130&amp;" ")-1)),IFERROR(INDEX($A$4:$A$153,MATCH(R130,$C$4:$C$153,0)),"")))</f>
        <v/>
      </c>
      <c r="AI130" s="14" t="str">
        <f>IF(S130="","",IFERROR(VALUE(LEFT(S130,FIND(" ",S130&amp;" ")-1)),IFERROR(INDEX($A$4:$A$153,MATCH(S130,$C$4:$C$153,0)),"")))</f>
        <v/>
      </c>
      <c r="AJ130" s="14" t="str">
        <f>IF(OR(A130="",B130=""),"",IF(COUNTIFS($B$4:B130,B130,$A$4:A130,"&lt;&gt;")=1,MAX($AJ$3:AJ129)+1,""))</f>
        <v/>
      </c>
      <c r="AK130" s="14" t="str">
        <f>IF(OR(A130="",NOT(ISNUMBER(L130))),"",L130^2)</f>
        <v/>
      </c>
      <c r="AL130" s="14">
        <f>IF(OR(A130="",NOT(ISNUMBER(L130))),0,(L130-INDEX('計算'!$AE$7:$AG$7,X130))/INDEX('計算'!$AE$8:$AG$8,X130))</f>
        <v>0</v>
      </c>
    </row>
    <row r="131">
      <c r="A131" s="8" t="n"/>
      <c r="B131" s="8" t="n"/>
      <c r="C131" s="9" t="n"/>
      <c r="D131" s="9" t="n"/>
      <c r="E131" s="8" t="n"/>
      <c r="F131" s="8" t="n"/>
      <c r="G131" s="8" t="n"/>
      <c r="H131" s="8" t="n"/>
      <c r="I131" s="8" t="n"/>
      <c r="J131" s="8" t="n"/>
      <c r="K131" s="10" t="str">
        <f>IF(COUNT(F131:J131)=0,"",ROUND(AVERAGE(F131:J131),1))</f>
        <v/>
      </c>
      <c r="L131" s="11" t="n"/>
      <c r="M131" s="8" t="n"/>
      <c r="N131" s="8" t="n"/>
      <c r="O131" s="8" t="n"/>
      <c r="P131" s="8" t="n"/>
      <c r="Q131" s="12" t="n"/>
      <c r="R131" s="12" t="n"/>
      <c r="S131" s="12" t="n"/>
      <c r="T131" s="9" t="n"/>
      <c r="U131" s="13" t="str">
        <f>IF(A131="","",INDEX('計算'!$Z$2:$Z$151,AF131))</f>
        <v/>
      </c>
      <c r="V131" s="13" t="str">
        <f>IF(A131="","",IFERROR(IF(INDEX('②クラス編成'!$E$9:$E$158,MATCH(A131,'②クラス編成'!$D$9:$D$158,0))="","未",INDEX('②クラス編成'!$E$9:$E$158,MATCH(A131,'②クラス編成'!$D$9:$D$158,0))),"未"))</f>
        <v/>
      </c>
      <c r="W131" s="14" t="str">
        <f>IF(A131="","",A131&amp;" "&amp;C131)</f>
        <v/>
      </c>
      <c r="X131" s="14" t="str">
        <f>IF(A131="","",IF(E131="男",1,IF(E131="女",2,3)))</f>
        <v/>
      </c>
      <c r="Y131" s="14">
        <f>IF(OR(M131="〇",M131="○",M131="◯"),1,0)</f>
        <v>0</v>
      </c>
      <c r="Z131" s="14">
        <f>IF(OR(N131="〇",N131="○",N131="◯"),1,0)</f>
        <v>0</v>
      </c>
      <c r="AA131" s="14">
        <f>IF(OR(O131="〇",O131="○",O131="◯"),1,0)</f>
        <v>0</v>
      </c>
      <c r="AB131" s="14">
        <f>IF(OR(P131="〇",P131="○",P131="◯"),1,0)</f>
        <v>0</v>
      </c>
      <c r="AC131" s="14" t="str">
        <f>IF(A131="","",IF(AA131=1,1,IF(Y131=1,2,IF(Z131=1,3,IF(AB131=1,4,5)))))</f>
        <v/>
      </c>
      <c r="AD131" s="14" t="str">
        <f>IF(A131="","",IF(K131="",'設定'!$C$37,K131))</f>
        <v/>
      </c>
      <c r="AE131" s="14" t="str">
        <f>IF(A131="","",AC131*10000000-ROUND(ABS((AD131-'設定'!$C$37)/'設定'!$C$38)*10000,0))</f>
        <v/>
      </c>
      <c r="AF131" s="14" t="str">
        <f>IF(A131="","",COUNTIF($AE$4:$AE$153,"&lt;"&amp;AE131)+COUNTIFS($AE$4:$AE$153,AE131,$A$4:$A$153,"&lt;"&amp;A131)+1)</f>
        <v/>
      </c>
      <c r="AG131" s="14" t="str">
        <f>IF(Q131="","",IFERROR(VALUE(LEFT(Q131,FIND(" ",Q131&amp;" ")-1)),IFERROR(INDEX($A$4:$A$153,MATCH(Q131,$C$4:$C$153,0)),"")))</f>
        <v/>
      </c>
      <c r="AH131" s="14" t="str">
        <f>IF(R131="","",IFERROR(VALUE(LEFT(R131,FIND(" ",R131&amp;" ")-1)),IFERROR(INDEX($A$4:$A$153,MATCH(R131,$C$4:$C$153,0)),"")))</f>
        <v/>
      </c>
      <c r="AI131" s="14" t="str">
        <f>IF(S131="","",IFERROR(VALUE(LEFT(S131,FIND(" ",S131&amp;" ")-1)),IFERROR(INDEX($A$4:$A$153,MATCH(S131,$C$4:$C$153,0)),"")))</f>
        <v/>
      </c>
      <c r="AJ131" s="14" t="str">
        <f>IF(OR(A131="",B131=""),"",IF(COUNTIFS($B$4:B131,B131,$A$4:A131,"&lt;&gt;")=1,MAX($AJ$3:AJ130)+1,""))</f>
        <v/>
      </c>
      <c r="AK131" s="14" t="str">
        <f>IF(OR(A131="",NOT(ISNUMBER(L131))),"",L131^2)</f>
        <v/>
      </c>
      <c r="AL131" s="14">
        <f>IF(OR(A131="",NOT(ISNUMBER(L131))),0,(L131-INDEX('計算'!$AE$7:$AG$7,X131))/INDEX('計算'!$AE$8:$AG$8,X131))</f>
        <v>0</v>
      </c>
    </row>
    <row r="132">
      <c r="A132" s="8" t="n"/>
      <c r="B132" s="8" t="n"/>
      <c r="C132" s="9" t="n"/>
      <c r="D132" s="9" t="n"/>
      <c r="E132" s="8" t="n"/>
      <c r="F132" s="8" t="n"/>
      <c r="G132" s="8" t="n"/>
      <c r="H132" s="8" t="n"/>
      <c r="I132" s="8" t="n"/>
      <c r="J132" s="8" t="n"/>
      <c r="K132" s="10" t="str">
        <f>IF(COUNT(F132:J132)=0,"",ROUND(AVERAGE(F132:J132),1))</f>
        <v/>
      </c>
      <c r="L132" s="11" t="n"/>
      <c r="M132" s="8" t="n"/>
      <c r="N132" s="8" t="n"/>
      <c r="O132" s="8" t="n"/>
      <c r="P132" s="8" t="n"/>
      <c r="Q132" s="12" t="n"/>
      <c r="R132" s="12" t="n"/>
      <c r="S132" s="12" t="n"/>
      <c r="T132" s="9" t="n"/>
      <c r="U132" s="13" t="str">
        <f>IF(A132="","",INDEX('計算'!$Z$2:$Z$151,AF132))</f>
        <v/>
      </c>
      <c r="V132" s="13" t="str">
        <f>IF(A132="","",IFERROR(IF(INDEX('②クラス編成'!$E$9:$E$158,MATCH(A132,'②クラス編成'!$D$9:$D$158,0))="","未",INDEX('②クラス編成'!$E$9:$E$158,MATCH(A132,'②クラス編成'!$D$9:$D$158,0))),"未"))</f>
        <v/>
      </c>
      <c r="W132" s="14" t="str">
        <f>IF(A132="","",A132&amp;" "&amp;C132)</f>
        <v/>
      </c>
      <c r="X132" s="14" t="str">
        <f>IF(A132="","",IF(E132="男",1,IF(E132="女",2,3)))</f>
        <v/>
      </c>
      <c r="Y132" s="14">
        <f>IF(OR(M132="〇",M132="○",M132="◯"),1,0)</f>
        <v>0</v>
      </c>
      <c r="Z132" s="14">
        <f>IF(OR(N132="〇",N132="○",N132="◯"),1,0)</f>
        <v>0</v>
      </c>
      <c r="AA132" s="14">
        <f>IF(OR(O132="〇",O132="○",O132="◯"),1,0)</f>
        <v>0</v>
      </c>
      <c r="AB132" s="14">
        <f>IF(OR(P132="〇",P132="○",P132="◯"),1,0)</f>
        <v>0</v>
      </c>
      <c r="AC132" s="14" t="str">
        <f>IF(A132="","",IF(AA132=1,1,IF(Y132=1,2,IF(Z132=1,3,IF(AB132=1,4,5)))))</f>
        <v/>
      </c>
      <c r="AD132" s="14" t="str">
        <f>IF(A132="","",IF(K132="",'設定'!$C$37,K132))</f>
        <v/>
      </c>
      <c r="AE132" s="14" t="str">
        <f>IF(A132="","",AC132*10000000-ROUND(ABS((AD132-'設定'!$C$37)/'設定'!$C$38)*10000,0))</f>
        <v/>
      </c>
      <c r="AF132" s="14" t="str">
        <f>IF(A132="","",COUNTIF($AE$4:$AE$153,"&lt;"&amp;AE132)+COUNTIFS($AE$4:$AE$153,AE132,$A$4:$A$153,"&lt;"&amp;A132)+1)</f>
        <v/>
      </c>
      <c r="AG132" s="14" t="str">
        <f>IF(Q132="","",IFERROR(VALUE(LEFT(Q132,FIND(" ",Q132&amp;" ")-1)),IFERROR(INDEX($A$4:$A$153,MATCH(Q132,$C$4:$C$153,0)),"")))</f>
        <v/>
      </c>
      <c r="AH132" s="14" t="str">
        <f>IF(R132="","",IFERROR(VALUE(LEFT(R132,FIND(" ",R132&amp;" ")-1)),IFERROR(INDEX($A$4:$A$153,MATCH(R132,$C$4:$C$153,0)),"")))</f>
        <v/>
      </c>
      <c r="AI132" s="14" t="str">
        <f>IF(S132="","",IFERROR(VALUE(LEFT(S132,FIND(" ",S132&amp;" ")-1)),IFERROR(INDEX($A$4:$A$153,MATCH(S132,$C$4:$C$153,0)),"")))</f>
        <v/>
      </c>
      <c r="AJ132" s="14" t="str">
        <f>IF(OR(A132="",B132=""),"",IF(COUNTIFS($B$4:B132,B132,$A$4:A132,"&lt;&gt;")=1,MAX($AJ$3:AJ131)+1,""))</f>
        <v/>
      </c>
      <c r="AK132" s="14" t="str">
        <f>IF(OR(A132="",NOT(ISNUMBER(L132))),"",L132^2)</f>
        <v/>
      </c>
      <c r="AL132" s="14">
        <f>IF(OR(A132="",NOT(ISNUMBER(L132))),0,(L132-INDEX('計算'!$AE$7:$AG$7,X132))/INDEX('計算'!$AE$8:$AG$8,X132))</f>
        <v>0</v>
      </c>
    </row>
    <row r="133">
      <c r="A133" s="8" t="n"/>
      <c r="B133" s="8" t="n"/>
      <c r="C133" s="9" t="n"/>
      <c r="D133" s="9" t="n"/>
      <c r="E133" s="8" t="n"/>
      <c r="F133" s="8" t="n"/>
      <c r="G133" s="8" t="n"/>
      <c r="H133" s="8" t="n"/>
      <c r="I133" s="8" t="n"/>
      <c r="J133" s="8" t="n"/>
      <c r="K133" s="10" t="str">
        <f>IF(COUNT(F133:J133)=0,"",ROUND(AVERAGE(F133:J133),1))</f>
        <v/>
      </c>
      <c r="L133" s="11" t="n"/>
      <c r="M133" s="8" t="n"/>
      <c r="N133" s="8" t="n"/>
      <c r="O133" s="8" t="n"/>
      <c r="P133" s="8" t="n"/>
      <c r="Q133" s="12" t="n"/>
      <c r="R133" s="12" t="n"/>
      <c r="S133" s="12" t="n"/>
      <c r="T133" s="9" t="n"/>
      <c r="U133" s="13" t="str">
        <f>IF(A133="","",INDEX('計算'!$Z$2:$Z$151,AF133))</f>
        <v/>
      </c>
      <c r="V133" s="13" t="str">
        <f>IF(A133="","",IFERROR(IF(INDEX('②クラス編成'!$E$9:$E$158,MATCH(A133,'②クラス編成'!$D$9:$D$158,0))="","未",INDEX('②クラス編成'!$E$9:$E$158,MATCH(A133,'②クラス編成'!$D$9:$D$158,0))),"未"))</f>
        <v/>
      </c>
      <c r="W133" s="14" t="str">
        <f>IF(A133="","",A133&amp;" "&amp;C133)</f>
        <v/>
      </c>
      <c r="X133" s="14" t="str">
        <f>IF(A133="","",IF(E133="男",1,IF(E133="女",2,3)))</f>
        <v/>
      </c>
      <c r="Y133" s="14">
        <f>IF(OR(M133="〇",M133="○",M133="◯"),1,0)</f>
        <v>0</v>
      </c>
      <c r="Z133" s="14">
        <f>IF(OR(N133="〇",N133="○",N133="◯"),1,0)</f>
        <v>0</v>
      </c>
      <c r="AA133" s="14">
        <f>IF(OR(O133="〇",O133="○",O133="◯"),1,0)</f>
        <v>0</v>
      </c>
      <c r="AB133" s="14">
        <f>IF(OR(P133="〇",P133="○",P133="◯"),1,0)</f>
        <v>0</v>
      </c>
      <c r="AC133" s="14" t="str">
        <f>IF(A133="","",IF(AA133=1,1,IF(Y133=1,2,IF(Z133=1,3,IF(AB133=1,4,5)))))</f>
        <v/>
      </c>
      <c r="AD133" s="14" t="str">
        <f>IF(A133="","",IF(K133="",'設定'!$C$37,K133))</f>
        <v/>
      </c>
      <c r="AE133" s="14" t="str">
        <f>IF(A133="","",AC133*10000000-ROUND(ABS((AD133-'設定'!$C$37)/'設定'!$C$38)*10000,0))</f>
        <v/>
      </c>
      <c r="AF133" s="14" t="str">
        <f>IF(A133="","",COUNTIF($AE$4:$AE$153,"&lt;"&amp;AE133)+COUNTIFS($AE$4:$AE$153,AE133,$A$4:$A$153,"&lt;"&amp;A133)+1)</f>
        <v/>
      </c>
      <c r="AG133" s="14" t="str">
        <f>IF(Q133="","",IFERROR(VALUE(LEFT(Q133,FIND(" ",Q133&amp;" ")-1)),IFERROR(INDEX($A$4:$A$153,MATCH(Q133,$C$4:$C$153,0)),"")))</f>
        <v/>
      </c>
      <c r="AH133" s="14" t="str">
        <f>IF(R133="","",IFERROR(VALUE(LEFT(R133,FIND(" ",R133&amp;" ")-1)),IFERROR(INDEX($A$4:$A$153,MATCH(R133,$C$4:$C$153,0)),"")))</f>
        <v/>
      </c>
      <c r="AI133" s="14" t="str">
        <f>IF(S133="","",IFERROR(VALUE(LEFT(S133,FIND(" ",S133&amp;" ")-1)),IFERROR(INDEX($A$4:$A$153,MATCH(S133,$C$4:$C$153,0)),"")))</f>
        <v/>
      </c>
      <c r="AJ133" s="14" t="str">
        <f>IF(OR(A133="",B133=""),"",IF(COUNTIFS($B$4:B133,B133,$A$4:A133,"&lt;&gt;")=1,MAX($AJ$3:AJ132)+1,""))</f>
        <v/>
      </c>
      <c r="AK133" s="14" t="str">
        <f>IF(OR(A133="",NOT(ISNUMBER(L133))),"",L133^2)</f>
        <v/>
      </c>
      <c r="AL133" s="14">
        <f>IF(OR(A133="",NOT(ISNUMBER(L133))),0,(L133-INDEX('計算'!$AE$7:$AG$7,X133))/INDEX('計算'!$AE$8:$AG$8,X133))</f>
        <v>0</v>
      </c>
    </row>
    <row r="134">
      <c r="A134" s="8" t="n"/>
      <c r="B134" s="8" t="n"/>
      <c r="C134" s="9" t="n"/>
      <c r="D134" s="9" t="n"/>
      <c r="E134" s="8" t="n"/>
      <c r="F134" s="8" t="n"/>
      <c r="G134" s="8" t="n"/>
      <c r="H134" s="8" t="n"/>
      <c r="I134" s="8" t="n"/>
      <c r="J134" s="8" t="n"/>
      <c r="K134" s="10" t="str">
        <f>IF(COUNT(F134:J134)=0,"",ROUND(AVERAGE(F134:J134),1))</f>
        <v/>
      </c>
      <c r="L134" s="11" t="n"/>
      <c r="M134" s="8" t="n"/>
      <c r="N134" s="8" t="n"/>
      <c r="O134" s="8" t="n"/>
      <c r="P134" s="8" t="n"/>
      <c r="Q134" s="12" t="n"/>
      <c r="R134" s="12" t="n"/>
      <c r="S134" s="12" t="n"/>
      <c r="T134" s="9" t="n"/>
      <c r="U134" s="13" t="str">
        <f>IF(A134="","",INDEX('計算'!$Z$2:$Z$151,AF134))</f>
        <v/>
      </c>
      <c r="V134" s="13" t="str">
        <f>IF(A134="","",IFERROR(IF(INDEX('②クラス編成'!$E$9:$E$158,MATCH(A134,'②クラス編成'!$D$9:$D$158,0))="","未",INDEX('②クラス編成'!$E$9:$E$158,MATCH(A134,'②クラス編成'!$D$9:$D$158,0))),"未"))</f>
        <v/>
      </c>
      <c r="W134" s="14" t="str">
        <f>IF(A134="","",A134&amp;" "&amp;C134)</f>
        <v/>
      </c>
      <c r="X134" s="14" t="str">
        <f>IF(A134="","",IF(E134="男",1,IF(E134="女",2,3)))</f>
        <v/>
      </c>
      <c r="Y134" s="14">
        <f>IF(OR(M134="〇",M134="○",M134="◯"),1,0)</f>
        <v>0</v>
      </c>
      <c r="Z134" s="14">
        <f>IF(OR(N134="〇",N134="○",N134="◯"),1,0)</f>
        <v>0</v>
      </c>
      <c r="AA134" s="14">
        <f>IF(OR(O134="〇",O134="○",O134="◯"),1,0)</f>
        <v>0</v>
      </c>
      <c r="AB134" s="14">
        <f>IF(OR(P134="〇",P134="○",P134="◯"),1,0)</f>
        <v>0</v>
      </c>
      <c r="AC134" s="14" t="str">
        <f>IF(A134="","",IF(AA134=1,1,IF(Y134=1,2,IF(Z134=1,3,IF(AB134=1,4,5)))))</f>
        <v/>
      </c>
      <c r="AD134" s="14" t="str">
        <f>IF(A134="","",IF(K134="",'設定'!$C$37,K134))</f>
        <v/>
      </c>
      <c r="AE134" s="14" t="str">
        <f>IF(A134="","",AC134*10000000-ROUND(ABS((AD134-'設定'!$C$37)/'設定'!$C$38)*10000,0))</f>
        <v/>
      </c>
      <c r="AF134" s="14" t="str">
        <f>IF(A134="","",COUNTIF($AE$4:$AE$153,"&lt;"&amp;AE134)+COUNTIFS($AE$4:$AE$153,AE134,$A$4:$A$153,"&lt;"&amp;A134)+1)</f>
        <v/>
      </c>
      <c r="AG134" s="14" t="str">
        <f>IF(Q134="","",IFERROR(VALUE(LEFT(Q134,FIND(" ",Q134&amp;" ")-1)),IFERROR(INDEX($A$4:$A$153,MATCH(Q134,$C$4:$C$153,0)),"")))</f>
        <v/>
      </c>
      <c r="AH134" s="14" t="str">
        <f>IF(R134="","",IFERROR(VALUE(LEFT(R134,FIND(" ",R134&amp;" ")-1)),IFERROR(INDEX($A$4:$A$153,MATCH(R134,$C$4:$C$153,0)),"")))</f>
        <v/>
      </c>
      <c r="AI134" s="14" t="str">
        <f>IF(S134="","",IFERROR(VALUE(LEFT(S134,FIND(" ",S134&amp;" ")-1)),IFERROR(INDEX($A$4:$A$153,MATCH(S134,$C$4:$C$153,0)),"")))</f>
        <v/>
      </c>
      <c r="AJ134" s="14" t="str">
        <f>IF(OR(A134="",B134=""),"",IF(COUNTIFS($B$4:B134,B134,$A$4:A134,"&lt;&gt;")=1,MAX($AJ$3:AJ133)+1,""))</f>
        <v/>
      </c>
      <c r="AK134" s="14" t="str">
        <f>IF(OR(A134="",NOT(ISNUMBER(L134))),"",L134^2)</f>
        <v/>
      </c>
      <c r="AL134" s="14">
        <f>IF(OR(A134="",NOT(ISNUMBER(L134))),0,(L134-INDEX('計算'!$AE$7:$AG$7,X134))/INDEX('計算'!$AE$8:$AG$8,X134))</f>
        <v>0</v>
      </c>
    </row>
    <row r="135">
      <c r="A135" s="8" t="n"/>
      <c r="B135" s="8" t="n"/>
      <c r="C135" s="9" t="n"/>
      <c r="D135" s="9" t="n"/>
      <c r="E135" s="8" t="n"/>
      <c r="F135" s="8" t="n"/>
      <c r="G135" s="8" t="n"/>
      <c r="H135" s="8" t="n"/>
      <c r="I135" s="8" t="n"/>
      <c r="J135" s="8" t="n"/>
      <c r="K135" s="10" t="str">
        <f>IF(COUNT(F135:J135)=0,"",ROUND(AVERAGE(F135:J135),1))</f>
        <v/>
      </c>
      <c r="L135" s="11" t="n"/>
      <c r="M135" s="8" t="n"/>
      <c r="N135" s="8" t="n"/>
      <c r="O135" s="8" t="n"/>
      <c r="P135" s="8" t="n"/>
      <c r="Q135" s="12" t="n"/>
      <c r="R135" s="12" t="n"/>
      <c r="S135" s="12" t="n"/>
      <c r="T135" s="9" t="n"/>
      <c r="U135" s="13" t="str">
        <f>IF(A135="","",INDEX('計算'!$Z$2:$Z$151,AF135))</f>
        <v/>
      </c>
      <c r="V135" s="13" t="str">
        <f>IF(A135="","",IFERROR(IF(INDEX('②クラス編成'!$E$9:$E$158,MATCH(A135,'②クラス編成'!$D$9:$D$158,0))="","未",INDEX('②クラス編成'!$E$9:$E$158,MATCH(A135,'②クラス編成'!$D$9:$D$158,0))),"未"))</f>
        <v/>
      </c>
      <c r="W135" s="14" t="str">
        <f>IF(A135="","",A135&amp;" "&amp;C135)</f>
        <v/>
      </c>
      <c r="X135" s="14" t="str">
        <f>IF(A135="","",IF(E135="男",1,IF(E135="女",2,3)))</f>
        <v/>
      </c>
      <c r="Y135" s="14">
        <f>IF(OR(M135="〇",M135="○",M135="◯"),1,0)</f>
        <v>0</v>
      </c>
      <c r="Z135" s="14">
        <f>IF(OR(N135="〇",N135="○",N135="◯"),1,0)</f>
        <v>0</v>
      </c>
      <c r="AA135" s="14">
        <f>IF(OR(O135="〇",O135="○",O135="◯"),1,0)</f>
        <v>0</v>
      </c>
      <c r="AB135" s="14">
        <f>IF(OR(P135="〇",P135="○",P135="◯"),1,0)</f>
        <v>0</v>
      </c>
      <c r="AC135" s="14" t="str">
        <f>IF(A135="","",IF(AA135=1,1,IF(Y135=1,2,IF(Z135=1,3,IF(AB135=1,4,5)))))</f>
        <v/>
      </c>
      <c r="AD135" s="14" t="str">
        <f>IF(A135="","",IF(K135="",'設定'!$C$37,K135))</f>
        <v/>
      </c>
      <c r="AE135" s="14" t="str">
        <f>IF(A135="","",AC135*10000000-ROUND(ABS((AD135-'設定'!$C$37)/'設定'!$C$38)*10000,0))</f>
        <v/>
      </c>
      <c r="AF135" s="14" t="str">
        <f>IF(A135="","",COUNTIF($AE$4:$AE$153,"&lt;"&amp;AE135)+COUNTIFS($AE$4:$AE$153,AE135,$A$4:$A$153,"&lt;"&amp;A135)+1)</f>
        <v/>
      </c>
      <c r="AG135" s="14" t="str">
        <f>IF(Q135="","",IFERROR(VALUE(LEFT(Q135,FIND(" ",Q135&amp;" ")-1)),IFERROR(INDEX($A$4:$A$153,MATCH(Q135,$C$4:$C$153,0)),"")))</f>
        <v/>
      </c>
      <c r="AH135" s="14" t="str">
        <f>IF(R135="","",IFERROR(VALUE(LEFT(R135,FIND(" ",R135&amp;" ")-1)),IFERROR(INDEX($A$4:$A$153,MATCH(R135,$C$4:$C$153,0)),"")))</f>
        <v/>
      </c>
      <c r="AI135" s="14" t="str">
        <f>IF(S135="","",IFERROR(VALUE(LEFT(S135,FIND(" ",S135&amp;" ")-1)),IFERROR(INDEX($A$4:$A$153,MATCH(S135,$C$4:$C$153,0)),"")))</f>
        <v/>
      </c>
      <c r="AJ135" s="14" t="str">
        <f>IF(OR(A135="",B135=""),"",IF(COUNTIFS($B$4:B135,B135,$A$4:A135,"&lt;&gt;")=1,MAX($AJ$3:AJ134)+1,""))</f>
        <v/>
      </c>
      <c r="AK135" s="14" t="str">
        <f>IF(OR(A135="",NOT(ISNUMBER(L135))),"",L135^2)</f>
        <v/>
      </c>
      <c r="AL135" s="14">
        <f>IF(OR(A135="",NOT(ISNUMBER(L135))),0,(L135-INDEX('計算'!$AE$7:$AG$7,X135))/INDEX('計算'!$AE$8:$AG$8,X135))</f>
        <v>0</v>
      </c>
    </row>
    <row r="136">
      <c r="A136" s="8" t="n"/>
      <c r="B136" s="8" t="n"/>
      <c r="C136" s="9" t="n"/>
      <c r="D136" s="9" t="n"/>
      <c r="E136" s="8" t="n"/>
      <c r="F136" s="8" t="n"/>
      <c r="G136" s="8" t="n"/>
      <c r="H136" s="8" t="n"/>
      <c r="I136" s="8" t="n"/>
      <c r="J136" s="8" t="n"/>
      <c r="K136" s="10" t="str">
        <f>IF(COUNT(F136:J136)=0,"",ROUND(AVERAGE(F136:J136),1))</f>
        <v/>
      </c>
      <c r="L136" s="11" t="n"/>
      <c r="M136" s="8" t="n"/>
      <c r="N136" s="8" t="n"/>
      <c r="O136" s="8" t="n"/>
      <c r="P136" s="8" t="n"/>
      <c r="Q136" s="12" t="n"/>
      <c r="R136" s="12" t="n"/>
      <c r="S136" s="12" t="n"/>
      <c r="T136" s="9" t="n"/>
      <c r="U136" s="13" t="str">
        <f>IF(A136="","",INDEX('計算'!$Z$2:$Z$151,AF136))</f>
        <v/>
      </c>
      <c r="V136" s="13" t="str">
        <f>IF(A136="","",IFERROR(IF(INDEX('②クラス編成'!$E$9:$E$158,MATCH(A136,'②クラス編成'!$D$9:$D$158,0))="","未",INDEX('②クラス編成'!$E$9:$E$158,MATCH(A136,'②クラス編成'!$D$9:$D$158,0))),"未"))</f>
        <v/>
      </c>
      <c r="W136" s="14" t="str">
        <f>IF(A136="","",A136&amp;" "&amp;C136)</f>
        <v/>
      </c>
      <c r="X136" s="14" t="str">
        <f>IF(A136="","",IF(E136="男",1,IF(E136="女",2,3)))</f>
        <v/>
      </c>
      <c r="Y136" s="14">
        <f>IF(OR(M136="〇",M136="○",M136="◯"),1,0)</f>
        <v>0</v>
      </c>
      <c r="Z136" s="14">
        <f>IF(OR(N136="〇",N136="○",N136="◯"),1,0)</f>
        <v>0</v>
      </c>
      <c r="AA136" s="14">
        <f>IF(OR(O136="〇",O136="○",O136="◯"),1,0)</f>
        <v>0</v>
      </c>
      <c r="AB136" s="14">
        <f>IF(OR(P136="〇",P136="○",P136="◯"),1,0)</f>
        <v>0</v>
      </c>
      <c r="AC136" s="14" t="str">
        <f>IF(A136="","",IF(AA136=1,1,IF(Y136=1,2,IF(Z136=1,3,IF(AB136=1,4,5)))))</f>
        <v/>
      </c>
      <c r="AD136" s="14" t="str">
        <f>IF(A136="","",IF(K136="",'設定'!$C$37,K136))</f>
        <v/>
      </c>
      <c r="AE136" s="14" t="str">
        <f>IF(A136="","",AC136*10000000-ROUND(ABS((AD136-'設定'!$C$37)/'設定'!$C$38)*10000,0))</f>
        <v/>
      </c>
      <c r="AF136" s="14" t="str">
        <f>IF(A136="","",COUNTIF($AE$4:$AE$153,"&lt;"&amp;AE136)+COUNTIFS($AE$4:$AE$153,AE136,$A$4:$A$153,"&lt;"&amp;A136)+1)</f>
        <v/>
      </c>
      <c r="AG136" s="14" t="str">
        <f>IF(Q136="","",IFERROR(VALUE(LEFT(Q136,FIND(" ",Q136&amp;" ")-1)),IFERROR(INDEX($A$4:$A$153,MATCH(Q136,$C$4:$C$153,0)),"")))</f>
        <v/>
      </c>
      <c r="AH136" s="14" t="str">
        <f>IF(R136="","",IFERROR(VALUE(LEFT(R136,FIND(" ",R136&amp;" ")-1)),IFERROR(INDEX($A$4:$A$153,MATCH(R136,$C$4:$C$153,0)),"")))</f>
        <v/>
      </c>
      <c r="AI136" s="14" t="str">
        <f>IF(S136="","",IFERROR(VALUE(LEFT(S136,FIND(" ",S136&amp;" ")-1)),IFERROR(INDEX($A$4:$A$153,MATCH(S136,$C$4:$C$153,0)),"")))</f>
        <v/>
      </c>
      <c r="AJ136" s="14" t="str">
        <f>IF(OR(A136="",B136=""),"",IF(COUNTIFS($B$4:B136,B136,$A$4:A136,"&lt;&gt;")=1,MAX($AJ$3:AJ135)+1,""))</f>
        <v/>
      </c>
      <c r="AK136" s="14" t="str">
        <f>IF(OR(A136="",NOT(ISNUMBER(L136))),"",L136^2)</f>
        <v/>
      </c>
      <c r="AL136" s="14">
        <f>IF(OR(A136="",NOT(ISNUMBER(L136))),0,(L136-INDEX('計算'!$AE$7:$AG$7,X136))/INDEX('計算'!$AE$8:$AG$8,X136))</f>
        <v>0</v>
      </c>
    </row>
    <row r="137">
      <c r="A137" s="8" t="n"/>
      <c r="B137" s="8" t="n"/>
      <c r="C137" s="9" t="n"/>
      <c r="D137" s="9" t="n"/>
      <c r="E137" s="8" t="n"/>
      <c r="F137" s="8" t="n"/>
      <c r="G137" s="8" t="n"/>
      <c r="H137" s="8" t="n"/>
      <c r="I137" s="8" t="n"/>
      <c r="J137" s="8" t="n"/>
      <c r="K137" s="10" t="str">
        <f>IF(COUNT(F137:J137)=0,"",ROUND(AVERAGE(F137:J137),1))</f>
        <v/>
      </c>
      <c r="L137" s="11" t="n"/>
      <c r="M137" s="8" t="n"/>
      <c r="N137" s="8" t="n"/>
      <c r="O137" s="8" t="n"/>
      <c r="P137" s="8" t="n"/>
      <c r="Q137" s="12" t="n"/>
      <c r="R137" s="12" t="n"/>
      <c r="S137" s="12" t="n"/>
      <c r="T137" s="9" t="n"/>
      <c r="U137" s="13" t="str">
        <f>IF(A137="","",INDEX('計算'!$Z$2:$Z$151,AF137))</f>
        <v/>
      </c>
      <c r="V137" s="13" t="str">
        <f>IF(A137="","",IFERROR(IF(INDEX('②クラス編成'!$E$9:$E$158,MATCH(A137,'②クラス編成'!$D$9:$D$158,0))="","未",INDEX('②クラス編成'!$E$9:$E$158,MATCH(A137,'②クラス編成'!$D$9:$D$158,0))),"未"))</f>
        <v/>
      </c>
      <c r="W137" s="14" t="str">
        <f>IF(A137="","",A137&amp;" "&amp;C137)</f>
        <v/>
      </c>
      <c r="X137" s="14" t="str">
        <f>IF(A137="","",IF(E137="男",1,IF(E137="女",2,3)))</f>
        <v/>
      </c>
      <c r="Y137" s="14">
        <f>IF(OR(M137="〇",M137="○",M137="◯"),1,0)</f>
        <v>0</v>
      </c>
      <c r="Z137" s="14">
        <f>IF(OR(N137="〇",N137="○",N137="◯"),1,0)</f>
        <v>0</v>
      </c>
      <c r="AA137" s="14">
        <f>IF(OR(O137="〇",O137="○",O137="◯"),1,0)</f>
        <v>0</v>
      </c>
      <c r="AB137" s="14">
        <f>IF(OR(P137="〇",P137="○",P137="◯"),1,0)</f>
        <v>0</v>
      </c>
      <c r="AC137" s="14" t="str">
        <f>IF(A137="","",IF(AA137=1,1,IF(Y137=1,2,IF(Z137=1,3,IF(AB137=1,4,5)))))</f>
        <v/>
      </c>
      <c r="AD137" s="14" t="str">
        <f>IF(A137="","",IF(K137="",'設定'!$C$37,K137))</f>
        <v/>
      </c>
      <c r="AE137" s="14" t="str">
        <f>IF(A137="","",AC137*10000000-ROUND(ABS((AD137-'設定'!$C$37)/'設定'!$C$38)*10000,0))</f>
        <v/>
      </c>
      <c r="AF137" s="14" t="str">
        <f>IF(A137="","",COUNTIF($AE$4:$AE$153,"&lt;"&amp;AE137)+COUNTIFS($AE$4:$AE$153,AE137,$A$4:$A$153,"&lt;"&amp;A137)+1)</f>
        <v/>
      </c>
      <c r="AG137" s="14" t="str">
        <f>IF(Q137="","",IFERROR(VALUE(LEFT(Q137,FIND(" ",Q137&amp;" ")-1)),IFERROR(INDEX($A$4:$A$153,MATCH(Q137,$C$4:$C$153,0)),"")))</f>
        <v/>
      </c>
      <c r="AH137" s="14" t="str">
        <f>IF(R137="","",IFERROR(VALUE(LEFT(R137,FIND(" ",R137&amp;" ")-1)),IFERROR(INDEX($A$4:$A$153,MATCH(R137,$C$4:$C$153,0)),"")))</f>
        <v/>
      </c>
      <c r="AI137" s="14" t="str">
        <f>IF(S137="","",IFERROR(VALUE(LEFT(S137,FIND(" ",S137&amp;" ")-1)),IFERROR(INDEX($A$4:$A$153,MATCH(S137,$C$4:$C$153,0)),"")))</f>
        <v/>
      </c>
      <c r="AJ137" s="14" t="str">
        <f>IF(OR(A137="",B137=""),"",IF(COUNTIFS($B$4:B137,B137,$A$4:A137,"&lt;&gt;")=1,MAX($AJ$3:AJ136)+1,""))</f>
        <v/>
      </c>
      <c r="AK137" s="14" t="str">
        <f>IF(OR(A137="",NOT(ISNUMBER(L137))),"",L137^2)</f>
        <v/>
      </c>
      <c r="AL137" s="14">
        <f>IF(OR(A137="",NOT(ISNUMBER(L137))),0,(L137-INDEX('計算'!$AE$7:$AG$7,X137))/INDEX('計算'!$AE$8:$AG$8,X137))</f>
        <v>0</v>
      </c>
    </row>
    <row r="138">
      <c r="A138" s="8" t="n"/>
      <c r="B138" s="8" t="n"/>
      <c r="C138" s="9" t="n"/>
      <c r="D138" s="9" t="n"/>
      <c r="E138" s="8" t="n"/>
      <c r="F138" s="8" t="n"/>
      <c r="G138" s="8" t="n"/>
      <c r="H138" s="8" t="n"/>
      <c r="I138" s="8" t="n"/>
      <c r="J138" s="8" t="n"/>
      <c r="K138" s="10" t="str">
        <f>IF(COUNT(F138:J138)=0,"",ROUND(AVERAGE(F138:J138),1))</f>
        <v/>
      </c>
      <c r="L138" s="11" t="n"/>
      <c r="M138" s="8" t="n"/>
      <c r="N138" s="8" t="n"/>
      <c r="O138" s="8" t="n"/>
      <c r="P138" s="8" t="n"/>
      <c r="Q138" s="12" t="n"/>
      <c r="R138" s="12" t="n"/>
      <c r="S138" s="12" t="n"/>
      <c r="T138" s="9" t="n"/>
      <c r="U138" s="13" t="str">
        <f>IF(A138="","",INDEX('計算'!$Z$2:$Z$151,AF138))</f>
        <v/>
      </c>
      <c r="V138" s="13" t="str">
        <f>IF(A138="","",IFERROR(IF(INDEX('②クラス編成'!$E$9:$E$158,MATCH(A138,'②クラス編成'!$D$9:$D$158,0))="","未",INDEX('②クラス編成'!$E$9:$E$158,MATCH(A138,'②クラス編成'!$D$9:$D$158,0))),"未"))</f>
        <v/>
      </c>
      <c r="W138" s="14" t="str">
        <f>IF(A138="","",A138&amp;" "&amp;C138)</f>
        <v/>
      </c>
      <c r="X138" s="14" t="str">
        <f>IF(A138="","",IF(E138="男",1,IF(E138="女",2,3)))</f>
        <v/>
      </c>
      <c r="Y138" s="14">
        <f>IF(OR(M138="〇",M138="○",M138="◯"),1,0)</f>
        <v>0</v>
      </c>
      <c r="Z138" s="14">
        <f>IF(OR(N138="〇",N138="○",N138="◯"),1,0)</f>
        <v>0</v>
      </c>
      <c r="AA138" s="14">
        <f>IF(OR(O138="〇",O138="○",O138="◯"),1,0)</f>
        <v>0</v>
      </c>
      <c r="AB138" s="14">
        <f>IF(OR(P138="〇",P138="○",P138="◯"),1,0)</f>
        <v>0</v>
      </c>
      <c r="AC138" s="14" t="str">
        <f>IF(A138="","",IF(AA138=1,1,IF(Y138=1,2,IF(Z138=1,3,IF(AB138=1,4,5)))))</f>
        <v/>
      </c>
      <c r="AD138" s="14" t="str">
        <f>IF(A138="","",IF(K138="",'設定'!$C$37,K138))</f>
        <v/>
      </c>
      <c r="AE138" s="14" t="str">
        <f>IF(A138="","",AC138*10000000-ROUND(ABS((AD138-'設定'!$C$37)/'設定'!$C$38)*10000,0))</f>
        <v/>
      </c>
      <c r="AF138" s="14" t="str">
        <f>IF(A138="","",COUNTIF($AE$4:$AE$153,"&lt;"&amp;AE138)+COUNTIFS($AE$4:$AE$153,AE138,$A$4:$A$153,"&lt;"&amp;A138)+1)</f>
        <v/>
      </c>
      <c r="AG138" s="14" t="str">
        <f>IF(Q138="","",IFERROR(VALUE(LEFT(Q138,FIND(" ",Q138&amp;" ")-1)),IFERROR(INDEX($A$4:$A$153,MATCH(Q138,$C$4:$C$153,0)),"")))</f>
        <v/>
      </c>
      <c r="AH138" s="14" t="str">
        <f>IF(R138="","",IFERROR(VALUE(LEFT(R138,FIND(" ",R138&amp;" ")-1)),IFERROR(INDEX($A$4:$A$153,MATCH(R138,$C$4:$C$153,0)),"")))</f>
        <v/>
      </c>
      <c r="AI138" s="14" t="str">
        <f>IF(S138="","",IFERROR(VALUE(LEFT(S138,FIND(" ",S138&amp;" ")-1)),IFERROR(INDEX($A$4:$A$153,MATCH(S138,$C$4:$C$153,0)),"")))</f>
        <v/>
      </c>
      <c r="AJ138" s="14" t="str">
        <f>IF(OR(A138="",B138=""),"",IF(COUNTIFS($B$4:B138,B138,$A$4:A138,"&lt;&gt;")=1,MAX($AJ$3:AJ137)+1,""))</f>
        <v/>
      </c>
      <c r="AK138" s="14" t="str">
        <f>IF(OR(A138="",NOT(ISNUMBER(L138))),"",L138^2)</f>
        <v/>
      </c>
      <c r="AL138" s="14">
        <f>IF(OR(A138="",NOT(ISNUMBER(L138))),0,(L138-INDEX('計算'!$AE$7:$AG$7,X138))/INDEX('計算'!$AE$8:$AG$8,X138))</f>
        <v>0</v>
      </c>
    </row>
    <row r="139">
      <c r="A139" s="8" t="n"/>
      <c r="B139" s="8" t="n"/>
      <c r="C139" s="9" t="n"/>
      <c r="D139" s="9" t="n"/>
      <c r="E139" s="8" t="n"/>
      <c r="F139" s="8" t="n"/>
      <c r="G139" s="8" t="n"/>
      <c r="H139" s="8" t="n"/>
      <c r="I139" s="8" t="n"/>
      <c r="J139" s="8" t="n"/>
      <c r="K139" s="10" t="str">
        <f>IF(COUNT(F139:J139)=0,"",ROUND(AVERAGE(F139:J139),1))</f>
        <v/>
      </c>
      <c r="L139" s="11" t="n"/>
      <c r="M139" s="8" t="n"/>
      <c r="N139" s="8" t="n"/>
      <c r="O139" s="8" t="n"/>
      <c r="P139" s="8" t="n"/>
      <c r="Q139" s="12" t="n"/>
      <c r="R139" s="12" t="n"/>
      <c r="S139" s="12" t="n"/>
      <c r="T139" s="9" t="n"/>
      <c r="U139" s="13" t="str">
        <f>IF(A139="","",INDEX('計算'!$Z$2:$Z$151,AF139))</f>
        <v/>
      </c>
      <c r="V139" s="13" t="str">
        <f>IF(A139="","",IFERROR(IF(INDEX('②クラス編成'!$E$9:$E$158,MATCH(A139,'②クラス編成'!$D$9:$D$158,0))="","未",INDEX('②クラス編成'!$E$9:$E$158,MATCH(A139,'②クラス編成'!$D$9:$D$158,0))),"未"))</f>
        <v/>
      </c>
      <c r="W139" s="14" t="str">
        <f>IF(A139="","",A139&amp;" "&amp;C139)</f>
        <v/>
      </c>
      <c r="X139" s="14" t="str">
        <f>IF(A139="","",IF(E139="男",1,IF(E139="女",2,3)))</f>
        <v/>
      </c>
      <c r="Y139" s="14">
        <f>IF(OR(M139="〇",M139="○",M139="◯"),1,0)</f>
        <v>0</v>
      </c>
      <c r="Z139" s="14">
        <f>IF(OR(N139="〇",N139="○",N139="◯"),1,0)</f>
        <v>0</v>
      </c>
      <c r="AA139" s="14">
        <f>IF(OR(O139="〇",O139="○",O139="◯"),1,0)</f>
        <v>0</v>
      </c>
      <c r="AB139" s="14">
        <f>IF(OR(P139="〇",P139="○",P139="◯"),1,0)</f>
        <v>0</v>
      </c>
      <c r="AC139" s="14" t="str">
        <f>IF(A139="","",IF(AA139=1,1,IF(Y139=1,2,IF(Z139=1,3,IF(AB139=1,4,5)))))</f>
        <v/>
      </c>
      <c r="AD139" s="14" t="str">
        <f>IF(A139="","",IF(K139="",'設定'!$C$37,K139))</f>
        <v/>
      </c>
      <c r="AE139" s="14" t="str">
        <f>IF(A139="","",AC139*10000000-ROUND(ABS((AD139-'設定'!$C$37)/'設定'!$C$38)*10000,0))</f>
        <v/>
      </c>
      <c r="AF139" s="14" t="str">
        <f>IF(A139="","",COUNTIF($AE$4:$AE$153,"&lt;"&amp;AE139)+COUNTIFS($AE$4:$AE$153,AE139,$A$4:$A$153,"&lt;"&amp;A139)+1)</f>
        <v/>
      </c>
      <c r="AG139" s="14" t="str">
        <f>IF(Q139="","",IFERROR(VALUE(LEFT(Q139,FIND(" ",Q139&amp;" ")-1)),IFERROR(INDEX($A$4:$A$153,MATCH(Q139,$C$4:$C$153,0)),"")))</f>
        <v/>
      </c>
      <c r="AH139" s="14" t="str">
        <f>IF(R139="","",IFERROR(VALUE(LEFT(R139,FIND(" ",R139&amp;" ")-1)),IFERROR(INDEX($A$4:$A$153,MATCH(R139,$C$4:$C$153,0)),"")))</f>
        <v/>
      </c>
      <c r="AI139" s="14" t="str">
        <f>IF(S139="","",IFERROR(VALUE(LEFT(S139,FIND(" ",S139&amp;" ")-1)),IFERROR(INDEX($A$4:$A$153,MATCH(S139,$C$4:$C$153,0)),"")))</f>
        <v/>
      </c>
      <c r="AJ139" s="14" t="str">
        <f>IF(OR(A139="",B139=""),"",IF(COUNTIFS($B$4:B139,B139,$A$4:A139,"&lt;&gt;")=1,MAX($AJ$3:AJ138)+1,""))</f>
        <v/>
      </c>
      <c r="AK139" s="14" t="str">
        <f>IF(OR(A139="",NOT(ISNUMBER(L139))),"",L139^2)</f>
        <v/>
      </c>
      <c r="AL139" s="14">
        <f>IF(OR(A139="",NOT(ISNUMBER(L139))),0,(L139-INDEX('計算'!$AE$7:$AG$7,X139))/INDEX('計算'!$AE$8:$AG$8,X139))</f>
        <v>0</v>
      </c>
    </row>
    <row r="140">
      <c r="A140" s="8" t="n"/>
      <c r="B140" s="8" t="n"/>
      <c r="C140" s="9" t="n"/>
      <c r="D140" s="9" t="n"/>
      <c r="E140" s="8" t="n"/>
      <c r="F140" s="8" t="n"/>
      <c r="G140" s="8" t="n"/>
      <c r="H140" s="8" t="n"/>
      <c r="I140" s="8" t="n"/>
      <c r="J140" s="8" t="n"/>
      <c r="K140" s="10" t="str">
        <f>IF(COUNT(F140:J140)=0,"",ROUND(AVERAGE(F140:J140),1))</f>
        <v/>
      </c>
      <c r="L140" s="11" t="n"/>
      <c r="M140" s="8" t="n"/>
      <c r="N140" s="8" t="n"/>
      <c r="O140" s="8" t="n"/>
      <c r="P140" s="8" t="n"/>
      <c r="Q140" s="12" t="n"/>
      <c r="R140" s="12" t="n"/>
      <c r="S140" s="12" t="n"/>
      <c r="T140" s="9" t="n"/>
      <c r="U140" s="13" t="str">
        <f>IF(A140="","",INDEX('計算'!$Z$2:$Z$151,AF140))</f>
        <v/>
      </c>
      <c r="V140" s="13" t="str">
        <f>IF(A140="","",IFERROR(IF(INDEX('②クラス編成'!$E$9:$E$158,MATCH(A140,'②クラス編成'!$D$9:$D$158,0))="","未",INDEX('②クラス編成'!$E$9:$E$158,MATCH(A140,'②クラス編成'!$D$9:$D$158,0))),"未"))</f>
        <v/>
      </c>
      <c r="W140" s="14" t="str">
        <f>IF(A140="","",A140&amp;" "&amp;C140)</f>
        <v/>
      </c>
      <c r="X140" s="14" t="str">
        <f>IF(A140="","",IF(E140="男",1,IF(E140="女",2,3)))</f>
        <v/>
      </c>
      <c r="Y140" s="14">
        <f>IF(OR(M140="〇",M140="○",M140="◯"),1,0)</f>
        <v>0</v>
      </c>
      <c r="Z140" s="14">
        <f>IF(OR(N140="〇",N140="○",N140="◯"),1,0)</f>
        <v>0</v>
      </c>
      <c r="AA140" s="14">
        <f>IF(OR(O140="〇",O140="○",O140="◯"),1,0)</f>
        <v>0</v>
      </c>
      <c r="AB140" s="14">
        <f>IF(OR(P140="〇",P140="○",P140="◯"),1,0)</f>
        <v>0</v>
      </c>
      <c r="AC140" s="14" t="str">
        <f>IF(A140="","",IF(AA140=1,1,IF(Y140=1,2,IF(Z140=1,3,IF(AB140=1,4,5)))))</f>
        <v/>
      </c>
      <c r="AD140" s="14" t="str">
        <f>IF(A140="","",IF(K140="",'設定'!$C$37,K140))</f>
        <v/>
      </c>
      <c r="AE140" s="14" t="str">
        <f>IF(A140="","",AC140*10000000-ROUND(ABS((AD140-'設定'!$C$37)/'設定'!$C$38)*10000,0))</f>
        <v/>
      </c>
      <c r="AF140" s="14" t="str">
        <f>IF(A140="","",COUNTIF($AE$4:$AE$153,"&lt;"&amp;AE140)+COUNTIFS($AE$4:$AE$153,AE140,$A$4:$A$153,"&lt;"&amp;A140)+1)</f>
        <v/>
      </c>
      <c r="AG140" s="14" t="str">
        <f>IF(Q140="","",IFERROR(VALUE(LEFT(Q140,FIND(" ",Q140&amp;" ")-1)),IFERROR(INDEX($A$4:$A$153,MATCH(Q140,$C$4:$C$153,0)),"")))</f>
        <v/>
      </c>
      <c r="AH140" s="14" t="str">
        <f>IF(R140="","",IFERROR(VALUE(LEFT(R140,FIND(" ",R140&amp;" ")-1)),IFERROR(INDEX($A$4:$A$153,MATCH(R140,$C$4:$C$153,0)),"")))</f>
        <v/>
      </c>
      <c r="AI140" s="14" t="str">
        <f>IF(S140="","",IFERROR(VALUE(LEFT(S140,FIND(" ",S140&amp;" ")-1)),IFERROR(INDEX($A$4:$A$153,MATCH(S140,$C$4:$C$153,0)),"")))</f>
        <v/>
      </c>
      <c r="AJ140" s="14" t="str">
        <f>IF(OR(A140="",B140=""),"",IF(COUNTIFS($B$4:B140,B140,$A$4:A140,"&lt;&gt;")=1,MAX($AJ$3:AJ139)+1,""))</f>
        <v/>
      </c>
      <c r="AK140" s="14" t="str">
        <f>IF(OR(A140="",NOT(ISNUMBER(L140))),"",L140^2)</f>
        <v/>
      </c>
      <c r="AL140" s="14">
        <f>IF(OR(A140="",NOT(ISNUMBER(L140))),0,(L140-INDEX('計算'!$AE$7:$AG$7,X140))/INDEX('計算'!$AE$8:$AG$8,X140))</f>
        <v>0</v>
      </c>
    </row>
    <row r="141">
      <c r="A141" s="8" t="n"/>
      <c r="B141" s="8" t="n"/>
      <c r="C141" s="9" t="n"/>
      <c r="D141" s="9" t="n"/>
      <c r="E141" s="8" t="n"/>
      <c r="F141" s="8" t="n"/>
      <c r="G141" s="8" t="n"/>
      <c r="H141" s="8" t="n"/>
      <c r="I141" s="8" t="n"/>
      <c r="J141" s="8" t="n"/>
      <c r="K141" s="10" t="str">
        <f>IF(COUNT(F141:J141)=0,"",ROUND(AVERAGE(F141:J141),1))</f>
        <v/>
      </c>
      <c r="L141" s="11" t="n"/>
      <c r="M141" s="8" t="n"/>
      <c r="N141" s="8" t="n"/>
      <c r="O141" s="8" t="n"/>
      <c r="P141" s="8" t="n"/>
      <c r="Q141" s="12" t="n"/>
      <c r="R141" s="12" t="n"/>
      <c r="S141" s="12" t="n"/>
      <c r="T141" s="9" t="n"/>
      <c r="U141" s="13" t="str">
        <f>IF(A141="","",INDEX('計算'!$Z$2:$Z$151,AF141))</f>
        <v/>
      </c>
      <c r="V141" s="13" t="str">
        <f>IF(A141="","",IFERROR(IF(INDEX('②クラス編成'!$E$9:$E$158,MATCH(A141,'②クラス編成'!$D$9:$D$158,0))="","未",INDEX('②クラス編成'!$E$9:$E$158,MATCH(A141,'②クラス編成'!$D$9:$D$158,0))),"未"))</f>
        <v/>
      </c>
      <c r="W141" s="14" t="str">
        <f>IF(A141="","",A141&amp;" "&amp;C141)</f>
        <v/>
      </c>
      <c r="X141" s="14" t="str">
        <f>IF(A141="","",IF(E141="男",1,IF(E141="女",2,3)))</f>
        <v/>
      </c>
      <c r="Y141" s="14">
        <f>IF(OR(M141="〇",M141="○",M141="◯"),1,0)</f>
        <v>0</v>
      </c>
      <c r="Z141" s="14">
        <f>IF(OR(N141="〇",N141="○",N141="◯"),1,0)</f>
        <v>0</v>
      </c>
      <c r="AA141" s="14">
        <f>IF(OR(O141="〇",O141="○",O141="◯"),1,0)</f>
        <v>0</v>
      </c>
      <c r="AB141" s="14">
        <f>IF(OR(P141="〇",P141="○",P141="◯"),1,0)</f>
        <v>0</v>
      </c>
      <c r="AC141" s="14" t="str">
        <f>IF(A141="","",IF(AA141=1,1,IF(Y141=1,2,IF(Z141=1,3,IF(AB141=1,4,5)))))</f>
        <v/>
      </c>
      <c r="AD141" s="14" t="str">
        <f>IF(A141="","",IF(K141="",'設定'!$C$37,K141))</f>
        <v/>
      </c>
      <c r="AE141" s="14" t="str">
        <f>IF(A141="","",AC141*10000000-ROUND(ABS((AD141-'設定'!$C$37)/'設定'!$C$38)*10000,0))</f>
        <v/>
      </c>
      <c r="AF141" s="14" t="str">
        <f>IF(A141="","",COUNTIF($AE$4:$AE$153,"&lt;"&amp;AE141)+COUNTIFS($AE$4:$AE$153,AE141,$A$4:$A$153,"&lt;"&amp;A141)+1)</f>
        <v/>
      </c>
      <c r="AG141" s="14" t="str">
        <f>IF(Q141="","",IFERROR(VALUE(LEFT(Q141,FIND(" ",Q141&amp;" ")-1)),IFERROR(INDEX($A$4:$A$153,MATCH(Q141,$C$4:$C$153,0)),"")))</f>
        <v/>
      </c>
      <c r="AH141" s="14" t="str">
        <f>IF(R141="","",IFERROR(VALUE(LEFT(R141,FIND(" ",R141&amp;" ")-1)),IFERROR(INDEX($A$4:$A$153,MATCH(R141,$C$4:$C$153,0)),"")))</f>
        <v/>
      </c>
      <c r="AI141" s="14" t="str">
        <f>IF(S141="","",IFERROR(VALUE(LEFT(S141,FIND(" ",S141&amp;" ")-1)),IFERROR(INDEX($A$4:$A$153,MATCH(S141,$C$4:$C$153,0)),"")))</f>
        <v/>
      </c>
      <c r="AJ141" s="14" t="str">
        <f>IF(OR(A141="",B141=""),"",IF(COUNTIFS($B$4:B141,B141,$A$4:A141,"&lt;&gt;")=1,MAX($AJ$3:AJ140)+1,""))</f>
        <v/>
      </c>
      <c r="AK141" s="14" t="str">
        <f>IF(OR(A141="",NOT(ISNUMBER(L141))),"",L141^2)</f>
        <v/>
      </c>
      <c r="AL141" s="14">
        <f>IF(OR(A141="",NOT(ISNUMBER(L141))),0,(L141-INDEX('計算'!$AE$7:$AG$7,X141))/INDEX('計算'!$AE$8:$AG$8,X141))</f>
        <v>0</v>
      </c>
    </row>
    <row r="142">
      <c r="A142" s="8" t="n"/>
      <c r="B142" s="8" t="n"/>
      <c r="C142" s="9" t="n"/>
      <c r="D142" s="9" t="n"/>
      <c r="E142" s="8" t="n"/>
      <c r="F142" s="8" t="n"/>
      <c r="G142" s="8" t="n"/>
      <c r="H142" s="8" t="n"/>
      <c r="I142" s="8" t="n"/>
      <c r="J142" s="8" t="n"/>
      <c r="K142" s="10" t="str">
        <f>IF(COUNT(F142:J142)=0,"",ROUND(AVERAGE(F142:J142),1))</f>
        <v/>
      </c>
      <c r="L142" s="11" t="n"/>
      <c r="M142" s="8" t="n"/>
      <c r="N142" s="8" t="n"/>
      <c r="O142" s="8" t="n"/>
      <c r="P142" s="8" t="n"/>
      <c r="Q142" s="12" t="n"/>
      <c r="R142" s="12" t="n"/>
      <c r="S142" s="12" t="n"/>
      <c r="T142" s="9" t="n"/>
      <c r="U142" s="13" t="str">
        <f>IF(A142="","",INDEX('計算'!$Z$2:$Z$151,AF142))</f>
        <v/>
      </c>
      <c r="V142" s="13" t="str">
        <f>IF(A142="","",IFERROR(IF(INDEX('②クラス編成'!$E$9:$E$158,MATCH(A142,'②クラス編成'!$D$9:$D$158,0))="","未",INDEX('②クラス編成'!$E$9:$E$158,MATCH(A142,'②クラス編成'!$D$9:$D$158,0))),"未"))</f>
        <v/>
      </c>
      <c r="W142" s="14" t="str">
        <f>IF(A142="","",A142&amp;" "&amp;C142)</f>
        <v/>
      </c>
      <c r="X142" s="14" t="str">
        <f>IF(A142="","",IF(E142="男",1,IF(E142="女",2,3)))</f>
        <v/>
      </c>
      <c r="Y142" s="14">
        <f>IF(OR(M142="〇",M142="○",M142="◯"),1,0)</f>
        <v>0</v>
      </c>
      <c r="Z142" s="14">
        <f>IF(OR(N142="〇",N142="○",N142="◯"),1,0)</f>
        <v>0</v>
      </c>
      <c r="AA142" s="14">
        <f>IF(OR(O142="〇",O142="○",O142="◯"),1,0)</f>
        <v>0</v>
      </c>
      <c r="AB142" s="14">
        <f>IF(OR(P142="〇",P142="○",P142="◯"),1,0)</f>
        <v>0</v>
      </c>
      <c r="AC142" s="14" t="str">
        <f>IF(A142="","",IF(AA142=1,1,IF(Y142=1,2,IF(Z142=1,3,IF(AB142=1,4,5)))))</f>
        <v/>
      </c>
      <c r="AD142" s="14" t="str">
        <f>IF(A142="","",IF(K142="",'設定'!$C$37,K142))</f>
        <v/>
      </c>
      <c r="AE142" s="14" t="str">
        <f>IF(A142="","",AC142*10000000-ROUND(ABS((AD142-'設定'!$C$37)/'設定'!$C$38)*10000,0))</f>
        <v/>
      </c>
      <c r="AF142" s="14" t="str">
        <f>IF(A142="","",COUNTIF($AE$4:$AE$153,"&lt;"&amp;AE142)+COUNTIFS($AE$4:$AE$153,AE142,$A$4:$A$153,"&lt;"&amp;A142)+1)</f>
        <v/>
      </c>
      <c r="AG142" s="14" t="str">
        <f>IF(Q142="","",IFERROR(VALUE(LEFT(Q142,FIND(" ",Q142&amp;" ")-1)),IFERROR(INDEX($A$4:$A$153,MATCH(Q142,$C$4:$C$153,0)),"")))</f>
        <v/>
      </c>
      <c r="AH142" s="14" t="str">
        <f>IF(R142="","",IFERROR(VALUE(LEFT(R142,FIND(" ",R142&amp;" ")-1)),IFERROR(INDEX($A$4:$A$153,MATCH(R142,$C$4:$C$153,0)),"")))</f>
        <v/>
      </c>
      <c r="AI142" s="14" t="str">
        <f>IF(S142="","",IFERROR(VALUE(LEFT(S142,FIND(" ",S142&amp;" ")-1)),IFERROR(INDEX($A$4:$A$153,MATCH(S142,$C$4:$C$153,0)),"")))</f>
        <v/>
      </c>
      <c r="AJ142" s="14" t="str">
        <f>IF(OR(A142="",B142=""),"",IF(COUNTIFS($B$4:B142,B142,$A$4:A142,"&lt;&gt;")=1,MAX($AJ$3:AJ141)+1,""))</f>
        <v/>
      </c>
      <c r="AK142" s="14" t="str">
        <f>IF(OR(A142="",NOT(ISNUMBER(L142))),"",L142^2)</f>
        <v/>
      </c>
      <c r="AL142" s="14">
        <f>IF(OR(A142="",NOT(ISNUMBER(L142))),0,(L142-INDEX('計算'!$AE$7:$AG$7,X142))/INDEX('計算'!$AE$8:$AG$8,X142))</f>
        <v>0</v>
      </c>
    </row>
    <row r="143">
      <c r="A143" s="8" t="n"/>
      <c r="B143" s="8" t="n"/>
      <c r="C143" s="9" t="n"/>
      <c r="D143" s="9" t="n"/>
      <c r="E143" s="8" t="n"/>
      <c r="F143" s="8" t="n"/>
      <c r="G143" s="8" t="n"/>
      <c r="H143" s="8" t="n"/>
      <c r="I143" s="8" t="n"/>
      <c r="J143" s="8" t="n"/>
      <c r="K143" s="10" t="str">
        <f>IF(COUNT(F143:J143)=0,"",ROUND(AVERAGE(F143:J143),1))</f>
        <v/>
      </c>
      <c r="L143" s="11" t="n"/>
      <c r="M143" s="8" t="n"/>
      <c r="N143" s="8" t="n"/>
      <c r="O143" s="8" t="n"/>
      <c r="P143" s="8" t="n"/>
      <c r="Q143" s="12" t="n"/>
      <c r="R143" s="12" t="n"/>
      <c r="S143" s="12" t="n"/>
      <c r="T143" s="9" t="n"/>
      <c r="U143" s="13" t="str">
        <f>IF(A143="","",INDEX('計算'!$Z$2:$Z$151,AF143))</f>
        <v/>
      </c>
      <c r="V143" s="13" t="str">
        <f>IF(A143="","",IFERROR(IF(INDEX('②クラス編成'!$E$9:$E$158,MATCH(A143,'②クラス編成'!$D$9:$D$158,0))="","未",INDEX('②クラス編成'!$E$9:$E$158,MATCH(A143,'②クラス編成'!$D$9:$D$158,0))),"未"))</f>
        <v/>
      </c>
      <c r="W143" s="14" t="str">
        <f>IF(A143="","",A143&amp;" "&amp;C143)</f>
        <v/>
      </c>
      <c r="X143" s="14" t="str">
        <f>IF(A143="","",IF(E143="男",1,IF(E143="女",2,3)))</f>
        <v/>
      </c>
      <c r="Y143" s="14">
        <f>IF(OR(M143="〇",M143="○",M143="◯"),1,0)</f>
        <v>0</v>
      </c>
      <c r="Z143" s="14">
        <f>IF(OR(N143="〇",N143="○",N143="◯"),1,0)</f>
        <v>0</v>
      </c>
      <c r="AA143" s="14">
        <f>IF(OR(O143="〇",O143="○",O143="◯"),1,0)</f>
        <v>0</v>
      </c>
      <c r="AB143" s="14">
        <f>IF(OR(P143="〇",P143="○",P143="◯"),1,0)</f>
        <v>0</v>
      </c>
      <c r="AC143" s="14" t="str">
        <f>IF(A143="","",IF(AA143=1,1,IF(Y143=1,2,IF(Z143=1,3,IF(AB143=1,4,5)))))</f>
        <v/>
      </c>
      <c r="AD143" s="14" t="str">
        <f>IF(A143="","",IF(K143="",'設定'!$C$37,K143))</f>
        <v/>
      </c>
      <c r="AE143" s="14" t="str">
        <f>IF(A143="","",AC143*10000000-ROUND(ABS((AD143-'設定'!$C$37)/'設定'!$C$38)*10000,0))</f>
        <v/>
      </c>
      <c r="AF143" s="14" t="str">
        <f>IF(A143="","",COUNTIF($AE$4:$AE$153,"&lt;"&amp;AE143)+COUNTIFS($AE$4:$AE$153,AE143,$A$4:$A$153,"&lt;"&amp;A143)+1)</f>
        <v/>
      </c>
      <c r="AG143" s="14" t="str">
        <f>IF(Q143="","",IFERROR(VALUE(LEFT(Q143,FIND(" ",Q143&amp;" ")-1)),IFERROR(INDEX($A$4:$A$153,MATCH(Q143,$C$4:$C$153,0)),"")))</f>
        <v/>
      </c>
      <c r="AH143" s="14" t="str">
        <f>IF(R143="","",IFERROR(VALUE(LEFT(R143,FIND(" ",R143&amp;" ")-1)),IFERROR(INDEX($A$4:$A$153,MATCH(R143,$C$4:$C$153,0)),"")))</f>
        <v/>
      </c>
      <c r="AI143" s="14" t="str">
        <f>IF(S143="","",IFERROR(VALUE(LEFT(S143,FIND(" ",S143&amp;" ")-1)),IFERROR(INDEX($A$4:$A$153,MATCH(S143,$C$4:$C$153,0)),"")))</f>
        <v/>
      </c>
      <c r="AJ143" s="14" t="str">
        <f>IF(OR(A143="",B143=""),"",IF(COUNTIFS($B$4:B143,B143,$A$4:A143,"&lt;&gt;")=1,MAX($AJ$3:AJ142)+1,""))</f>
        <v/>
      </c>
      <c r="AK143" s="14" t="str">
        <f>IF(OR(A143="",NOT(ISNUMBER(L143))),"",L143^2)</f>
        <v/>
      </c>
      <c r="AL143" s="14">
        <f>IF(OR(A143="",NOT(ISNUMBER(L143))),0,(L143-INDEX('計算'!$AE$7:$AG$7,X143))/INDEX('計算'!$AE$8:$AG$8,X143))</f>
        <v>0</v>
      </c>
    </row>
    <row r="144">
      <c r="A144" s="8" t="n"/>
      <c r="B144" s="8" t="n"/>
      <c r="C144" s="9" t="n"/>
      <c r="D144" s="9" t="n"/>
      <c r="E144" s="8" t="n"/>
      <c r="F144" s="8" t="n"/>
      <c r="G144" s="8" t="n"/>
      <c r="H144" s="8" t="n"/>
      <c r="I144" s="8" t="n"/>
      <c r="J144" s="8" t="n"/>
      <c r="K144" s="10" t="str">
        <f>IF(COUNT(F144:J144)=0,"",ROUND(AVERAGE(F144:J144),1))</f>
        <v/>
      </c>
      <c r="L144" s="11" t="n"/>
      <c r="M144" s="8" t="n"/>
      <c r="N144" s="8" t="n"/>
      <c r="O144" s="8" t="n"/>
      <c r="P144" s="8" t="n"/>
      <c r="Q144" s="12" t="n"/>
      <c r="R144" s="12" t="n"/>
      <c r="S144" s="12" t="n"/>
      <c r="T144" s="9" t="n"/>
      <c r="U144" s="13" t="str">
        <f>IF(A144="","",INDEX('計算'!$Z$2:$Z$151,AF144))</f>
        <v/>
      </c>
      <c r="V144" s="13" t="str">
        <f>IF(A144="","",IFERROR(IF(INDEX('②クラス編成'!$E$9:$E$158,MATCH(A144,'②クラス編成'!$D$9:$D$158,0))="","未",INDEX('②クラス編成'!$E$9:$E$158,MATCH(A144,'②クラス編成'!$D$9:$D$158,0))),"未"))</f>
        <v/>
      </c>
      <c r="W144" s="14" t="str">
        <f>IF(A144="","",A144&amp;" "&amp;C144)</f>
        <v/>
      </c>
      <c r="X144" s="14" t="str">
        <f>IF(A144="","",IF(E144="男",1,IF(E144="女",2,3)))</f>
        <v/>
      </c>
      <c r="Y144" s="14">
        <f>IF(OR(M144="〇",M144="○",M144="◯"),1,0)</f>
        <v>0</v>
      </c>
      <c r="Z144" s="14">
        <f>IF(OR(N144="〇",N144="○",N144="◯"),1,0)</f>
        <v>0</v>
      </c>
      <c r="AA144" s="14">
        <f>IF(OR(O144="〇",O144="○",O144="◯"),1,0)</f>
        <v>0</v>
      </c>
      <c r="AB144" s="14">
        <f>IF(OR(P144="〇",P144="○",P144="◯"),1,0)</f>
        <v>0</v>
      </c>
      <c r="AC144" s="14" t="str">
        <f>IF(A144="","",IF(AA144=1,1,IF(Y144=1,2,IF(Z144=1,3,IF(AB144=1,4,5)))))</f>
        <v/>
      </c>
      <c r="AD144" s="14" t="str">
        <f>IF(A144="","",IF(K144="",'設定'!$C$37,K144))</f>
        <v/>
      </c>
      <c r="AE144" s="14" t="str">
        <f>IF(A144="","",AC144*10000000-ROUND(ABS((AD144-'設定'!$C$37)/'設定'!$C$38)*10000,0))</f>
        <v/>
      </c>
      <c r="AF144" s="14" t="str">
        <f>IF(A144="","",COUNTIF($AE$4:$AE$153,"&lt;"&amp;AE144)+COUNTIFS($AE$4:$AE$153,AE144,$A$4:$A$153,"&lt;"&amp;A144)+1)</f>
        <v/>
      </c>
      <c r="AG144" s="14" t="str">
        <f>IF(Q144="","",IFERROR(VALUE(LEFT(Q144,FIND(" ",Q144&amp;" ")-1)),IFERROR(INDEX($A$4:$A$153,MATCH(Q144,$C$4:$C$153,0)),"")))</f>
        <v/>
      </c>
      <c r="AH144" s="14" t="str">
        <f>IF(R144="","",IFERROR(VALUE(LEFT(R144,FIND(" ",R144&amp;" ")-1)),IFERROR(INDEX($A$4:$A$153,MATCH(R144,$C$4:$C$153,0)),"")))</f>
        <v/>
      </c>
      <c r="AI144" s="14" t="str">
        <f>IF(S144="","",IFERROR(VALUE(LEFT(S144,FIND(" ",S144&amp;" ")-1)),IFERROR(INDEX($A$4:$A$153,MATCH(S144,$C$4:$C$153,0)),"")))</f>
        <v/>
      </c>
      <c r="AJ144" s="14" t="str">
        <f>IF(OR(A144="",B144=""),"",IF(COUNTIFS($B$4:B144,B144,$A$4:A144,"&lt;&gt;")=1,MAX($AJ$3:AJ143)+1,""))</f>
        <v/>
      </c>
      <c r="AK144" s="14" t="str">
        <f>IF(OR(A144="",NOT(ISNUMBER(L144))),"",L144^2)</f>
        <v/>
      </c>
      <c r="AL144" s="14">
        <f>IF(OR(A144="",NOT(ISNUMBER(L144))),0,(L144-INDEX('計算'!$AE$7:$AG$7,X144))/INDEX('計算'!$AE$8:$AG$8,X144))</f>
        <v>0</v>
      </c>
    </row>
    <row r="145">
      <c r="A145" s="8" t="n"/>
      <c r="B145" s="8" t="n"/>
      <c r="C145" s="9" t="n"/>
      <c r="D145" s="9" t="n"/>
      <c r="E145" s="8" t="n"/>
      <c r="F145" s="8" t="n"/>
      <c r="G145" s="8" t="n"/>
      <c r="H145" s="8" t="n"/>
      <c r="I145" s="8" t="n"/>
      <c r="J145" s="8" t="n"/>
      <c r="K145" s="10" t="str">
        <f>IF(COUNT(F145:J145)=0,"",ROUND(AVERAGE(F145:J145),1))</f>
        <v/>
      </c>
      <c r="L145" s="11" t="n"/>
      <c r="M145" s="8" t="n"/>
      <c r="N145" s="8" t="n"/>
      <c r="O145" s="8" t="n"/>
      <c r="P145" s="8" t="n"/>
      <c r="Q145" s="12" t="n"/>
      <c r="R145" s="12" t="n"/>
      <c r="S145" s="12" t="n"/>
      <c r="T145" s="9" t="n"/>
      <c r="U145" s="13" t="str">
        <f>IF(A145="","",INDEX('計算'!$Z$2:$Z$151,AF145))</f>
        <v/>
      </c>
      <c r="V145" s="13" t="str">
        <f>IF(A145="","",IFERROR(IF(INDEX('②クラス編成'!$E$9:$E$158,MATCH(A145,'②クラス編成'!$D$9:$D$158,0))="","未",INDEX('②クラス編成'!$E$9:$E$158,MATCH(A145,'②クラス編成'!$D$9:$D$158,0))),"未"))</f>
        <v/>
      </c>
      <c r="W145" s="14" t="str">
        <f>IF(A145="","",A145&amp;" "&amp;C145)</f>
        <v/>
      </c>
      <c r="X145" s="14" t="str">
        <f>IF(A145="","",IF(E145="男",1,IF(E145="女",2,3)))</f>
        <v/>
      </c>
      <c r="Y145" s="14">
        <f>IF(OR(M145="〇",M145="○",M145="◯"),1,0)</f>
        <v>0</v>
      </c>
      <c r="Z145" s="14">
        <f>IF(OR(N145="〇",N145="○",N145="◯"),1,0)</f>
        <v>0</v>
      </c>
      <c r="AA145" s="14">
        <f>IF(OR(O145="〇",O145="○",O145="◯"),1,0)</f>
        <v>0</v>
      </c>
      <c r="AB145" s="14">
        <f>IF(OR(P145="〇",P145="○",P145="◯"),1,0)</f>
        <v>0</v>
      </c>
      <c r="AC145" s="14" t="str">
        <f>IF(A145="","",IF(AA145=1,1,IF(Y145=1,2,IF(Z145=1,3,IF(AB145=1,4,5)))))</f>
        <v/>
      </c>
      <c r="AD145" s="14" t="str">
        <f>IF(A145="","",IF(K145="",'設定'!$C$37,K145))</f>
        <v/>
      </c>
      <c r="AE145" s="14" t="str">
        <f>IF(A145="","",AC145*10000000-ROUND(ABS((AD145-'設定'!$C$37)/'設定'!$C$38)*10000,0))</f>
        <v/>
      </c>
      <c r="AF145" s="14" t="str">
        <f>IF(A145="","",COUNTIF($AE$4:$AE$153,"&lt;"&amp;AE145)+COUNTIFS($AE$4:$AE$153,AE145,$A$4:$A$153,"&lt;"&amp;A145)+1)</f>
        <v/>
      </c>
      <c r="AG145" s="14" t="str">
        <f>IF(Q145="","",IFERROR(VALUE(LEFT(Q145,FIND(" ",Q145&amp;" ")-1)),IFERROR(INDEX($A$4:$A$153,MATCH(Q145,$C$4:$C$153,0)),"")))</f>
        <v/>
      </c>
      <c r="AH145" s="14" t="str">
        <f>IF(R145="","",IFERROR(VALUE(LEFT(R145,FIND(" ",R145&amp;" ")-1)),IFERROR(INDEX($A$4:$A$153,MATCH(R145,$C$4:$C$153,0)),"")))</f>
        <v/>
      </c>
      <c r="AI145" s="14" t="str">
        <f>IF(S145="","",IFERROR(VALUE(LEFT(S145,FIND(" ",S145&amp;" ")-1)),IFERROR(INDEX($A$4:$A$153,MATCH(S145,$C$4:$C$153,0)),"")))</f>
        <v/>
      </c>
      <c r="AJ145" s="14" t="str">
        <f>IF(OR(A145="",B145=""),"",IF(COUNTIFS($B$4:B145,B145,$A$4:A145,"&lt;&gt;")=1,MAX($AJ$3:AJ144)+1,""))</f>
        <v/>
      </c>
      <c r="AK145" s="14" t="str">
        <f>IF(OR(A145="",NOT(ISNUMBER(L145))),"",L145^2)</f>
        <v/>
      </c>
      <c r="AL145" s="14">
        <f>IF(OR(A145="",NOT(ISNUMBER(L145))),0,(L145-INDEX('計算'!$AE$7:$AG$7,X145))/INDEX('計算'!$AE$8:$AG$8,X145))</f>
        <v>0</v>
      </c>
    </row>
    <row r="146">
      <c r="A146" s="8" t="n"/>
      <c r="B146" s="8" t="n"/>
      <c r="C146" s="9" t="n"/>
      <c r="D146" s="9" t="n"/>
      <c r="E146" s="8" t="n"/>
      <c r="F146" s="8" t="n"/>
      <c r="G146" s="8" t="n"/>
      <c r="H146" s="8" t="n"/>
      <c r="I146" s="8" t="n"/>
      <c r="J146" s="8" t="n"/>
      <c r="K146" s="10" t="str">
        <f>IF(COUNT(F146:J146)=0,"",ROUND(AVERAGE(F146:J146),1))</f>
        <v/>
      </c>
      <c r="L146" s="11" t="n"/>
      <c r="M146" s="8" t="n"/>
      <c r="N146" s="8" t="n"/>
      <c r="O146" s="8" t="n"/>
      <c r="P146" s="8" t="n"/>
      <c r="Q146" s="12" t="n"/>
      <c r="R146" s="12" t="n"/>
      <c r="S146" s="12" t="n"/>
      <c r="T146" s="9" t="n"/>
      <c r="U146" s="13" t="str">
        <f>IF(A146="","",INDEX('計算'!$Z$2:$Z$151,AF146))</f>
        <v/>
      </c>
      <c r="V146" s="13" t="str">
        <f>IF(A146="","",IFERROR(IF(INDEX('②クラス編成'!$E$9:$E$158,MATCH(A146,'②クラス編成'!$D$9:$D$158,0))="","未",INDEX('②クラス編成'!$E$9:$E$158,MATCH(A146,'②クラス編成'!$D$9:$D$158,0))),"未"))</f>
        <v/>
      </c>
      <c r="W146" s="14" t="str">
        <f>IF(A146="","",A146&amp;" "&amp;C146)</f>
        <v/>
      </c>
      <c r="X146" s="14" t="str">
        <f>IF(A146="","",IF(E146="男",1,IF(E146="女",2,3)))</f>
        <v/>
      </c>
      <c r="Y146" s="14">
        <f>IF(OR(M146="〇",M146="○",M146="◯"),1,0)</f>
        <v>0</v>
      </c>
      <c r="Z146" s="14">
        <f>IF(OR(N146="〇",N146="○",N146="◯"),1,0)</f>
        <v>0</v>
      </c>
      <c r="AA146" s="14">
        <f>IF(OR(O146="〇",O146="○",O146="◯"),1,0)</f>
        <v>0</v>
      </c>
      <c r="AB146" s="14">
        <f>IF(OR(P146="〇",P146="○",P146="◯"),1,0)</f>
        <v>0</v>
      </c>
      <c r="AC146" s="14" t="str">
        <f>IF(A146="","",IF(AA146=1,1,IF(Y146=1,2,IF(Z146=1,3,IF(AB146=1,4,5)))))</f>
        <v/>
      </c>
      <c r="AD146" s="14" t="str">
        <f>IF(A146="","",IF(K146="",'設定'!$C$37,K146))</f>
        <v/>
      </c>
      <c r="AE146" s="14" t="str">
        <f>IF(A146="","",AC146*10000000-ROUND(ABS((AD146-'設定'!$C$37)/'設定'!$C$38)*10000,0))</f>
        <v/>
      </c>
      <c r="AF146" s="14" t="str">
        <f>IF(A146="","",COUNTIF($AE$4:$AE$153,"&lt;"&amp;AE146)+COUNTIFS($AE$4:$AE$153,AE146,$A$4:$A$153,"&lt;"&amp;A146)+1)</f>
        <v/>
      </c>
      <c r="AG146" s="14" t="str">
        <f>IF(Q146="","",IFERROR(VALUE(LEFT(Q146,FIND(" ",Q146&amp;" ")-1)),IFERROR(INDEX($A$4:$A$153,MATCH(Q146,$C$4:$C$153,0)),"")))</f>
        <v/>
      </c>
      <c r="AH146" s="14" t="str">
        <f>IF(R146="","",IFERROR(VALUE(LEFT(R146,FIND(" ",R146&amp;" ")-1)),IFERROR(INDEX($A$4:$A$153,MATCH(R146,$C$4:$C$153,0)),"")))</f>
        <v/>
      </c>
      <c r="AI146" s="14" t="str">
        <f>IF(S146="","",IFERROR(VALUE(LEFT(S146,FIND(" ",S146&amp;" ")-1)),IFERROR(INDEX($A$4:$A$153,MATCH(S146,$C$4:$C$153,0)),"")))</f>
        <v/>
      </c>
      <c r="AJ146" s="14" t="str">
        <f>IF(OR(A146="",B146=""),"",IF(COUNTIFS($B$4:B146,B146,$A$4:A146,"&lt;&gt;")=1,MAX($AJ$3:AJ145)+1,""))</f>
        <v/>
      </c>
      <c r="AK146" s="14" t="str">
        <f>IF(OR(A146="",NOT(ISNUMBER(L146))),"",L146^2)</f>
        <v/>
      </c>
      <c r="AL146" s="14">
        <f>IF(OR(A146="",NOT(ISNUMBER(L146))),0,(L146-INDEX('計算'!$AE$7:$AG$7,X146))/INDEX('計算'!$AE$8:$AG$8,X146))</f>
        <v>0</v>
      </c>
    </row>
    <row r="147">
      <c r="A147" s="8" t="n"/>
      <c r="B147" s="8" t="n"/>
      <c r="C147" s="9" t="n"/>
      <c r="D147" s="9" t="n"/>
      <c r="E147" s="8" t="n"/>
      <c r="F147" s="8" t="n"/>
      <c r="G147" s="8" t="n"/>
      <c r="H147" s="8" t="n"/>
      <c r="I147" s="8" t="n"/>
      <c r="J147" s="8" t="n"/>
      <c r="K147" s="10" t="str">
        <f>IF(COUNT(F147:J147)=0,"",ROUND(AVERAGE(F147:J147),1))</f>
        <v/>
      </c>
      <c r="L147" s="11" t="n"/>
      <c r="M147" s="8" t="n"/>
      <c r="N147" s="8" t="n"/>
      <c r="O147" s="8" t="n"/>
      <c r="P147" s="8" t="n"/>
      <c r="Q147" s="12" t="n"/>
      <c r="R147" s="12" t="n"/>
      <c r="S147" s="12" t="n"/>
      <c r="T147" s="9" t="n"/>
      <c r="U147" s="13" t="str">
        <f>IF(A147="","",INDEX('計算'!$Z$2:$Z$151,AF147))</f>
        <v/>
      </c>
      <c r="V147" s="13" t="str">
        <f>IF(A147="","",IFERROR(IF(INDEX('②クラス編成'!$E$9:$E$158,MATCH(A147,'②クラス編成'!$D$9:$D$158,0))="","未",INDEX('②クラス編成'!$E$9:$E$158,MATCH(A147,'②クラス編成'!$D$9:$D$158,0))),"未"))</f>
        <v/>
      </c>
      <c r="W147" s="14" t="str">
        <f>IF(A147="","",A147&amp;" "&amp;C147)</f>
        <v/>
      </c>
      <c r="X147" s="14" t="str">
        <f>IF(A147="","",IF(E147="男",1,IF(E147="女",2,3)))</f>
        <v/>
      </c>
      <c r="Y147" s="14">
        <f>IF(OR(M147="〇",M147="○",M147="◯"),1,0)</f>
        <v>0</v>
      </c>
      <c r="Z147" s="14">
        <f>IF(OR(N147="〇",N147="○",N147="◯"),1,0)</f>
        <v>0</v>
      </c>
      <c r="AA147" s="14">
        <f>IF(OR(O147="〇",O147="○",O147="◯"),1,0)</f>
        <v>0</v>
      </c>
      <c r="AB147" s="14">
        <f>IF(OR(P147="〇",P147="○",P147="◯"),1,0)</f>
        <v>0</v>
      </c>
      <c r="AC147" s="14" t="str">
        <f>IF(A147="","",IF(AA147=1,1,IF(Y147=1,2,IF(Z147=1,3,IF(AB147=1,4,5)))))</f>
        <v/>
      </c>
      <c r="AD147" s="14" t="str">
        <f>IF(A147="","",IF(K147="",'設定'!$C$37,K147))</f>
        <v/>
      </c>
      <c r="AE147" s="14" t="str">
        <f>IF(A147="","",AC147*10000000-ROUND(ABS((AD147-'設定'!$C$37)/'設定'!$C$38)*10000,0))</f>
        <v/>
      </c>
      <c r="AF147" s="14" t="str">
        <f>IF(A147="","",COUNTIF($AE$4:$AE$153,"&lt;"&amp;AE147)+COUNTIFS($AE$4:$AE$153,AE147,$A$4:$A$153,"&lt;"&amp;A147)+1)</f>
        <v/>
      </c>
      <c r="AG147" s="14" t="str">
        <f>IF(Q147="","",IFERROR(VALUE(LEFT(Q147,FIND(" ",Q147&amp;" ")-1)),IFERROR(INDEX($A$4:$A$153,MATCH(Q147,$C$4:$C$153,0)),"")))</f>
        <v/>
      </c>
      <c r="AH147" s="14" t="str">
        <f>IF(R147="","",IFERROR(VALUE(LEFT(R147,FIND(" ",R147&amp;" ")-1)),IFERROR(INDEX($A$4:$A$153,MATCH(R147,$C$4:$C$153,0)),"")))</f>
        <v/>
      </c>
      <c r="AI147" s="14" t="str">
        <f>IF(S147="","",IFERROR(VALUE(LEFT(S147,FIND(" ",S147&amp;" ")-1)),IFERROR(INDEX($A$4:$A$153,MATCH(S147,$C$4:$C$153,0)),"")))</f>
        <v/>
      </c>
      <c r="AJ147" s="14" t="str">
        <f>IF(OR(A147="",B147=""),"",IF(COUNTIFS($B$4:B147,B147,$A$4:A147,"&lt;&gt;")=1,MAX($AJ$3:AJ146)+1,""))</f>
        <v/>
      </c>
      <c r="AK147" s="14" t="str">
        <f>IF(OR(A147="",NOT(ISNUMBER(L147))),"",L147^2)</f>
        <v/>
      </c>
      <c r="AL147" s="14">
        <f>IF(OR(A147="",NOT(ISNUMBER(L147))),0,(L147-INDEX('計算'!$AE$7:$AG$7,X147))/INDEX('計算'!$AE$8:$AG$8,X147))</f>
        <v>0</v>
      </c>
    </row>
    <row r="148">
      <c r="A148" s="8" t="n"/>
      <c r="B148" s="8" t="n"/>
      <c r="C148" s="9" t="n"/>
      <c r="D148" s="9" t="n"/>
      <c r="E148" s="8" t="n"/>
      <c r="F148" s="8" t="n"/>
      <c r="G148" s="8" t="n"/>
      <c r="H148" s="8" t="n"/>
      <c r="I148" s="8" t="n"/>
      <c r="J148" s="8" t="n"/>
      <c r="K148" s="10" t="str">
        <f>IF(COUNT(F148:J148)=0,"",ROUND(AVERAGE(F148:J148),1))</f>
        <v/>
      </c>
      <c r="L148" s="11" t="n"/>
      <c r="M148" s="8" t="n"/>
      <c r="N148" s="8" t="n"/>
      <c r="O148" s="8" t="n"/>
      <c r="P148" s="8" t="n"/>
      <c r="Q148" s="12" t="n"/>
      <c r="R148" s="12" t="n"/>
      <c r="S148" s="12" t="n"/>
      <c r="T148" s="9" t="n"/>
      <c r="U148" s="13" t="str">
        <f>IF(A148="","",INDEX('計算'!$Z$2:$Z$151,AF148))</f>
        <v/>
      </c>
      <c r="V148" s="13" t="str">
        <f>IF(A148="","",IFERROR(IF(INDEX('②クラス編成'!$E$9:$E$158,MATCH(A148,'②クラス編成'!$D$9:$D$158,0))="","未",INDEX('②クラス編成'!$E$9:$E$158,MATCH(A148,'②クラス編成'!$D$9:$D$158,0))),"未"))</f>
        <v/>
      </c>
      <c r="W148" s="14" t="str">
        <f>IF(A148="","",A148&amp;" "&amp;C148)</f>
        <v/>
      </c>
      <c r="X148" s="14" t="str">
        <f>IF(A148="","",IF(E148="男",1,IF(E148="女",2,3)))</f>
        <v/>
      </c>
      <c r="Y148" s="14">
        <f>IF(OR(M148="〇",M148="○",M148="◯"),1,0)</f>
        <v>0</v>
      </c>
      <c r="Z148" s="14">
        <f>IF(OR(N148="〇",N148="○",N148="◯"),1,0)</f>
        <v>0</v>
      </c>
      <c r="AA148" s="14">
        <f>IF(OR(O148="〇",O148="○",O148="◯"),1,0)</f>
        <v>0</v>
      </c>
      <c r="AB148" s="14">
        <f>IF(OR(P148="〇",P148="○",P148="◯"),1,0)</f>
        <v>0</v>
      </c>
      <c r="AC148" s="14" t="str">
        <f>IF(A148="","",IF(AA148=1,1,IF(Y148=1,2,IF(Z148=1,3,IF(AB148=1,4,5)))))</f>
        <v/>
      </c>
      <c r="AD148" s="14" t="str">
        <f>IF(A148="","",IF(K148="",'設定'!$C$37,K148))</f>
        <v/>
      </c>
      <c r="AE148" s="14" t="str">
        <f>IF(A148="","",AC148*10000000-ROUND(ABS((AD148-'設定'!$C$37)/'設定'!$C$38)*10000,0))</f>
        <v/>
      </c>
      <c r="AF148" s="14" t="str">
        <f>IF(A148="","",COUNTIF($AE$4:$AE$153,"&lt;"&amp;AE148)+COUNTIFS($AE$4:$AE$153,AE148,$A$4:$A$153,"&lt;"&amp;A148)+1)</f>
        <v/>
      </c>
      <c r="AG148" s="14" t="str">
        <f>IF(Q148="","",IFERROR(VALUE(LEFT(Q148,FIND(" ",Q148&amp;" ")-1)),IFERROR(INDEX($A$4:$A$153,MATCH(Q148,$C$4:$C$153,0)),"")))</f>
        <v/>
      </c>
      <c r="AH148" s="14" t="str">
        <f>IF(R148="","",IFERROR(VALUE(LEFT(R148,FIND(" ",R148&amp;" ")-1)),IFERROR(INDEX($A$4:$A$153,MATCH(R148,$C$4:$C$153,0)),"")))</f>
        <v/>
      </c>
      <c r="AI148" s="14" t="str">
        <f>IF(S148="","",IFERROR(VALUE(LEFT(S148,FIND(" ",S148&amp;" ")-1)),IFERROR(INDEX($A$4:$A$153,MATCH(S148,$C$4:$C$153,0)),"")))</f>
        <v/>
      </c>
      <c r="AJ148" s="14" t="str">
        <f>IF(OR(A148="",B148=""),"",IF(COUNTIFS($B$4:B148,B148,$A$4:A148,"&lt;&gt;")=1,MAX($AJ$3:AJ147)+1,""))</f>
        <v/>
      </c>
      <c r="AK148" s="14" t="str">
        <f>IF(OR(A148="",NOT(ISNUMBER(L148))),"",L148^2)</f>
        <v/>
      </c>
      <c r="AL148" s="14">
        <f>IF(OR(A148="",NOT(ISNUMBER(L148))),0,(L148-INDEX('計算'!$AE$7:$AG$7,X148))/INDEX('計算'!$AE$8:$AG$8,X148))</f>
        <v>0</v>
      </c>
    </row>
    <row r="149">
      <c r="A149" s="8" t="n"/>
      <c r="B149" s="8" t="n"/>
      <c r="C149" s="9" t="n"/>
      <c r="D149" s="9" t="n"/>
      <c r="E149" s="8" t="n"/>
      <c r="F149" s="8" t="n"/>
      <c r="G149" s="8" t="n"/>
      <c r="H149" s="8" t="n"/>
      <c r="I149" s="8" t="n"/>
      <c r="J149" s="8" t="n"/>
      <c r="K149" s="10" t="str">
        <f>IF(COUNT(F149:J149)=0,"",ROUND(AVERAGE(F149:J149),1))</f>
        <v/>
      </c>
      <c r="L149" s="11" t="n"/>
      <c r="M149" s="8" t="n"/>
      <c r="N149" s="8" t="n"/>
      <c r="O149" s="8" t="n"/>
      <c r="P149" s="8" t="n"/>
      <c r="Q149" s="12" t="n"/>
      <c r="R149" s="12" t="n"/>
      <c r="S149" s="12" t="n"/>
      <c r="T149" s="9" t="n"/>
      <c r="U149" s="13" t="str">
        <f>IF(A149="","",INDEX('計算'!$Z$2:$Z$151,AF149))</f>
        <v/>
      </c>
      <c r="V149" s="13" t="str">
        <f>IF(A149="","",IFERROR(IF(INDEX('②クラス編成'!$E$9:$E$158,MATCH(A149,'②クラス編成'!$D$9:$D$158,0))="","未",INDEX('②クラス編成'!$E$9:$E$158,MATCH(A149,'②クラス編成'!$D$9:$D$158,0))),"未"))</f>
        <v/>
      </c>
      <c r="W149" s="14" t="str">
        <f>IF(A149="","",A149&amp;" "&amp;C149)</f>
        <v/>
      </c>
      <c r="X149" s="14" t="str">
        <f>IF(A149="","",IF(E149="男",1,IF(E149="女",2,3)))</f>
        <v/>
      </c>
      <c r="Y149" s="14">
        <f>IF(OR(M149="〇",M149="○",M149="◯"),1,0)</f>
        <v>0</v>
      </c>
      <c r="Z149" s="14">
        <f>IF(OR(N149="〇",N149="○",N149="◯"),1,0)</f>
        <v>0</v>
      </c>
      <c r="AA149" s="14">
        <f>IF(OR(O149="〇",O149="○",O149="◯"),1,0)</f>
        <v>0</v>
      </c>
      <c r="AB149" s="14">
        <f>IF(OR(P149="〇",P149="○",P149="◯"),1,0)</f>
        <v>0</v>
      </c>
      <c r="AC149" s="14" t="str">
        <f>IF(A149="","",IF(AA149=1,1,IF(Y149=1,2,IF(Z149=1,3,IF(AB149=1,4,5)))))</f>
        <v/>
      </c>
      <c r="AD149" s="14" t="str">
        <f>IF(A149="","",IF(K149="",'設定'!$C$37,K149))</f>
        <v/>
      </c>
      <c r="AE149" s="14" t="str">
        <f>IF(A149="","",AC149*10000000-ROUND(ABS((AD149-'設定'!$C$37)/'設定'!$C$38)*10000,0))</f>
        <v/>
      </c>
      <c r="AF149" s="14" t="str">
        <f>IF(A149="","",COUNTIF($AE$4:$AE$153,"&lt;"&amp;AE149)+COUNTIFS($AE$4:$AE$153,AE149,$A$4:$A$153,"&lt;"&amp;A149)+1)</f>
        <v/>
      </c>
      <c r="AG149" s="14" t="str">
        <f>IF(Q149="","",IFERROR(VALUE(LEFT(Q149,FIND(" ",Q149&amp;" ")-1)),IFERROR(INDEX($A$4:$A$153,MATCH(Q149,$C$4:$C$153,0)),"")))</f>
        <v/>
      </c>
      <c r="AH149" s="14" t="str">
        <f>IF(R149="","",IFERROR(VALUE(LEFT(R149,FIND(" ",R149&amp;" ")-1)),IFERROR(INDEX($A$4:$A$153,MATCH(R149,$C$4:$C$153,0)),"")))</f>
        <v/>
      </c>
      <c r="AI149" s="14" t="str">
        <f>IF(S149="","",IFERROR(VALUE(LEFT(S149,FIND(" ",S149&amp;" ")-1)),IFERROR(INDEX($A$4:$A$153,MATCH(S149,$C$4:$C$153,0)),"")))</f>
        <v/>
      </c>
      <c r="AJ149" s="14" t="str">
        <f>IF(OR(A149="",B149=""),"",IF(COUNTIFS($B$4:B149,B149,$A$4:A149,"&lt;&gt;")=1,MAX($AJ$3:AJ148)+1,""))</f>
        <v/>
      </c>
      <c r="AK149" s="14" t="str">
        <f>IF(OR(A149="",NOT(ISNUMBER(L149))),"",L149^2)</f>
        <v/>
      </c>
      <c r="AL149" s="14">
        <f>IF(OR(A149="",NOT(ISNUMBER(L149))),0,(L149-INDEX('計算'!$AE$7:$AG$7,X149))/INDEX('計算'!$AE$8:$AG$8,X149))</f>
        <v>0</v>
      </c>
    </row>
    <row r="150">
      <c r="A150" s="8" t="n"/>
      <c r="B150" s="8" t="n"/>
      <c r="C150" s="9" t="n"/>
      <c r="D150" s="9" t="n"/>
      <c r="E150" s="8" t="n"/>
      <c r="F150" s="8" t="n"/>
      <c r="G150" s="8" t="n"/>
      <c r="H150" s="8" t="n"/>
      <c r="I150" s="8" t="n"/>
      <c r="J150" s="8" t="n"/>
      <c r="K150" s="10" t="str">
        <f>IF(COUNT(F150:J150)=0,"",ROUND(AVERAGE(F150:J150),1))</f>
        <v/>
      </c>
      <c r="L150" s="11" t="n"/>
      <c r="M150" s="8" t="n"/>
      <c r="N150" s="8" t="n"/>
      <c r="O150" s="8" t="n"/>
      <c r="P150" s="8" t="n"/>
      <c r="Q150" s="12" t="n"/>
      <c r="R150" s="12" t="n"/>
      <c r="S150" s="12" t="n"/>
      <c r="T150" s="9" t="n"/>
      <c r="U150" s="13" t="str">
        <f>IF(A150="","",INDEX('計算'!$Z$2:$Z$151,AF150))</f>
        <v/>
      </c>
      <c r="V150" s="13" t="str">
        <f>IF(A150="","",IFERROR(IF(INDEX('②クラス編成'!$E$9:$E$158,MATCH(A150,'②クラス編成'!$D$9:$D$158,0))="","未",INDEX('②クラス編成'!$E$9:$E$158,MATCH(A150,'②クラス編成'!$D$9:$D$158,0))),"未"))</f>
        <v/>
      </c>
      <c r="W150" s="14" t="str">
        <f>IF(A150="","",A150&amp;" "&amp;C150)</f>
        <v/>
      </c>
      <c r="X150" s="14" t="str">
        <f>IF(A150="","",IF(E150="男",1,IF(E150="女",2,3)))</f>
        <v/>
      </c>
      <c r="Y150" s="14">
        <f>IF(OR(M150="〇",M150="○",M150="◯"),1,0)</f>
        <v>0</v>
      </c>
      <c r="Z150" s="14">
        <f>IF(OR(N150="〇",N150="○",N150="◯"),1,0)</f>
        <v>0</v>
      </c>
      <c r="AA150" s="14">
        <f>IF(OR(O150="〇",O150="○",O150="◯"),1,0)</f>
        <v>0</v>
      </c>
      <c r="AB150" s="14">
        <f>IF(OR(P150="〇",P150="○",P150="◯"),1,0)</f>
        <v>0</v>
      </c>
      <c r="AC150" s="14" t="str">
        <f>IF(A150="","",IF(AA150=1,1,IF(Y150=1,2,IF(Z150=1,3,IF(AB150=1,4,5)))))</f>
        <v/>
      </c>
      <c r="AD150" s="14" t="str">
        <f>IF(A150="","",IF(K150="",'設定'!$C$37,K150))</f>
        <v/>
      </c>
      <c r="AE150" s="14" t="str">
        <f>IF(A150="","",AC150*10000000-ROUND(ABS((AD150-'設定'!$C$37)/'設定'!$C$38)*10000,0))</f>
        <v/>
      </c>
      <c r="AF150" s="14" t="str">
        <f>IF(A150="","",COUNTIF($AE$4:$AE$153,"&lt;"&amp;AE150)+COUNTIFS($AE$4:$AE$153,AE150,$A$4:$A$153,"&lt;"&amp;A150)+1)</f>
        <v/>
      </c>
      <c r="AG150" s="14" t="str">
        <f>IF(Q150="","",IFERROR(VALUE(LEFT(Q150,FIND(" ",Q150&amp;" ")-1)),IFERROR(INDEX($A$4:$A$153,MATCH(Q150,$C$4:$C$153,0)),"")))</f>
        <v/>
      </c>
      <c r="AH150" s="14" t="str">
        <f>IF(R150="","",IFERROR(VALUE(LEFT(R150,FIND(" ",R150&amp;" ")-1)),IFERROR(INDEX($A$4:$A$153,MATCH(R150,$C$4:$C$153,0)),"")))</f>
        <v/>
      </c>
      <c r="AI150" s="14" t="str">
        <f>IF(S150="","",IFERROR(VALUE(LEFT(S150,FIND(" ",S150&amp;" ")-1)),IFERROR(INDEX($A$4:$A$153,MATCH(S150,$C$4:$C$153,0)),"")))</f>
        <v/>
      </c>
      <c r="AJ150" s="14" t="str">
        <f>IF(OR(A150="",B150=""),"",IF(COUNTIFS($B$4:B150,B150,$A$4:A150,"&lt;&gt;")=1,MAX($AJ$3:AJ149)+1,""))</f>
        <v/>
      </c>
      <c r="AK150" s="14" t="str">
        <f>IF(OR(A150="",NOT(ISNUMBER(L150))),"",L150^2)</f>
        <v/>
      </c>
      <c r="AL150" s="14">
        <f>IF(OR(A150="",NOT(ISNUMBER(L150))),0,(L150-INDEX('計算'!$AE$7:$AG$7,X150))/INDEX('計算'!$AE$8:$AG$8,X150))</f>
        <v>0</v>
      </c>
    </row>
    <row r="151">
      <c r="A151" s="8" t="n"/>
      <c r="B151" s="8" t="n"/>
      <c r="C151" s="9" t="n"/>
      <c r="D151" s="9" t="n"/>
      <c r="E151" s="8" t="n"/>
      <c r="F151" s="8" t="n"/>
      <c r="G151" s="8" t="n"/>
      <c r="H151" s="8" t="n"/>
      <c r="I151" s="8" t="n"/>
      <c r="J151" s="8" t="n"/>
      <c r="K151" s="10" t="str">
        <f>IF(COUNT(F151:J151)=0,"",ROUND(AVERAGE(F151:J151),1))</f>
        <v/>
      </c>
      <c r="L151" s="11" t="n"/>
      <c r="M151" s="8" t="n"/>
      <c r="N151" s="8" t="n"/>
      <c r="O151" s="8" t="n"/>
      <c r="P151" s="8" t="n"/>
      <c r="Q151" s="12" t="n"/>
      <c r="R151" s="12" t="n"/>
      <c r="S151" s="12" t="n"/>
      <c r="T151" s="9" t="n"/>
      <c r="U151" s="13" t="str">
        <f>IF(A151="","",INDEX('計算'!$Z$2:$Z$151,AF151))</f>
        <v/>
      </c>
      <c r="V151" s="13" t="str">
        <f>IF(A151="","",IFERROR(IF(INDEX('②クラス編成'!$E$9:$E$158,MATCH(A151,'②クラス編成'!$D$9:$D$158,0))="","未",INDEX('②クラス編成'!$E$9:$E$158,MATCH(A151,'②クラス編成'!$D$9:$D$158,0))),"未"))</f>
        <v/>
      </c>
      <c r="W151" s="14" t="str">
        <f>IF(A151="","",A151&amp;" "&amp;C151)</f>
        <v/>
      </c>
      <c r="X151" s="14" t="str">
        <f>IF(A151="","",IF(E151="男",1,IF(E151="女",2,3)))</f>
        <v/>
      </c>
      <c r="Y151" s="14">
        <f>IF(OR(M151="〇",M151="○",M151="◯"),1,0)</f>
        <v>0</v>
      </c>
      <c r="Z151" s="14">
        <f>IF(OR(N151="〇",N151="○",N151="◯"),1,0)</f>
        <v>0</v>
      </c>
      <c r="AA151" s="14">
        <f>IF(OR(O151="〇",O151="○",O151="◯"),1,0)</f>
        <v>0</v>
      </c>
      <c r="AB151" s="14">
        <f>IF(OR(P151="〇",P151="○",P151="◯"),1,0)</f>
        <v>0</v>
      </c>
      <c r="AC151" s="14" t="str">
        <f>IF(A151="","",IF(AA151=1,1,IF(Y151=1,2,IF(Z151=1,3,IF(AB151=1,4,5)))))</f>
        <v/>
      </c>
      <c r="AD151" s="14" t="str">
        <f>IF(A151="","",IF(K151="",'設定'!$C$37,K151))</f>
        <v/>
      </c>
      <c r="AE151" s="14" t="str">
        <f>IF(A151="","",AC151*10000000-ROUND(ABS((AD151-'設定'!$C$37)/'設定'!$C$38)*10000,0))</f>
        <v/>
      </c>
      <c r="AF151" s="14" t="str">
        <f>IF(A151="","",COUNTIF($AE$4:$AE$153,"&lt;"&amp;AE151)+COUNTIFS($AE$4:$AE$153,AE151,$A$4:$A$153,"&lt;"&amp;A151)+1)</f>
        <v/>
      </c>
      <c r="AG151" s="14" t="str">
        <f>IF(Q151="","",IFERROR(VALUE(LEFT(Q151,FIND(" ",Q151&amp;" ")-1)),IFERROR(INDEX($A$4:$A$153,MATCH(Q151,$C$4:$C$153,0)),"")))</f>
        <v/>
      </c>
      <c r="AH151" s="14" t="str">
        <f>IF(R151="","",IFERROR(VALUE(LEFT(R151,FIND(" ",R151&amp;" ")-1)),IFERROR(INDEX($A$4:$A$153,MATCH(R151,$C$4:$C$153,0)),"")))</f>
        <v/>
      </c>
      <c r="AI151" s="14" t="str">
        <f>IF(S151="","",IFERROR(VALUE(LEFT(S151,FIND(" ",S151&amp;" ")-1)),IFERROR(INDEX($A$4:$A$153,MATCH(S151,$C$4:$C$153,0)),"")))</f>
        <v/>
      </c>
      <c r="AJ151" s="14" t="str">
        <f>IF(OR(A151="",B151=""),"",IF(COUNTIFS($B$4:B151,B151,$A$4:A151,"&lt;&gt;")=1,MAX($AJ$3:AJ150)+1,""))</f>
        <v/>
      </c>
      <c r="AK151" s="14" t="str">
        <f>IF(OR(A151="",NOT(ISNUMBER(L151))),"",L151^2)</f>
        <v/>
      </c>
      <c r="AL151" s="14">
        <f>IF(OR(A151="",NOT(ISNUMBER(L151))),0,(L151-INDEX('計算'!$AE$7:$AG$7,X151))/INDEX('計算'!$AE$8:$AG$8,X151))</f>
        <v>0</v>
      </c>
    </row>
    <row r="152">
      <c r="A152" s="8" t="n"/>
      <c r="B152" s="8" t="n"/>
      <c r="C152" s="9" t="n"/>
      <c r="D152" s="9" t="n"/>
      <c r="E152" s="8" t="n"/>
      <c r="F152" s="8" t="n"/>
      <c r="G152" s="8" t="n"/>
      <c r="H152" s="8" t="n"/>
      <c r="I152" s="8" t="n"/>
      <c r="J152" s="8" t="n"/>
      <c r="K152" s="10" t="str">
        <f>IF(COUNT(F152:J152)=0,"",ROUND(AVERAGE(F152:J152),1))</f>
        <v/>
      </c>
      <c r="L152" s="11" t="n"/>
      <c r="M152" s="8" t="n"/>
      <c r="N152" s="8" t="n"/>
      <c r="O152" s="8" t="n"/>
      <c r="P152" s="8" t="n"/>
      <c r="Q152" s="12" t="n"/>
      <c r="R152" s="12" t="n"/>
      <c r="S152" s="12" t="n"/>
      <c r="T152" s="9" t="n"/>
      <c r="U152" s="13" t="str">
        <f>IF(A152="","",INDEX('計算'!$Z$2:$Z$151,AF152))</f>
        <v/>
      </c>
      <c r="V152" s="13" t="str">
        <f>IF(A152="","",IFERROR(IF(INDEX('②クラス編成'!$E$9:$E$158,MATCH(A152,'②クラス編成'!$D$9:$D$158,0))="","未",INDEX('②クラス編成'!$E$9:$E$158,MATCH(A152,'②クラス編成'!$D$9:$D$158,0))),"未"))</f>
        <v/>
      </c>
      <c r="W152" s="14" t="str">
        <f>IF(A152="","",A152&amp;" "&amp;C152)</f>
        <v/>
      </c>
      <c r="X152" s="14" t="str">
        <f>IF(A152="","",IF(E152="男",1,IF(E152="女",2,3)))</f>
        <v/>
      </c>
      <c r="Y152" s="14">
        <f>IF(OR(M152="〇",M152="○",M152="◯"),1,0)</f>
        <v>0</v>
      </c>
      <c r="Z152" s="14">
        <f>IF(OR(N152="〇",N152="○",N152="◯"),1,0)</f>
        <v>0</v>
      </c>
      <c r="AA152" s="14">
        <f>IF(OR(O152="〇",O152="○",O152="◯"),1,0)</f>
        <v>0</v>
      </c>
      <c r="AB152" s="14">
        <f>IF(OR(P152="〇",P152="○",P152="◯"),1,0)</f>
        <v>0</v>
      </c>
      <c r="AC152" s="14" t="str">
        <f>IF(A152="","",IF(AA152=1,1,IF(Y152=1,2,IF(Z152=1,3,IF(AB152=1,4,5)))))</f>
        <v/>
      </c>
      <c r="AD152" s="14" t="str">
        <f>IF(A152="","",IF(K152="",'設定'!$C$37,K152))</f>
        <v/>
      </c>
      <c r="AE152" s="14" t="str">
        <f>IF(A152="","",AC152*10000000-ROUND(ABS((AD152-'設定'!$C$37)/'設定'!$C$38)*10000,0))</f>
        <v/>
      </c>
      <c r="AF152" s="14" t="str">
        <f>IF(A152="","",COUNTIF($AE$4:$AE$153,"&lt;"&amp;AE152)+COUNTIFS($AE$4:$AE$153,AE152,$A$4:$A$153,"&lt;"&amp;A152)+1)</f>
        <v/>
      </c>
      <c r="AG152" s="14" t="str">
        <f>IF(Q152="","",IFERROR(VALUE(LEFT(Q152,FIND(" ",Q152&amp;" ")-1)),IFERROR(INDEX($A$4:$A$153,MATCH(Q152,$C$4:$C$153,0)),"")))</f>
        <v/>
      </c>
      <c r="AH152" s="14" t="str">
        <f>IF(R152="","",IFERROR(VALUE(LEFT(R152,FIND(" ",R152&amp;" ")-1)),IFERROR(INDEX($A$4:$A$153,MATCH(R152,$C$4:$C$153,0)),"")))</f>
        <v/>
      </c>
      <c r="AI152" s="14" t="str">
        <f>IF(S152="","",IFERROR(VALUE(LEFT(S152,FIND(" ",S152&amp;" ")-1)),IFERROR(INDEX($A$4:$A$153,MATCH(S152,$C$4:$C$153,0)),"")))</f>
        <v/>
      </c>
      <c r="AJ152" s="14" t="str">
        <f>IF(OR(A152="",B152=""),"",IF(COUNTIFS($B$4:B152,B152,$A$4:A152,"&lt;&gt;")=1,MAX($AJ$3:AJ151)+1,""))</f>
        <v/>
      </c>
      <c r="AK152" s="14" t="str">
        <f>IF(OR(A152="",NOT(ISNUMBER(L152))),"",L152^2)</f>
        <v/>
      </c>
      <c r="AL152" s="14">
        <f>IF(OR(A152="",NOT(ISNUMBER(L152))),0,(L152-INDEX('計算'!$AE$7:$AG$7,X152))/INDEX('計算'!$AE$8:$AG$8,X152))</f>
        <v>0</v>
      </c>
    </row>
    <row r="153">
      <c r="A153" s="8" t="n"/>
      <c r="B153" s="8" t="n"/>
      <c r="C153" s="9" t="n"/>
      <c r="D153" s="9" t="n"/>
      <c r="E153" s="8" t="n"/>
      <c r="F153" s="8" t="n"/>
      <c r="G153" s="8" t="n"/>
      <c r="H153" s="8" t="n"/>
      <c r="I153" s="8" t="n"/>
      <c r="J153" s="8" t="n"/>
      <c r="K153" s="10" t="str">
        <f>IF(COUNT(F153:J153)=0,"",ROUND(AVERAGE(F153:J153),1))</f>
        <v/>
      </c>
      <c r="L153" s="11" t="n"/>
      <c r="M153" s="8" t="n"/>
      <c r="N153" s="8" t="n"/>
      <c r="O153" s="8" t="n"/>
      <c r="P153" s="8" t="n"/>
      <c r="Q153" s="12" t="n"/>
      <c r="R153" s="12" t="n"/>
      <c r="S153" s="12" t="n"/>
      <c r="T153" s="9" t="n"/>
      <c r="U153" s="13" t="str">
        <f>IF(A153="","",INDEX('計算'!$Z$2:$Z$151,AF153))</f>
        <v/>
      </c>
      <c r="V153" s="13" t="str">
        <f>IF(A153="","",IFERROR(IF(INDEX('②クラス編成'!$E$9:$E$158,MATCH(A153,'②クラス編成'!$D$9:$D$158,0))="","未",INDEX('②クラス編成'!$E$9:$E$158,MATCH(A153,'②クラス編成'!$D$9:$D$158,0))),"未"))</f>
        <v/>
      </c>
      <c r="W153" s="14" t="str">
        <f>IF(A153="","",A153&amp;" "&amp;C153)</f>
        <v/>
      </c>
      <c r="X153" s="14" t="str">
        <f>IF(A153="","",IF(E153="男",1,IF(E153="女",2,3)))</f>
        <v/>
      </c>
      <c r="Y153" s="14">
        <f>IF(OR(M153="〇",M153="○",M153="◯"),1,0)</f>
        <v>0</v>
      </c>
      <c r="Z153" s="14">
        <f>IF(OR(N153="〇",N153="○",N153="◯"),1,0)</f>
        <v>0</v>
      </c>
      <c r="AA153" s="14">
        <f>IF(OR(O153="〇",O153="○",O153="◯"),1,0)</f>
        <v>0</v>
      </c>
      <c r="AB153" s="14">
        <f>IF(OR(P153="〇",P153="○",P153="◯"),1,0)</f>
        <v>0</v>
      </c>
      <c r="AC153" s="14" t="str">
        <f>IF(A153="","",IF(AA153=1,1,IF(Y153=1,2,IF(Z153=1,3,IF(AB153=1,4,5)))))</f>
        <v/>
      </c>
      <c r="AD153" s="14" t="str">
        <f>IF(A153="","",IF(K153="",'設定'!$C$37,K153))</f>
        <v/>
      </c>
      <c r="AE153" s="14" t="str">
        <f>IF(A153="","",AC153*10000000-ROUND(ABS((AD153-'設定'!$C$37)/'設定'!$C$38)*10000,0))</f>
        <v/>
      </c>
      <c r="AF153" s="14" t="str">
        <f>IF(A153="","",COUNTIF($AE$4:$AE$153,"&lt;"&amp;AE153)+COUNTIFS($AE$4:$AE$153,AE153,$A$4:$A$153,"&lt;"&amp;A153)+1)</f>
        <v/>
      </c>
      <c r="AG153" s="14" t="str">
        <f>IF(Q153="","",IFERROR(VALUE(LEFT(Q153,FIND(" ",Q153&amp;" ")-1)),IFERROR(INDEX($A$4:$A$153,MATCH(Q153,$C$4:$C$153,0)),"")))</f>
        <v/>
      </c>
      <c r="AH153" s="14" t="str">
        <f>IF(R153="","",IFERROR(VALUE(LEFT(R153,FIND(" ",R153&amp;" ")-1)),IFERROR(INDEX($A$4:$A$153,MATCH(R153,$C$4:$C$153,0)),"")))</f>
        <v/>
      </c>
      <c r="AI153" s="14" t="str">
        <f>IF(S153="","",IFERROR(VALUE(LEFT(S153,FIND(" ",S153&amp;" ")-1)),IFERROR(INDEX($A$4:$A$153,MATCH(S153,$C$4:$C$153,0)),"")))</f>
        <v/>
      </c>
      <c r="AJ153" s="14" t="str">
        <f>IF(OR(A153="",B153=""),"",IF(COUNTIFS($B$4:B153,B153,$A$4:A153,"&lt;&gt;")=1,MAX($AJ$3:AJ152)+1,""))</f>
        <v/>
      </c>
      <c r="AK153" s="14" t="str">
        <f>IF(OR(A153="",NOT(ISNUMBER(L153))),"",L153^2)</f>
        <v/>
      </c>
      <c r="AL153" s="14">
        <f>IF(OR(A153="",NOT(ISNUMBER(L153))),0,(L153-INDEX('計算'!$AE$7:$AG$7,X153))/INDEX('計算'!$AE$8:$AG$8,X153))</f>
        <v>0</v>
      </c>
    </row>
  </sheetData>
  <autoFilter ref="A2:V153"/>
  <conditionalFormatting sqref="A4:A153">
    <cfRule type="expression" priority="1" dxfId="0">
      <formula>AND($A4&lt;&gt;"",COUNTIF($A$4:$A$153,$A4)&gt;1)</formula>
    </cfRule>
    <cfRule type="expression" priority="2" dxfId="1">
      <formula>AND($A4&lt;&gt;"",NOT(ISNUMBER($A4)))</formula>
    </cfRule>
  </conditionalFormatting>
  <conditionalFormatting sqref="Q4:S153">
    <cfRule type="expression" priority="3" dxfId="1">
      <formula>AND(Q4&lt;&gt;"",OR(AG4="",ISNA(MATCH(AG4,$A$4:$A$153,0)),AG4=$A4))</formula>
    </cfRule>
  </conditionalFormatting>
  <conditionalFormatting sqref="U4:V153">
    <cfRule type="cellIs" priority="4" operator="equal" dxfId="2">
      <formula>1</formula>
    </cfRule>
    <cfRule type="cellIs" priority="5" operator="equal" dxfId="3">
      <formula>2</formula>
    </cfRule>
    <cfRule type="cellIs" priority="6" operator="equal" dxfId="4">
      <formula>3</formula>
    </cfRule>
  </conditionalFormatting>
  <conditionalFormatting sqref="V4:V153">
    <cfRule type="cellIs" priority="7" operator="equal" dxfId="5">
      <formula>"未"</formula>
    </cfRule>
  </conditionalFormatting>
  <conditionalFormatting sqref="M4:M153">
    <cfRule type="expression" priority="8" dxfId="6">
      <formula>OR(M4="〇",M4="○",M4="◯")</formula>
    </cfRule>
  </conditionalFormatting>
  <conditionalFormatting sqref="N4:N153">
    <cfRule type="expression" priority="9" dxfId="7">
      <formula>OR(N4="〇",N4="○",N4="◯")</formula>
    </cfRule>
  </conditionalFormatting>
  <conditionalFormatting sqref="O4:O153">
    <cfRule type="expression" priority="10" dxfId="8">
      <formula>OR(O4="〇",O4="○",O4="◯")</formula>
    </cfRule>
  </conditionalFormatting>
  <conditionalFormatting sqref="P4:P153">
    <cfRule type="expression" priority="11" dxfId="9">
      <formula>OR(P4="〇",P4="○",P4="◯")</formula>
    </cfRule>
  </conditionalFormatting>
  <conditionalFormatting sqref="E4:E153">
    <cfRule type="cellIs" priority="12" operator="equal" dxfId="10">
      <formula>"男"</formula>
    </cfRule>
    <cfRule type="cellIs" priority="13" operator="equal" dxfId="5">
      <formula>"女"</formula>
    </cfRule>
  </conditionalFormatting>
  <dataValidations count="4">
    <dataValidation sqref="E4:E153" showDropDown="0" showInputMessage="0" showErrorMessage="0" allowBlank="1" type="list">
      <formula1>"男,女"</formula1>
    </dataValidation>
    <dataValidation sqref="M4:M153" showDropDown="0" showInputMessage="0" showErrorMessage="0" allowBlank="1" type="list">
      <formula1>"〇,×"</formula1>
    </dataValidation>
    <dataValidation sqref="N4:P153" showDropDown="0" showInputMessage="0" showErrorMessage="0" allowBlank="1" type="list">
      <formula1>"〇"</formula1>
    </dataValidation>
    <dataValidation sqref="Q4:S153" showDropDown="0" showInputMessage="1" showErrorMessage="0" allowBlank="1" promptTitle="分けたい人" prompt="リストから「番号 氏名」を選ぶか、番号だけ入力してください。" type="list">
      <formula1>=$W$4:$W$153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X158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5" customWidth="1" min="1" max="1"/>
    <col width="6.5" customWidth="1" min="2" max="2"/>
    <col width="2" customWidth="1" min="3" max="3"/>
    <col width="8" customWidth="1" min="4" max="4"/>
    <col width="5.5" customWidth="1" min="5" max="5"/>
    <col width="14" customWidth="1" min="6" max="6"/>
    <col width="5" customWidth="1" min="7" max="7"/>
    <col width="6" customWidth="1" min="8" max="8"/>
    <col width="6.5" customWidth="1" min="9" max="9"/>
    <col width="6" customWidth="1" min="10" max="10"/>
    <col width="6" customWidth="1" min="11" max="11"/>
    <col width="6" customWidth="1" min="12" max="12"/>
    <col width="5" customWidth="1" min="13" max="13"/>
    <col width="5" customWidth="1" min="14" max="14"/>
    <col width="26" customWidth="1" min="15" max="15"/>
    <col width="24" customWidth="1" min="16" max="16"/>
    <col width="22" customWidth="1" min="17" max="17"/>
    <col hidden="1" outlineLevel="1" width="13" customWidth="1" min="18" max="50"/>
  </cols>
  <sheetData>
    <row r="1">
      <c r="A1" s="15" t="inlineStr">
        <is>
          <t>② クラス編成（ここが「決定したクラス」です）</t>
        </is>
      </c>
    </row>
    <row r="2">
      <c r="A2" s="2" t="inlineStr">
        <is>
          <t>手順1：A〜B列（自動案）を選んでコピー → D9 を右クリック →［貼り付けのオプション］の「値」で貼り付け（マクロを入れた場合は［自動案を貼り付け］ボタンでもOK）</t>
        </is>
      </c>
    </row>
    <row r="3">
      <c r="A3" s="2" t="inlineStr">
        <is>
          <t>手順2：E列（組）の数字は直接書き換えてOK。入れ替えは③の画面か、ここで2人の行を Ctrl＋クリックして［選んだ2人を入替］。赤い行＝分けたい人と同じ組</t>
        </is>
      </c>
    </row>
    <row r="4">
      <c r="A4" s="16" t="str">
        <f>"名簿 "&amp;'設定'!$C$39&amp;"人　／　編成済み "&amp;'設定'!$C$40&amp;"人　／　未割当 "&amp;'設定'!$C$41&amp;"人"&amp;IF('設定'!$C$45&gt;0,"　／　⚠ 番号や組の入力に問題が "&amp;'設定'!$C$45&amp;" 件（①②の色のついたセルを確認）","")</f>
        <v>名簿 105人　／　編成済み 105人　／　未割当 0人</v>
      </c>
    </row>
    <row r="5" ht="18" customHeight="1">
      <c r="A5" s="17" t="inlineStr">
        <is>
          <t>▼ マクロを入れると、右にボタンが出ます</t>
        </is>
      </c>
    </row>
    <row r="6" ht="18" customHeight="1"/>
    <row r="7">
      <c r="A7" s="18" t="inlineStr">
        <is>
          <t>自動案（コピー元）</t>
        </is>
      </c>
      <c r="B7" s="18" t="n"/>
      <c r="D7" s="19" t="inlineStr">
        <is>
          <t>決定欄：D列＝番号・E列＝組 に「値」で貼り付け（E列は直接書き換えOK）</t>
        </is>
      </c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</row>
    <row r="8" ht="30" customHeight="1">
      <c r="A8" s="20" t="inlineStr">
        <is>
          <t>番号</t>
        </is>
      </c>
      <c r="B8" s="20" t="inlineStr">
        <is>
          <t>自動案</t>
        </is>
      </c>
      <c r="C8" s="21" t="inlineStr"/>
      <c r="D8" s="3" t="inlineStr">
        <is>
          <t>番号</t>
        </is>
      </c>
      <c r="E8" s="3" t="inlineStr">
        <is>
          <t>組</t>
        </is>
      </c>
      <c r="F8" s="3" t="inlineStr">
        <is>
          <t>氏名</t>
        </is>
      </c>
      <c r="G8" s="3" t="inlineStr">
        <is>
          <t>性別</t>
        </is>
      </c>
      <c r="H8" s="3" t="inlineStr">
        <is>
          <t>旧クラス</t>
        </is>
      </c>
      <c r="I8" s="3" t="inlineStr">
        <is>
          <t>5教科
平均</t>
        </is>
      </c>
      <c r="J8" s="3" t="inlineStr">
        <is>
          <t>50m</t>
        </is>
      </c>
      <c r="K8" s="3" t="inlineStr">
        <is>
          <t>ピアノ</t>
        </is>
      </c>
      <c r="L8" s="3" t="inlineStr">
        <is>
          <t>ムード</t>
        </is>
      </c>
      <c r="M8" s="3" t="inlineStr">
        <is>
          <t>注意</t>
        </is>
      </c>
      <c r="N8" s="3" t="inlineStr">
        <is>
          <t>休み
がち</t>
        </is>
      </c>
      <c r="O8" s="3" t="inlineStr">
        <is>
          <t>分けたい相手（いまの組）</t>
        </is>
      </c>
      <c r="P8" s="3" t="inlineStr">
        <is>
          <t>⚠ 同じ組にいる分けたい相手</t>
        </is>
      </c>
      <c r="Q8" s="3" t="inlineStr">
        <is>
          <t>備考</t>
        </is>
      </c>
      <c r="S8" s="22" t="inlineStr">
        <is>
          <t>名簿行</t>
        </is>
      </c>
      <c r="T8" s="22" t="inlineStr">
        <is>
          <t>分けたいID①</t>
        </is>
      </c>
      <c r="U8" s="22" t="inlineStr">
        <is>
          <t>分けたいID②</t>
        </is>
      </c>
      <c r="V8" s="22" t="inlineStr">
        <is>
          <t>分けたいID③</t>
        </is>
      </c>
      <c r="W8" s="22" t="inlineStr">
        <is>
          <t>相手①の組</t>
        </is>
      </c>
      <c r="X8" s="22" t="inlineStr">
        <is>
          <t>相手②の組</t>
        </is>
      </c>
      <c r="Y8" s="22" t="inlineStr">
        <is>
          <t>相手③の組</t>
        </is>
      </c>
      <c r="Z8" s="22" t="inlineStr">
        <is>
          <t>同組①</t>
        </is>
      </c>
      <c r="AA8" s="22" t="inlineStr">
        <is>
          <t>同組②</t>
        </is>
      </c>
      <c r="AB8" s="22" t="inlineStr">
        <is>
          <t>同組③</t>
        </is>
      </c>
      <c r="AC8" s="22" t="inlineStr">
        <is>
          <t>逆キー①</t>
        </is>
      </c>
      <c r="AD8" s="22" t="inlineStr">
        <is>
          <t>逆キー②</t>
        </is>
      </c>
      <c r="AE8" s="22" t="inlineStr">
        <is>
          <t>逆キー③</t>
        </is>
      </c>
      <c r="AF8" s="22" t="inlineStr">
        <is>
          <t>逆の件数</t>
        </is>
      </c>
      <c r="AG8" s="22" t="inlineStr">
        <is>
          <t>重なり合計</t>
        </is>
      </c>
      <c r="AH8" s="22" t="inlineStr">
        <is>
          <t>逆の行①</t>
        </is>
      </c>
      <c r="AI8" s="22" t="inlineStr">
        <is>
          <t>逆の行②</t>
        </is>
      </c>
      <c r="AJ8" s="22" t="inlineStr">
        <is>
          <t>逆の行③</t>
        </is>
      </c>
      <c r="AK8" s="22" t="inlineStr">
        <is>
          <t>同組名(自分から)</t>
        </is>
      </c>
      <c r="AL8" s="22" t="inlineStr">
        <is>
          <t>同組名(相手から)</t>
        </is>
      </c>
      <c r="AM8" s="22" t="inlineStr">
        <is>
          <t>相手①表示</t>
        </is>
      </c>
      <c r="AN8" s="22" t="inlineStr">
        <is>
          <t>相手②表示</t>
        </is>
      </c>
      <c r="AO8" s="22" t="inlineStr">
        <is>
          <t>相手③表示</t>
        </is>
      </c>
      <c r="AP8" s="22" t="inlineStr">
        <is>
          <t>性別ｺｰﾄﾞ</t>
        </is>
      </c>
      <c r="AQ8" s="22" t="inlineStr">
        <is>
          <t>並びキー</t>
        </is>
      </c>
      <c r="AR8" s="22" t="inlineStr">
        <is>
          <t>組内の順</t>
        </is>
      </c>
      <c r="AS8" s="22" t="inlineStr">
        <is>
          <t>一覧キー</t>
        </is>
      </c>
      <c r="AT8" s="22" t="inlineStr">
        <is>
          <t>国</t>
        </is>
      </c>
      <c r="AU8" s="22" t="inlineStr">
        <is>
          <t>数</t>
        </is>
      </c>
      <c r="AV8" s="22" t="inlineStr">
        <is>
          <t>英</t>
        </is>
      </c>
      <c r="AW8" s="22" t="inlineStr">
        <is>
          <t>理</t>
        </is>
      </c>
      <c r="AX8" s="22" t="inlineStr">
        <is>
          <t>社</t>
        </is>
      </c>
    </row>
    <row r="9">
      <c r="A9" s="23">
        <f>IF('①名簿入力'!A4="","",'①名簿入力'!A4)</f>
        <v>2101</v>
      </c>
      <c r="B9" s="23">
        <f>IF(A9="","",'①名簿入力'!U4)</f>
        <v>1</v>
      </c>
      <c r="D9" s="8" t="n">
        <v>2101</v>
      </c>
      <c r="E9" s="24" t="n">
        <v>1</v>
      </c>
      <c r="F9" s="25" t="str">
        <f>IF(D9="","",IF(S9="","（名簿にない番号）",INDEX('①名簿入力'!$C$4:$C$153,S9)&amp;""))</f>
        <v>青木　花音</v>
      </c>
      <c r="G9" s="13" t="str">
        <f>IF(S9="","",INDEX('①名簿入力'!$E$4:$E$153,S9)&amp;"")</f>
        <v>女</v>
      </c>
      <c r="H9" s="13">
        <f>IF(S9="","",IF(INDEX('①名簿入力'!$B$4:$B$153,S9)="","",INDEX('①名簿入力'!$B$4:$B$153,S9)))</f>
        <v>1</v>
      </c>
      <c r="I9" s="10">
        <f>IF(S9="","",IF(INDEX('①名簿入力'!$K$4:$K$153,S9)="","",INDEX('①名簿入力'!$K$4:$K$153,S9)))</f>
        <v>55</v>
      </c>
      <c r="J9" s="10">
        <f>IF(S9="","",IF(INDEX('①名簿入力'!$L$4:$L$153,S9)="","",INDEX('①名簿入力'!$L$4:$L$153,S9)))</f>
        <v>8.9</v>
      </c>
      <c r="K9" s="13" t="str">
        <f>IF(S9="","",IF(INDEX('①名簿入力'!$Y$4:$Y$153,S9)=1,"〇",""))</f>
        <v/>
      </c>
      <c r="L9" s="13" t="str">
        <f>IF(S9="","",IF(INDEX('①名簿入力'!$Z$4:$Z$153,S9)=1,"〇",""))</f>
        <v/>
      </c>
      <c r="M9" s="13" t="str">
        <f>IF(S9="","",IF(INDEX('①名簿入力'!$AA$4:$AA$153,S9)=1,"〇",""))</f>
        <v/>
      </c>
      <c r="N9" s="13" t="str">
        <f>IF(S9="","",IF(INDEX('①名簿入力'!$AB$4:$AB$153,S9)=1,"〇",""))</f>
        <v/>
      </c>
      <c r="O9" s="25" t="str">
        <f>AM9&amp;IF(AND(AM9&lt;&gt;"",AN9&lt;&gt;""),"、","")&amp;AN9&amp;IF(AND(AM9&amp;AN9&lt;&gt;"",AO9&lt;&gt;""),"、","")&amp;AO9</f>
        <v/>
      </c>
      <c r="P9" s="25" t="str">
        <f>IF(AG9=0,"",IF(AK9&amp;AL9="","⚠",LEFT(AK9&amp;AL9,LEN(AK9&amp;AL9)-1)))</f>
        <v/>
      </c>
      <c r="Q9" s="25" t="str">
        <f>IF(S9="","",INDEX('①名簿入力'!$T$4:$T$153,S9)&amp;"")</f>
        <v/>
      </c>
      <c r="S9" s="14">
        <f>IF(D9="","",IFERROR(MATCH(D9,'①名簿入力'!$A$4:$A$153,0),""))</f>
        <v>1</v>
      </c>
      <c r="T9" s="14" t="str">
        <f>IF(S9="","",IF(INDEX('①名簿入力'!$AG$4:$AG$153,S9)=D9,"",INDEX('①名簿入力'!$AG$4:$AG$153,S9)))</f>
        <v/>
      </c>
      <c r="U9" s="14" t="str">
        <f>IF(S9="","",IF(INDEX('①名簿入力'!$AH$4:$AH$153,S9)=D9,"",INDEX('①名簿入力'!$AH$4:$AH$153,S9)))</f>
        <v/>
      </c>
      <c r="V9" s="14" t="str">
        <f>IF(S9="","",IF(INDEX('①名簿入力'!$AI$4:$AI$153,S9)=D9,"",INDEX('①名簿入力'!$AI$4:$AI$153,S9)))</f>
        <v/>
      </c>
      <c r="W9" s="14" t="str">
        <f>IF(T9="","",IFERROR(IF(INDEX($E$9:$E$158,MATCH(T9,$D$9:$D$158,0))="","",INDEX($E$9:$E$158,MATCH(T9,$D$9:$D$158,0))),""))</f>
        <v/>
      </c>
      <c r="X9" s="14" t="str">
        <f>IF(U9="","",IFERROR(IF(INDEX($E$9:$E$158,MATCH(U9,$D$9:$D$158,0))="","",INDEX($E$9:$E$158,MATCH(U9,$D$9:$D$158,0))),""))</f>
        <v/>
      </c>
      <c r="Y9" s="14" t="str">
        <f>IF(V9="","",IFERROR(IF(INDEX($E$9:$E$158,MATCH(V9,$D$9:$D$158,0))="","",INDEX($E$9:$E$158,MATCH(V9,$D$9:$D$158,0))),""))</f>
        <v/>
      </c>
      <c r="Z9" s="14">
        <f>IF(AND(T9&lt;&gt;"",W9&lt;&gt;"",E9&lt;&gt;""),IF(W9=E9,1,0),0)</f>
        <v>0</v>
      </c>
      <c r="AA9" s="14">
        <f>IF(AND(U9&lt;&gt;"",X9&lt;&gt;"",E9&lt;&gt;""),IF(X9=E9,1,0),0)</f>
        <v>0</v>
      </c>
      <c r="AB9" s="14">
        <f>IF(AND(V9&lt;&gt;"",Y9&lt;&gt;"",E9&lt;&gt;""),IF(Y9=E9,1,0),0)</f>
        <v>0</v>
      </c>
      <c r="AC9" s="14" t="str">
        <f>IF(OR(T9="",E9=""),"",T9&amp;"|"&amp;E9)</f>
        <v/>
      </c>
      <c r="AD9" s="14" t="str">
        <f>IF(OR(U9="",E9=""),"",U9&amp;"|"&amp;E9)</f>
        <v/>
      </c>
      <c r="AE9" s="14" t="str">
        <f>IF(OR(V9="",E9=""),"",V9&amp;"|"&amp;E9)</f>
        <v/>
      </c>
      <c r="AF9" s="14">
        <f>IF(OR(D9="",E9=""),0,COUNTIF($AC$9:$AC$158,D9&amp;"|"&amp;E9)+COUNTIF($AD$9:$AD$158,D9&amp;"|"&amp;E9)+COUNTIF($AE$9:$AE$158,D9&amp;"|"&amp;E9))</f>
        <v>0</v>
      </c>
      <c r="AG9" s="14">
        <f>Z9+AA9+AB9+AF9</f>
        <v>0</v>
      </c>
      <c r="AH9" s="14" t="str">
        <f>IF(OR(D9="",E9=""),"",IFERROR(MATCH(D9&amp;"|"&amp;E9,$AC$9:$AC$158,0),""))</f>
        <v/>
      </c>
      <c r="AI9" s="14" t="str">
        <f>IF(OR(D9="",E9=""),"",IFERROR(MATCH(D9&amp;"|"&amp;E9,$AD$9:$AD$158,0),""))</f>
        <v/>
      </c>
      <c r="AJ9" s="14" t="str">
        <f>IF(OR(D9="",E9=""),"",IFERROR(MATCH(D9&amp;"|"&amp;E9,$AE$9:$AE$158,0),""))</f>
        <v/>
      </c>
      <c r="AK9" s="14" t="str">
        <f>IF(Z9=1,IFERROR(INDEX($F$9:$F$158,MATCH(T9,$D$9:$D$158,0)),"")&amp;"、","")&amp;IF(AA9=1,IFERROR(INDEX($F$9:$F$158,MATCH(U9,$D$9:$D$158,0)),"")&amp;"、","")&amp;IF(AB9=1,IFERROR(INDEX($F$9:$F$158,MATCH(V9,$D$9:$D$158,0)),"")&amp;"、","")</f>
        <v/>
      </c>
      <c r="AL9" s="14" t="str">
        <f>IF(OR(AH9=""),"",IF(OR(INDEX($D$9:$D$158,AH9)=T9,INDEX($D$9:$D$158,AH9)=U9,INDEX($D$9:$D$158,AH9)=V9),"",INDEX($F$9:$F$158,AH9)&amp;"、"))&amp;IF(OR(AI9="",AI9=AH9),"",IF(OR(INDEX($D$9:$D$158,AI9)=T9,INDEX($D$9:$D$158,AI9)=U9,INDEX($D$9:$D$158,AI9)=V9),"",INDEX($F$9:$F$158,AI9)&amp;"、"))&amp;IF(OR(AJ9="",AJ9=AH9,AJ9=AI9),"",IF(OR(INDEX($D$9:$D$158,AJ9)=T9,INDEX($D$9:$D$158,AJ9)=U9,INDEX($D$9:$D$158,AJ9)=V9),"",INDEX($F$9:$F$158,AJ9)&amp;"、"))</f>
        <v/>
      </c>
      <c r="AM9" s="14" t="str">
        <f>IF(T9="","",IFERROR(INDEX('①名簿入力'!$C$4:$C$153,MATCH(T9,'①名簿入力'!$A$4:$A$153,0)),"?")&amp;IF(W9="","","("&amp;W9&amp;"組)"))</f>
        <v/>
      </c>
      <c r="AN9" s="14" t="str">
        <f>IF(U9="","",IFERROR(INDEX('①名簿入力'!$C$4:$C$153,MATCH(U9,'①名簿入力'!$A$4:$A$153,0)),"?")&amp;IF(X9="","","("&amp;X9&amp;"組)"))</f>
        <v/>
      </c>
      <c r="AO9" s="14" t="str">
        <f>IF(V9="","",IFERROR(INDEX('①名簿入力'!$C$4:$C$153,MATCH(V9,'①名簿入力'!$A$4:$A$153,0)),"?")&amp;IF(Y9="","","("&amp;Y9&amp;"組)"))</f>
        <v/>
      </c>
      <c r="AP9" s="14">
        <f>IF(G9="男",1,IF(G9="女",2,3))</f>
        <v>2</v>
      </c>
      <c r="AQ9" s="14">
        <f>IF(OR(S9="",E9=""),"",IFERROR(IF('③クラス一覧'!$AD$6="番号順",0,AP9*1000000000)+D9,""))</f>
        <v>2000002101</v>
      </c>
      <c r="AR9" s="14">
        <f>IF(AQ9="","",COUNTIFS($E$9:$E$158,E9,$AQ$9:$AQ$158,"&lt;"&amp;AQ9)+1)</f>
        <v>19</v>
      </c>
      <c r="AS9" s="14" t="str">
        <f>IF(AR9="","",E9&amp;"-"&amp;AR9)</f>
        <v>1-19</v>
      </c>
      <c r="AT9" s="14">
        <f>IF(S9="","",IF(INDEX('①名簿入力'!$F$4:$F$153,S9)="","",INDEX('①名簿入力'!$F$4:$F$153,S9)))</f>
        <v>48</v>
      </c>
      <c r="AU9" s="14">
        <f>IF(S9="","",IF(INDEX('①名簿入力'!$G$4:$G$153,S9)="","",INDEX('①名簿入力'!$G$4:$G$153,S9)))</f>
        <v>52</v>
      </c>
      <c r="AV9" s="14">
        <f>IF(S9="","",IF(INDEX('①名簿入力'!$H$4:$H$153,S9)="","",INDEX('①名簿入力'!$H$4:$H$153,S9)))</f>
        <v>57</v>
      </c>
      <c r="AW9" s="14">
        <f>IF(S9="","",IF(INDEX('①名簿入力'!$I$4:$I$153,S9)="","",INDEX('①名簿入力'!$I$4:$I$153,S9)))</f>
        <v>60</v>
      </c>
      <c r="AX9" s="14">
        <f>IF(S9="","",IF(INDEX('①名簿入力'!$J$4:$J$153,S9)="","",INDEX('①名簿入力'!$J$4:$J$153,S9)))</f>
        <v>58</v>
      </c>
    </row>
    <row r="10">
      <c r="A10" s="23">
        <f>IF('①名簿入力'!A5="","",'①名簿入力'!A5)</f>
        <v>2102</v>
      </c>
      <c r="B10" s="23">
        <f>IF(A10="","",'①名簿入力'!U5)</f>
        <v>3</v>
      </c>
      <c r="D10" s="8" t="n">
        <v>2102</v>
      </c>
      <c r="E10" s="24" t="n">
        <v>3</v>
      </c>
      <c r="F10" s="25" t="str">
        <f>IF(D10="","",IF(S10="","（名簿にない番号）",INDEX('①名簿入力'!$C$4:$C$153,S10)&amp;""))</f>
        <v>阿部　陽葵</v>
      </c>
      <c r="G10" s="13" t="str">
        <f>IF(S10="","",INDEX('①名簿入力'!$E$4:$E$153,S10)&amp;"")</f>
        <v>女</v>
      </c>
      <c r="H10" s="13">
        <f>IF(S10="","",IF(INDEX('①名簿入力'!$B$4:$B$153,S10)="","",INDEX('①名簿入力'!$B$4:$B$153,S10)))</f>
        <v>1</v>
      </c>
      <c r="I10" s="10">
        <f>IF(S10="","",IF(INDEX('①名簿入力'!$K$4:$K$153,S10)="","",INDEX('①名簿入力'!$K$4:$K$153,S10)))</f>
        <v>34.8</v>
      </c>
      <c r="J10" s="10">
        <f>IF(S10="","",IF(INDEX('①名簿入力'!$L$4:$L$153,S10)="","",INDEX('①名簿入力'!$L$4:$L$153,S10)))</f>
        <v>8.8</v>
      </c>
      <c r="K10" s="13" t="str">
        <f>IF(S10="","",IF(INDEX('①名簿入力'!$Y$4:$Y$153,S10)=1,"〇",""))</f>
        <v/>
      </c>
      <c r="L10" s="13" t="str">
        <f>IF(S10="","",IF(INDEX('①名簿入力'!$Z$4:$Z$153,S10)=1,"〇",""))</f>
        <v/>
      </c>
      <c r="M10" s="13" t="str">
        <f>IF(S10="","",IF(INDEX('①名簿入力'!$AA$4:$AA$153,S10)=1,"〇",""))</f>
        <v/>
      </c>
      <c r="N10" s="13" t="str">
        <f>IF(S10="","",IF(INDEX('①名簿入力'!$AB$4:$AB$153,S10)=1,"〇",""))</f>
        <v/>
      </c>
      <c r="O10" s="25" t="str">
        <f>AM10&amp;IF(AND(AM10&lt;&gt;"",AN10&lt;&gt;""),"、","")&amp;AN10&amp;IF(AND(AM10&amp;AN10&lt;&gt;"",AO10&lt;&gt;""),"、","")&amp;AO10</f>
        <v/>
      </c>
      <c r="P10" s="25" t="str">
        <f>IF(AG10=0,"",IF(AK10&amp;AL10="","⚠",LEFT(AK10&amp;AL10,LEN(AK10&amp;AL10)-1)))</f>
        <v/>
      </c>
      <c r="Q10" s="25" t="str">
        <f>IF(S10="","",INDEX('①名簿入力'!$T$4:$T$153,S10)&amp;"")</f>
        <v/>
      </c>
      <c r="S10" s="14">
        <f>IF(D10="","",IFERROR(MATCH(D10,'①名簿入力'!$A$4:$A$153,0),""))</f>
        <v>2</v>
      </c>
      <c r="T10" s="14" t="str">
        <f>IF(S10="","",IF(INDEX('①名簿入力'!$AG$4:$AG$153,S10)=D10,"",INDEX('①名簿入力'!$AG$4:$AG$153,S10)))</f>
        <v/>
      </c>
      <c r="U10" s="14" t="str">
        <f>IF(S10="","",IF(INDEX('①名簿入力'!$AH$4:$AH$153,S10)=D10,"",INDEX('①名簿入力'!$AH$4:$AH$153,S10)))</f>
        <v/>
      </c>
      <c r="V10" s="14" t="str">
        <f>IF(S10="","",IF(INDEX('①名簿入力'!$AI$4:$AI$153,S10)=D10,"",INDEX('①名簿入力'!$AI$4:$AI$153,S10)))</f>
        <v/>
      </c>
      <c r="W10" s="14" t="str">
        <f>IF(T10="","",IFERROR(IF(INDEX($E$9:$E$158,MATCH(T10,$D$9:$D$158,0))="","",INDEX($E$9:$E$158,MATCH(T10,$D$9:$D$158,0))),""))</f>
        <v/>
      </c>
      <c r="X10" s="14" t="str">
        <f>IF(U10="","",IFERROR(IF(INDEX($E$9:$E$158,MATCH(U10,$D$9:$D$158,0))="","",INDEX($E$9:$E$158,MATCH(U10,$D$9:$D$158,0))),""))</f>
        <v/>
      </c>
      <c r="Y10" s="14" t="str">
        <f>IF(V10="","",IFERROR(IF(INDEX($E$9:$E$158,MATCH(V10,$D$9:$D$158,0))="","",INDEX($E$9:$E$158,MATCH(V10,$D$9:$D$158,0))),""))</f>
        <v/>
      </c>
      <c r="Z10" s="14">
        <f>IF(AND(T10&lt;&gt;"",W10&lt;&gt;"",E10&lt;&gt;""),IF(W10=E10,1,0),0)</f>
        <v>0</v>
      </c>
      <c r="AA10" s="14">
        <f>IF(AND(U10&lt;&gt;"",X10&lt;&gt;"",E10&lt;&gt;""),IF(X10=E10,1,0),0)</f>
        <v>0</v>
      </c>
      <c r="AB10" s="14">
        <f>IF(AND(V10&lt;&gt;"",Y10&lt;&gt;"",E10&lt;&gt;""),IF(Y10=E10,1,0),0)</f>
        <v>0</v>
      </c>
      <c r="AC10" s="14" t="str">
        <f>IF(OR(T10="",E10=""),"",T10&amp;"|"&amp;E10)</f>
        <v/>
      </c>
      <c r="AD10" s="14" t="str">
        <f>IF(OR(U10="",E10=""),"",U10&amp;"|"&amp;E10)</f>
        <v/>
      </c>
      <c r="AE10" s="14" t="str">
        <f>IF(OR(V10="",E10=""),"",V10&amp;"|"&amp;E10)</f>
        <v/>
      </c>
      <c r="AF10" s="14">
        <f>IF(OR(D10="",E10=""),0,COUNTIF($AC$9:$AC$158,D10&amp;"|"&amp;E10)+COUNTIF($AD$9:$AD$158,D10&amp;"|"&amp;E10)+COUNTIF($AE$9:$AE$158,D10&amp;"|"&amp;E10))</f>
        <v>0</v>
      </c>
      <c r="AG10" s="14">
        <f>Z10+AA10+AB10+AF10</f>
        <v>0</v>
      </c>
      <c r="AH10" s="14" t="str">
        <f>IF(OR(D10="",E10=""),"",IFERROR(MATCH(D10&amp;"|"&amp;E10,$AC$9:$AC$158,0),""))</f>
        <v/>
      </c>
      <c r="AI10" s="14" t="str">
        <f>IF(OR(D10="",E10=""),"",IFERROR(MATCH(D10&amp;"|"&amp;E10,$AD$9:$AD$158,0),""))</f>
        <v/>
      </c>
      <c r="AJ10" s="14" t="str">
        <f>IF(OR(D10="",E10=""),"",IFERROR(MATCH(D10&amp;"|"&amp;E10,$AE$9:$AE$158,0),""))</f>
        <v/>
      </c>
      <c r="AK10" s="14" t="str">
        <f>IF(Z10=1,IFERROR(INDEX($F$9:$F$158,MATCH(T10,$D$9:$D$158,0)),"")&amp;"、","")&amp;IF(AA10=1,IFERROR(INDEX($F$9:$F$158,MATCH(U10,$D$9:$D$158,0)),"")&amp;"、","")&amp;IF(AB10=1,IFERROR(INDEX($F$9:$F$158,MATCH(V10,$D$9:$D$158,0)),"")&amp;"、","")</f>
        <v/>
      </c>
      <c r="AL10" s="14" t="str">
        <f>IF(OR(AH10=""),"",IF(OR(INDEX($D$9:$D$158,AH10)=T10,INDEX($D$9:$D$158,AH10)=U10,INDEX($D$9:$D$158,AH10)=V10),"",INDEX($F$9:$F$158,AH10)&amp;"、"))&amp;IF(OR(AI10="",AI10=AH10),"",IF(OR(INDEX($D$9:$D$158,AI10)=T10,INDEX($D$9:$D$158,AI10)=U10,INDEX($D$9:$D$158,AI10)=V10),"",INDEX($F$9:$F$158,AI10)&amp;"、"))&amp;IF(OR(AJ10="",AJ10=AH10,AJ10=AI10),"",IF(OR(INDEX($D$9:$D$158,AJ10)=T10,INDEX($D$9:$D$158,AJ10)=U10,INDEX($D$9:$D$158,AJ10)=V10),"",INDEX($F$9:$F$158,AJ10)&amp;"、"))</f>
        <v/>
      </c>
      <c r="AM10" s="14" t="str">
        <f>IF(T10="","",IFERROR(INDEX('①名簿入力'!$C$4:$C$153,MATCH(T10,'①名簿入力'!$A$4:$A$153,0)),"?")&amp;IF(W10="","","("&amp;W10&amp;"組)"))</f>
        <v/>
      </c>
      <c r="AN10" s="14" t="str">
        <f>IF(U10="","",IFERROR(INDEX('①名簿入力'!$C$4:$C$153,MATCH(U10,'①名簿入力'!$A$4:$A$153,0)),"?")&amp;IF(X10="","","("&amp;X10&amp;"組)"))</f>
        <v/>
      </c>
      <c r="AO10" s="14" t="str">
        <f>IF(V10="","",IFERROR(INDEX('①名簿入力'!$C$4:$C$153,MATCH(V10,'①名簿入力'!$A$4:$A$153,0)),"?")&amp;IF(Y10="","","("&amp;Y10&amp;"組)"))</f>
        <v/>
      </c>
      <c r="AP10" s="14">
        <f>IF(G10="男",1,IF(G10="女",2,3))</f>
        <v>2</v>
      </c>
      <c r="AQ10" s="14">
        <f>IF(OR(S10="",E10=""),"",IFERROR(IF('③クラス一覧'!$AD$6="番号順",0,AP10*1000000000)+D10,""))</f>
        <v>2000002102</v>
      </c>
      <c r="AR10" s="14">
        <f>IF(AQ10="","",COUNTIFS($E$9:$E$158,E10,$AQ$9:$AQ$158,"&lt;"&amp;AQ10)+1)</f>
        <v>19</v>
      </c>
      <c r="AS10" s="14" t="str">
        <f>IF(AR10="","",E10&amp;"-"&amp;AR10)</f>
        <v>3-19</v>
      </c>
      <c r="AT10" s="14">
        <f>IF(S10="","",IF(INDEX('①名簿入力'!$F$4:$F$153,S10)="","",INDEX('①名簿入力'!$F$4:$F$153,S10)))</f>
        <v>35</v>
      </c>
      <c r="AU10" s="14">
        <f>IF(S10="","",IF(INDEX('①名簿入力'!$G$4:$G$153,S10)="","",INDEX('①名簿入力'!$G$4:$G$153,S10)))</f>
        <v>43</v>
      </c>
      <c r="AV10" s="14">
        <f>IF(S10="","",IF(INDEX('①名簿入力'!$H$4:$H$153,S10)="","",INDEX('①名簿入力'!$H$4:$H$153,S10)))</f>
        <v>28</v>
      </c>
      <c r="AW10" s="14">
        <f>IF(S10="","",IF(INDEX('①名簿入力'!$I$4:$I$153,S10)="","",INDEX('①名簿入力'!$I$4:$I$153,S10)))</f>
        <v>34</v>
      </c>
      <c r="AX10" s="14">
        <f>IF(S10="","",IF(INDEX('①名簿入力'!$J$4:$J$153,S10)="","",INDEX('①名簿入力'!$J$4:$J$153,S10)))</f>
        <v>34</v>
      </c>
    </row>
    <row r="11">
      <c r="A11" s="23">
        <f>IF('①名簿入力'!A6="","",'①名簿入力'!A6)</f>
        <v>2103</v>
      </c>
      <c r="B11" s="23">
        <f>IF(A11="","",'①名簿入力'!U6)</f>
        <v>2</v>
      </c>
      <c r="D11" s="8" t="n">
        <v>2103</v>
      </c>
      <c r="E11" s="24" t="n">
        <v>2</v>
      </c>
      <c r="F11" s="25" t="str">
        <f>IF(D11="","",IF(S11="","（名簿にない番号）",INDEX('①名簿入力'!$C$4:$C$153,S11)&amp;""))</f>
        <v>阿部　優奈</v>
      </c>
      <c r="G11" s="13" t="str">
        <f>IF(S11="","",INDEX('①名簿入力'!$E$4:$E$153,S11)&amp;"")</f>
        <v>女</v>
      </c>
      <c r="H11" s="13">
        <f>IF(S11="","",IF(INDEX('①名簿入力'!$B$4:$B$153,S11)="","",INDEX('①名簿入力'!$B$4:$B$153,S11)))</f>
        <v>1</v>
      </c>
      <c r="I11" s="10">
        <f>IF(S11="","",IF(INDEX('①名簿入力'!$K$4:$K$153,S11)="","",INDEX('①名簿入力'!$K$4:$K$153,S11)))</f>
        <v>63.4</v>
      </c>
      <c r="J11" s="10">
        <f>IF(S11="","",IF(INDEX('①名簿入力'!$L$4:$L$153,S11)="","",INDEX('①名簿入力'!$L$4:$L$153,S11)))</f>
        <v>7.4</v>
      </c>
      <c r="K11" s="13" t="str">
        <f>IF(S11="","",IF(INDEX('①名簿入力'!$Y$4:$Y$153,S11)=1,"〇",""))</f>
        <v/>
      </c>
      <c r="L11" s="13" t="str">
        <f>IF(S11="","",IF(INDEX('①名簿入力'!$Z$4:$Z$153,S11)=1,"〇",""))</f>
        <v/>
      </c>
      <c r="M11" s="13" t="str">
        <f>IF(S11="","",IF(INDEX('①名簿入力'!$AA$4:$AA$153,S11)=1,"〇",""))</f>
        <v/>
      </c>
      <c r="N11" s="13" t="str">
        <f>IF(S11="","",IF(INDEX('①名簿入力'!$AB$4:$AB$153,S11)=1,"〇",""))</f>
        <v/>
      </c>
      <c r="O11" s="25" t="str">
        <f>AM11&amp;IF(AND(AM11&lt;&gt;"",AN11&lt;&gt;""),"、","")&amp;AN11&amp;IF(AND(AM11&amp;AN11&lt;&gt;"",AO11&lt;&gt;""),"、","")&amp;AO11</f>
        <v/>
      </c>
      <c r="P11" s="25" t="str">
        <f>IF(AG11=0,"",IF(AK11&amp;AL11="","⚠",LEFT(AK11&amp;AL11,LEN(AK11&amp;AL11)-1)))</f>
        <v/>
      </c>
      <c r="Q11" s="25" t="str">
        <f>IF(S11="","",INDEX('①名簿入力'!$T$4:$T$153,S11)&amp;"")</f>
        <v/>
      </c>
      <c r="S11" s="14">
        <f>IF(D11="","",IFERROR(MATCH(D11,'①名簿入力'!$A$4:$A$153,0),""))</f>
        <v>3</v>
      </c>
      <c r="T11" s="14" t="str">
        <f>IF(S11="","",IF(INDEX('①名簿入力'!$AG$4:$AG$153,S11)=D11,"",INDEX('①名簿入力'!$AG$4:$AG$153,S11)))</f>
        <v/>
      </c>
      <c r="U11" s="14" t="str">
        <f>IF(S11="","",IF(INDEX('①名簿入力'!$AH$4:$AH$153,S11)=D11,"",INDEX('①名簿入力'!$AH$4:$AH$153,S11)))</f>
        <v/>
      </c>
      <c r="V11" s="14" t="str">
        <f>IF(S11="","",IF(INDEX('①名簿入力'!$AI$4:$AI$153,S11)=D11,"",INDEX('①名簿入力'!$AI$4:$AI$153,S11)))</f>
        <v/>
      </c>
      <c r="W11" s="14" t="str">
        <f>IF(T11="","",IFERROR(IF(INDEX($E$9:$E$158,MATCH(T11,$D$9:$D$158,0))="","",INDEX($E$9:$E$158,MATCH(T11,$D$9:$D$158,0))),""))</f>
        <v/>
      </c>
      <c r="X11" s="14" t="str">
        <f>IF(U11="","",IFERROR(IF(INDEX($E$9:$E$158,MATCH(U11,$D$9:$D$158,0))="","",INDEX($E$9:$E$158,MATCH(U11,$D$9:$D$158,0))),""))</f>
        <v/>
      </c>
      <c r="Y11" s="14" t="str">
        <f>IF(V11="","",IFERROR(IF(INDEX($E$9:$E$158,MATCH(V11,$D$9:$D$158,0))="","",INDEX($E$9:$E$158,MATCH(V11,$D$9:$D$158,0))),""))</f>
        <v/>
      </c>
      <c r="Z11" s="14">
        <f>IF(AND(T11&lt;&gt;"",W11&lt;&gt;"",E11&lt;&gt;""),IF(W11=E11,1,0),0)</f>
        <v>0</v>
      </c>
      <c r="AA11" s="14">
        <f>IF(AND(U11&lt;&gt;"",X11&lt;&gt;"",E11&lt;&gt;""),IF(X11=E11,1,0),0)</f>
        <v>0</v>
      </c>
      <c r="AB11" s="14">
        <f>IF(AND(V11&lt;&gt;"",Y11&lt;&gt;"",E11&lt;&gt;""),IF(Y11=E11,1,0),0)</f>
        <v>0</v>
      </c>
      <c r="AC11" s="14" t="str">
        <f>IF(OR(T11="",E11=""),"",T11&amp;"|"&amp;E11)</f>
        <v/>
      </c>
      <c r="AD11" s="14" t="str">
        <f>IF(OR(U11="",E11=""),"",U11&amp;"|"&amp;E11)</f>
        <v/>
      </c>
      <c r="AE11" s="14" t="str">
        <f>IF(OR(V11="",E11=""),"",V11&amp;"|"&amp;E11)</f>
        <v/>
      </c>
      <c r="AF11" s="14">
        <f>IF(OR(D11="",E11=""),0,COUNTIF($AC$9:$AC$158,D11&amp;"|"&amp;E11)+COUNTIF($AD$9:$AD$158,D11&amp;"|"&amp;E11)+COUNTIF($AE$9:$AE$158,D11&amp;"|"&amp;E11))</f>
        <v>0</v>
      </c>
      <c r="AG11" s="14">
        <f>Z11+AA11+AB11+AF11</f>
        <v>0</v>
      </c>
      <c r="AH11" s="14" t="str">
        <f>IF(OR(D11="",E11=""),"",IFERROR(MATCH(D11&amp;"|"&amp;E11,$AC$9:$AC$158,0),""))</f>
        <v/>
      </c>
      <c r="AI11" s="14" t="str">
        <f>IF(OR(D11="",E11=""),"",IFERROR(MATCH(D11&amp;"|"&amp;E11,$AD$9:$AD$158,0),""))</f>
        <v/>
      </c>
      <c r="AJ11" s="14" t="str">
        <f>IF(OR(D11="",E11=""),"",IFERROR(MATCH(D11&amp;"|"&amp;E11,$AE$9:$AE$158,0),""))</f>
        <v/>
      </c>
      <c r="AK11" s="14" t="str">
        <f>IF(Z11=1,IFERROR(INDEX($F$9:$F$158,MATCH(T11,$D$9:$D$158,0)),"")&amp;"、","")&amp;IF(AA11=1,IFERROR(INDEX($F$9:$F$158,MATCH(U11,$D$9:$D$158,0)),"")&amp;"、","")&amp;IF(AB11=1,IFERROR(INDEX($F$9:$F$158,MATCH(V11,$D$9:$D$158,0)),"")&amp;"、","")</f>
        <v/>
      </c>
      <c r="AL11" s="14" t="str">
        <f>IF(OR(AH11=""),"",IF(OR(INDEX($D$9:$D$158,AH11)=T11,INDEX($D$9:$D$158,AH11)=U11,INDEX($D$9:$D$158,AH11)=V11),"",INDEX($F$9:$F$158,AH11)&amp;"、"))&amp;IF(OR(AI11="",AI11=AH11),"",IF(OR(INDEX($D$9:$D$158,AI11)=T11,INDEX($D$9:$D$158,AI11)=U11,INDEX($D$9:$D$158,AI11)=V11),"",INDEX($F$9:$F$158,AI11)&amp;"、"))&amp;IF(OR(AJ11="",AJ11=AH11,AJ11=AI11),"",IF(OR(INDEX($D$9:$D$158,AJ11)=T11,INDEX($D$9:$D$158,AJ11)=U11,INDEX($D$9:$D$158,AJ11)=V11),"",INDEX($F$9:$F$158,AJ11)&amp;"、"))</f>
        <v/>
      </c>
      <c r="AM11" s="14" t="str">
        <f>IF(T11="","",IFERROR(INDEX('①名簿入力'!$C$4:$C$153,MATCH(T11,'①名簿入力'!$A$4:$A$153,0)),"?")&amp;IF(W11="","","("&amp;W11&amp;"組)"))</f>
        <v/>
      </c>
      <c r="AN11" s="14" t="str">
        <f>IF(U11="","",IFERROR(INDEX('①名簿入力'!$C$4:$C$153,MATCH(U11,'①名簿入力'!$A$4:$A$153,0)),"?")&amp;IF(X11="","","("&amp;X11&amp;"組)"))</f>
        <v/>
      </c>
      <c r="AO11" s="14" t="str">
        <f>IF(V11="","",IFERROR(INDEX('①名簿入力'!$C$4:$C$153,MATCH(V11,'①名簿入力'!$A$4:$A$153,0)),"?")&amp;IF(Y11="","","("&amp;Y11&amp;"組)"))</f>
        <v/>
      </c>
      <c r="AP11" s="14">
        <f>IF(G11="男",1,IF(G11="女",2,3))</f>
        <v>2</v>
      </c>
      <c r="AQ11" s="14">
        <f>IF(OR(S11="",E11=""),"",IFERROR(IF('③クラス一覧'!$AD$6="番号順",0,AP11*1000000000)+D11,""))</f>
        <v>2000002103</v>
      </c>
      <c r="AR11" s="14">
        <f>IF(AQ11="","",COUNTIFS($E$9:$E$158,E11,$AQ$9:$AQ$158,"&lt;"&amp;AQ11)+1)</f>
        <v>19</v>
      </c>
      <c r="AS11" s="14" t="str">
        <f>IF(AR11="","",E11&amp;"-"&amp;AR11)</f>
        <v>2-19</v>
      </c>
      <c r="AT11" s="14">
        <f>IF(S11="","",IF(INDEX('①名簿入力'!$F$4:$F$153,S11)="","",INDEX('①名簿入力'!$F$4:$F$153,S11)))</f>
        <v>71</v>
      </c>
      <c r="AU11" s="14">
        <f>IF(S11="","",IF(INDEX('①名簿入力'!$G$4:$G$153,S11)="","",INDEX('①名簿入力'!$G$4:$G$153,S11)))</f>
        <v>66</v>
      </c>
      <c r="AV11" s="14">
        <f>IF(S11="","",IF(INDEX('①名簿入力'!$H$4:$H$153,S11)="","",INDEX('①名簿入力'!$H$4:$H$153,S11)))</f>
        <v>53</v>
      </c>
      <c r="AW11" s="14">
        <f>IF(S11="","",IF(INDEX('①名簿入力'!$I$4:$I$153,S11)="","",INDEX('①名簿入力'!$I$4:$I$153,S11)))</f>
        <v>62</v>
      </c>
      <c r="AX11" s="14">
        <f>IF(S11="","",IF(INDEX('①名簿入力'!$J$4:$J$153,S11)="","",INDEX('①名簿入力'!$J$4:$J$153,S11)))</f>
        <v>65</v>
      </c>
    </row>
    <row r="12">
      <c r="A12" s="23">
        <f>IF('①名簿入力'!A7="","",'①名簿入力'!A7)</f>
        <v>2104</v>
      </c>
      <c r="B12" s="23">
        <f>IF(A12="","",'①名簿入力'!U7)</f>
        <v>1</v>
      </c>
      <c r="D12" s="8" t="n">
        <v>2104</v>
      </c>
      <c r="E12" s="24" t="n">
        <v>1</v>
      </c>
      <c r="F12" s="25" t="str">
        <f>IF(D12="","",IF(S12="","（名簿にない番号）",INDEX('①名簿入力'!$C$4:$C$153,S12)&amp;""))</f>
        <v>石井　彩花</v>
      </c>
      <c r="G12" s="13" t="str">
        <f>IF(S12="","",INDEX('①名簿入力'!$E$4:$E$153,S12)&amp;"")</f>
        <v>女</v>
      </c>
      <c r="H12" s="13">
        <f>IF(S12="","",IF(INDEX('①名簿入力'!$B$4:$B$153,S12)="","",INDEX('①名簿入力'!$B$4:$B$153,S12)))</f>
        <v>1</v>
      </c>
      <c r="I12" s="10">
        <f>IF(S12="","",IF(INDEX('①名簿入力'!$K$4:$K$153,S12)="","",INDEX('①名簿入力'!$K$4:$K$153,S12)))</f>
        <v>43.4</v>
      </c>
      <c r="J12" s="10">
        <f>IF(S12="","",IF(INDEX('①名簿入力'!$L$4:$L$153,S12)="","",INDEX('①名簿入力'!$L$4:$L$153,S12)))</f>
        <v>9.3</v>
      </c>
      <c r="K12" s="13" t="str">
        <f>IF(S12="","",IF(INDEX('①名簿入力'!$Y$4:$Y$153,S12)=1,"〇",""))</f>
        <v/>
      </c>
      <c r="L12" s="13" t="str">
        <f>IF(S12="","",IF(INDEX('①名簿入力'!$Z$4:$Z$153,S12)=1,"〇",""))</f>
        <v/>
      </c>
      <c r="M12" s="13" t="str">
        <f>IF(S12="","",IF(INDEX('①名簿入力'!$AA$4:$AA$153,S12)=1,"〇",""))</f>
        <v/>
      </c>
      <c r="N12" s="13" t="str">
        <f>IF(S12="","",IF(INDEX('①名簿入力'!$AB$4:$AB$153,S12)=1,"〇",""))</f>
        <v/>
      </c>
      <c r="O12" s="25" t="str">
        <f>AM12&amp;IF(AND(AM12&lt;&gt;"",AN12&lt;&gt;""),"、","")&amp;AN12&amp;IF(AND(AM12&amp;AN12&lt;&gt;"",AO12&lt;&gt;""),"、","")&amp;AO12</f>
        <v/>
      </c>
      <c r="P12" s="25" t="str">
        <f>IF(AG12=0,"",IF(AK12&amp;AL12="","⚠",LEFT(AK12&amp;AL12,LEN(AK12&amp;AL12)-1)))</f>
        <v/>
      </c>
      <c r="Q12" s="25" t="str">
        <f>IF(S12="","",INDEX('①名簿入力'!$T$4:$T$153,S12)&amp;"")</f>
        <v/>
      </c>
      <c r="S12" s="14">
        <f>IF(D12="","",IFERROR(MATCH(D12,'①名簿入力'!$A$4:$A$153,0),""))</f>
        <v>4</v>
      </c>
      <c r="T12" s="14" t="str">
        <f>IF(S12="","",IF(INDEX('①名簿入力'!$AG$4:$AG$153,S12)=D12,"",INDEX('①名簿入力'!$AG$4:$AG$153,S12)))</f>
        <v/>
      </c>
      <c r="U12" s="14" t="str">
        <f>IF(S12="","",IF(INDEX('①名簿入力'!$AH$4:$AH$153,S12)=D12,"",INDEX('①名簿入力'!$AH$4:$AH$153,S12)))</f>
        <v/>
      </c>
      <c r="V12" s="14" t="str">
        <f>IF(S12="","",IF(INDEX('①名簿入力'!$AI$4:$AI$153,S12)=D12,"",INDEX('①名簿入力'!$AI$4:$AI$153,S12)))</f>
        <v/>
      </c>
      <c r="W12" s="14" t="str">
        <f>IF(T12="","",IFERROR(IF(INDEX($E$9:$E$158,MATCH(T12,$D$9:$D$158,0))="","",INDEX($E$9:$E$158,MATCH(T12,$D$9:$D$158,0))),""))</f>
        <v/>
      </c>
      <c r="X12" s="14" t="str">
        <f>IF(U12="","",IFERROR(IF(INDEX($E$9:$E$158,MATCH(U12,$D$9:$D$158,0))="","",INDEX($E$9:$E$158,MATCH(U12,$D$9:$D$158,0))),""))</f>
        <v/>
      </c>
      <c r="Y12" s="14" t="str">
        <f>IF(V12="","",IFERROR(IF(INDEX($E$9:$E$158,MATCH(V12,$D$9:$D$158,0))="","",INDEX($E$9:$E$158,MATCH(V12,$D$9:$D$158,0))),""))</f>
        <v/>
      </c>
      <c r="Z12" s="14">
        <f>IF(AND(T12&lt;&gt;"",W12&lt;&gt;"",E12&lt;&gt;""),IF(W12=E12,1,0),0)</f>
        <v>0</v>
      </c>
      <c r="AA12" s="14">
        <f>IF(AND(U12&lt;&gt;"",X12&lt;&gt;"",E12&lt;&gt;""),IF(X12=E12,1,0),0)</f>
        <v>0</v>
      </c>
      <c r="AB12" s="14">
        <f>IF(AND(V12&lt;&gt;"",Y12&lt;&gt;"",E12&lt;&gt;""),IF(Y12=E12,1,0),0)</f>
        <v>0</v>
      </c>
      <c r="AC12" s="14" t="str">
        <f>IF(OR(T12="",E12=""),"",T12&amp;"|"&amp;E12)</f>
        <v/>
      </c>
      <c r="AD12" s="14" t="str">
        <f>IF(OR(U12="",E12=""),"",U12&amp;"|"&amp;E12)</f>
        <v/>
      </c>
      <c r="AE12" s="14" t="str">
        <f>IF(OR(V12="",E12=""),"",V12&amp;"|"&amp;E12)</f>
        <v/>
      </c>
      <c r="AF12" s="14">
        <f>IF(OR(D12="",E12=""),0,COUNTIF($AC$9:$AC$158,D12&amp;"|"&amp;E12)+COUNTIF($AD$9:$AD$158,D12&amp;"|"&amp;E12)+COUNTIF($AE$9:$AE$158,D12&amp;"|"&amp;E12))</f>
        <v>0</v>
      </c>
      <c r="AG12" s="14">
        <f>Z12+AA12+AB12+AF12</f>
        <v>0</v>
      </c>
      <c r="AH12" s="14" t="str">
        <f>IF(OR(D12="",E12=""),"",IFERROR(MATCH(D12&amp;"|"&amp;E12,$AC$9:$AC$158,0),""))</f>
        <v/>
      </c>
      <c r="AI12" s="14" t="str">
        <f>IF(OR(D12="",E12=""),"",IFERROR(MATCH(D12&amp;"|"&amp;E12,$AD$9:$AD$158,0),""))</f>
        <v/>
      </c>
      <c r="AJ12" s="14" t="str">
        <f>IF(OR(D12="",E12=""),"",IFERROR(MATCH(D12&amp;"|"&amp;E12,$AE$9:$AE$158,0),""))</f>
        <v/>
      </c>
      <c r="AK12" s="14" t="str">
        <f>IF(Z12=1,IFERROR(INDEX($F$9:$F$158,MATCH(T12,$D$9:$D$158,0)),"")&amp;"、","")&amp;IF(AA12=1,IFERROR(INDEX($F$9:$F$158,MATCH(U12,$D$9:$D$158,0)),"")&amp;"、","")&amp;IF(AB12=1,IFERROR(INDEX($F$9:$F$158,MATCH(V12,$D$9:$D$158,0)),"")&amp;"、","")</f>
        <v/>
      </c>
      <c r="AL12" s="14" t="str">
        <f>IF(OR(AH12=""),"",IF(OR(INDEX($D$9:$D$158,AH12)=T12,INDEX($D$9:$D$158,AH12)=U12,INDEX($D$9:$D$158,AH12)=V12),"",INDEX($F$9:$F$158,AH12)&amp;"、"))&amp;IF(OR(AI12="",AI12=AH12),"",IF(OR(INDEX($D$9:$D$158,AI12)=T12,INDEX($D$9:$D$158,AI12)=U12,INDEX($D$9:$D$158,AI12)=V12),"",INDEX($F$9:$F$158,AI12)&amp;"、"))&amp;IF(OR(AJ12="",AJ12=AH12,AJ12=AI12),"",IF(OR(INDEX($D$9:$D$158,AJ12)=T12,INDEX($D$9:$D$158,AJ12)=U12,INDEX($D$9:$D$158,AJ12)=V12),"",INDEX($F$9:$F$158,AJ12)&amp;"、"))</f>
        <v/>
      </c>
      <c r="AM12" s="14" t="str">
        <f>IF(T12="","",IFERROR(INDEX('①名簿入力'!$C$4:$C$153,MATCH(T12,'①名簿入力'!$A$4:$A$153,0)),"?")&amp;IF(W12="","","("&amp;W12&amp;"組)"))</f>
        <v/>
      </c>
      <c r="AN12" s="14" t="str">
        <f>IF(U12="","",IFERROR(INDEX('①名簿入力'!$C$4:$C$153,MATCH(U12,'①名簿入力'!$A$4:$A$153,0)),"?")&amp;IF(X12="","","("&amp;X12&amp;"組)"))</f>
        <v/>
      </c>
      <c r="AO12" s="14" t="str">
        <f>IF(V12="","",IFERROR(INDEX('①名簿入力'!$C$4:$C$153,MATCH(V12,'①名簿入力'!$A$4:$A$153,0)),"?")&amp;IF(Y12="","","("&amp;Y12&amp;"組)"))</f>
        <v/>
      </c>
      <c r="AP12" s="14">
        <f>IF(G12="男",1,IF(G12="女",2,3))</f>
        <v>2</v>
      </c>
      <c r="AQ12" s="14">
        <f>IF(OR(S12="",E12=""),"",IFERROR(IF('③クラス一覧'!$AD$6="番号順",0,AP12*1000000000)+D12,""))</f>
        <v>2000002104</v>
      </c>
      <c r="AR12" s="14">
        <f>IF(AQ12="","",COUNTIFS($E$9:$E$158,E12,$AQ$9:$AQ$158,"&lt;"&amp;AQ12)+1)</f>
        <v>20</v>
      </c>
      <c r="AS12" s="14" t="str">
        <f>IF(AR12="","",E12&amp;"-"&amp;AR12)</f>
        <v>1-20</v>
      </c>
      <c r="AT12" s="14">
        <f>IF(S12="","",IF(INDEX('①名簿入力'!$F$4:$F$153,S12)="","",INDEX('①名簿入力'!$F$4:$F$153,S12)))</f>
        <v>42</v>
      </c>
      <c r="AU12" s="14">
        <f>IF(S12="","",IF(INDEX('①名簿入力'!$G$4:$G$153,S12)="","",INDEX('①名簿入力'!$G$4:$G$153,S12)))</f>
        <v>39</v>
      </c>
      <c r="AV12" s="14">
        <f>IF(S12="","",IF(INDEX('①名簿入力'!$H$4:$H$153,S12)="","",INDEX('①名簿入力'!$H$4:$H$153,S12)))</f>
        <v>40</v>
      </c>
      <c r="AW12" s="14">
        <f>IF(S12="","",IF(INDEX('①名簿入力'!$I$4:$I$153,S12)="","",INDEX('①名簿入力'!$I$4:$I$153,S12)))</f>
        <v>47</v>
      </c>
      <c r="AX12" s="14">
        <f>IF(S12="","",IF(INDEX('①名簿入力'!$J$4:$J$153,S12)="","",INDEX('①名簿入力'!$J$4:$J$153,S12)))</f>
        <v>49</v>
      </c>
    </row>
    <row r="13">
      <c r="A13" s="23">
        <f>IF('①名簿入力'!A8="","",'①名簿入力'!A8)</f>
        <v>2105</v>
      </c>
      <c r="B13" s="23">
        <f>IF(A13="","",'①名簿入力'!U8)</f>
        <v>2</v>
      </c>
      <c r="D13" s="8" t="n">
        <v>2105</v>
      </c>
      <c r="E13" s="24" t="n">
        <v>2</v>
      </c>
      <c r="F13" s="25" t="str">
        <f>IF(D13="","",IF(S13="","（名簿にない番号）",INDEX('①名簿入力'!$C$4:$C$153,S13)&amp;""))</f>
        <v>石井　駿</v>
      </c>
      <c r="G13" s="13" t="str">
        <f>IF(S13="","",INDEX('①名簿入力'!$E$4:$E$153,S13)&amp;"")</f>
        <v>男</v>
      </c>
      <c r="H13" s="13">
        <f>IF(S13="","",IF(INDEX('①名簿入力'!$B$4:$B$153,S13)="","",INDEX('①名簿入力'!$B$4:$B$153,S13)))</f>
        <v>1</v>
      </c>
      <c r="I13" s="10">
        <f>IF(S13="","",IF(INDEX('①名簿入力'!$K$4:$K$153,S13)="","",INDEX('①名簿入力'!$K$4:$K$153,S13)))</f>
        <v>19.4</v>
      </c>
      <c r="J13" s="10">
        <f>IF(S13="","",IF(INDEX('①名簿入力'!$L$4:$L$153,S13)="","",INDEX('①名簿入力'!$L$4:$L$153,S13)))</f>
        <v>7.5</v>
      </c>
      <c r="K13" s="13" t="str">
        <f>IF(S13="","",IF(INDEX('①名簿入力'!$Y$4:$Y$153,S13)=1,"〇",""))</f>
        <v/>
      </c>
      <c r="L13" s="13" t="str">
        <f>IF(S13="","",IF(INDEX('①名簿入力'!$Z$4:$Z$153,S13)=1,"〇",""))</f>
        <v>〇</v>
      </c>
      <c r="M13" s="13" t="str">
        <f>IF(S13="","",IF(INDEX('①名簿入力'!$AA$4:$AA$153,S13)=1,"〇",""))</f>
        <v/>
      </c>
      <c r="N13" s="13" t="str">
        <f>IF(S13="","",IF(INDEX('①名簿入力'!$AB$4:$AB$153,S13)=1,"〇",""))</f>
        <v/>
      </c>
      <c r="O13" s="25" t="str">
        <f>AM13&amp;IF(AND(AM13&lt;&gt;"",AN13&lt;&gt;""),"、","")&amp;AN13&amp;IF(AND(AM13&amp;AN13&lt;&gt;"",AO13&lt;&gt;""),"、","")&amp;AO13</f>
        <v/>
      </c>
      <c r="P13" s="25" t="str">
        <f>IF(AG13=0,"",IF(AK13&amp;AL13="","⚠",LEFT(AK13&amp;AL13,LEN(AK13&amp;AL13)-1)))</f>
        <v/>
      </c>
      <c r="Q13" s="25" t="str">
        <f>IF(S13="","",INDEX('①名簿入力'!$T$4:$T$153,S13)&amp;"")</f>
        <v>学級委員の経験あり</v>
      </c>
      <c r="S13" s="14">
        <f>IF(D13="","",IFERROR(MATCH(D13,'①名簿入力'!$A$4:$A$153,0),""))</f>
        <v>5</v>
      </c>
      <c r="T13" s="14" t="str">
        <f>IF(S13="","",IF(INDEX('①名簿入力'!$AG$4:$AG$153,S13)=D13,"",INDEX('①名簿入力'!$AG$4:$AG$153,S13)))</f>
        <v/>
      </c>
      <c r="U13" s="14" t="str">
        <f>IF(S13="","",IF(INDEX('①名簿入力'!$AH$4:$AH$153,S13)=D13,"",INDEX('①名簿入力'!$AH$4:$AH$153,S13)))</f>
        <v/>
      </c>
      <c r="V13" s="14" t="str">
        <f>IF(S13="","",IF(INDEX('①名簿入力'!$AI$4:$AI$153,S13)=D13,"",INDEX('①名簿入力'!$AI$4:$AI$153,S13)))</f>
        <v/>
      </c>
      <c r="W13" s="14" t="str">
        <f>IF(T13="","",IFERROR(IF(INDEX($E$9:$E$158,MATCH(T13,$D$9:$D$158,0))="","",INDEX($E$9:$E$158,MATCH(T13,$D$9:$D$158,0))),""))</f>
        <v/>
      </c>
      <c r="X13" s="14" t="str">
        <f>IF(U13="","",IFERROR(IF(INDEX($E$9:$E$158,MATCH(U13,$D$9:$D$158,0))="","",INDEX($E$9:$E$158,MATCH(U13,$D$9:$D$158,0))),""))</f>
        <v/>
      </c>
      <c r="Y13" s="14" t="str">
        <f>IF(V13="","",IFERROR(IF(INDEX($E$9:$E$158,MATCH(V13,$D$9:$D$158,0))="","",INDEX($E$9:$E$158,MATCH(V13,$D$9:$D$158,0))),""))</f>
        <v/>
      </c>
      <c r="Z13" s="14">
        <f>IF(AND(T13&lt;&gt;"",W13&lt;&gt;"",E13&lt;&gt;""),IF(W13=E13,1,0),0)</f>
        <v>0</v>
      </c>
      <c r="AA13" s="14">
        <f>IF(AND(U13&lt;&gt;"",X13&lt;&gt;"",E13&lt;&gt;""),IF(X13=E13,1,0),0)</f>
        <v>0</v>
      </c>
      <c r="AB13" s="14">
        <f>IF(AND(V13&lt;&gt;"",Y13&lt;&gt;"",E13&lt;&gt;""),IF(Y13=E13,1,0),0)</f>
        <v>0</v>
      </c>
      <c r="AC13" s="14" t="str">
        <f>IF(OR(T13="",E13=""),"",T13&amp;"|"&amp;E13)</f>
        <v/>
      </c>
      <c r="AD13" s="14" t="str">
        <f>IF(OR(U13="",E13=""),"",U13&amp;"|"&amp;E13)</f>
        <v/>
      </c>
      <c r="AE13" s="14" t="str">
        <f>IF(OR(V13="",E13=""),"",V13&amp;"|"&amp;E13)</f>
        <v/>
      </c>
      <c r="AF13" s="14">
        <f>IF(OR(D13="",E13=""),0,COUNTIF($AC$9:$AC$158,D13&amp;"|"&amp;E13)+COUNTIF($AD$9:$AD$158,D13&amp;"|"&amp;E13)+COUNTIF($AE$9:$AE$158,D13&amp;"|"&amp;E13))</f>
        <v>0</v>
      </c>
      <c r="AG13" s="14">
        <f>Z13+AA13+AB13+AF13</f>
        <v>0</v>
      </c>
      <c r="AH13" s="14" t="str">
        <f>IF(OR(D13="",E13=""),"",IFERROR(MATCH(D13&amp;"|"&amp;E13,$AC$9:$AC$158,0),""))</f>
        <v/>
      </c>
      <c r="AI13" s="14" t="str">
        <f>IF(OR(D13="",E13=""),"",IFERROR(MATCH(D13&amp;"|"&amp;E13,$AD$9:$AD$158,0),""))</f>
        <v/>
      </c>
      <c r="AJ13" s="14" t="str">
        <f>IF(OR(D13="",E13=""),"",IFERROR(MATCH(D13&amp;"|"&amp;E13,$AE$9:$AE$158,0),""))</f>
        <v/>
      </c>
      <c r="AK13" s="14" t="str">
        <f>IF(Z13=1,IFERROR(INDEX($F$9:$F$158,MATCH(T13,$D$9:$D$158,0)),"")&amp;"、","")&amp;IF(AA13=1,IFERROR(INDEX($F$9:$F$158,MATCH(U13,$D$9:$D$158,0)),"")&amp;"、","")&amp;IF(AB13=1,IFERROR(INDEX($F$9:$F$158,MATCH(V13,$D$9:$D$158,0)),"")&amp;"、","")</f>
        <v/>
      </c>
      <c r="AL13" s="14" t="str">
        <f>IF(OR(AH13=""),"",IF(OR(INDEX($D$9:$D$158,AH13)=T13,INDEX($D$9:$D$158,AH13)=U13,INDEX($D$9:$D$158,AH13)=V13),"",INDEX($F$9:$F$158,AH13)&amp;"、"))&amp;IF(OR(AI13="",AI13=AH13),"",IF(OR(INDEX($D$9:$D$158,AI13)=T13,INDEX($D$9:$D$158,AI13)=U13,INDEX($D$9:$D$158,AI13)=V13),"",INDEX($F$9:$F$158,AI13)&amp;"、"))&amp;IF(OR(AJ13="",AJ13=AH13,AJ13=AI13),"",IF(OR(INDEX($D$9:$D$158,AJ13)=T13,INDEX($D$9:$D$158,AJ13)=U13,INDEX($D$9:$D$158,AJ13)=V13),"",INDEX($F$9:$F$158,AJ13)&amp;"、"))</f>
        <v/>
      </c>
      <c r="AM13" s="14" t="str">
        <f>IF(T13="","",IFERROR(INDEX('①名簿入力'!$C$4:$C$153,MATCH(T13,'①名簿入力'!$A$4:$A$153,0)),"?")&amp;IF(W13="","","("&amp;W13&amp;"組)"))</f>
        <v/>
      </c>
      <c r="AN13" s="14" t="str">
        <f>IF(U13="","",IFERROR(INDEX('①名簿入力'!$C$4:$C$153,MATCH(U13,'①名簿入力'!$A$4:$A$153,0)),"?")&amp;IF(X13="","","("&amp;X13&amp;"組)"))</f>
        <v/>
      </c>
      <c r="AO13" s="14" t="str">
        <f>IF(V13="","",IFERROR(INDEX('①名簿入力'!$C$4:$C$153,MATCH(V13,'①名簿入力'!$A$4:$A$153,0)),"?")&amp;IF(Y13="","","("&amp;Y13&amp;"組)"))</f>
        <v/>
      </c>
      <c r="AP13" s="14">
        <f>IF(G13="男",1,IF(G13="女",2,3))</f>
        <v>1</v>
      </c>
      <c r="AQ13" s="14">
        <f>IF(OR(S13="",E13=""),"",IFERROR(IF('③クラス一覧'!$AD$6="番号順",0,AP13*1000000000)+D13,""))</f>
        <v>1000002105</v>
      </c>
      <c r="AR13" s="14">
        <f>IF(AQ13="","",COUNTIFS($E$9:$E$158,E13,$AQ$9:$AQ$158,"&lt;"&amp;AQ13)+1)</f>
        <v>1</v>
      </c>
      <c r="AS13" s="14" t="str">
        <f>IF(AR13="","",E13&amp;"-"&amp;AR13)</f>
        <v>2-1</v>
      </c>
      <c r="AT13" s="14">
        <f>IF(S13="","",IF(INDEX('①名簿入力'!$F$4:$F$153,S13)="","",INDEX('①名簿入力'!$F$4:$F$153,S13)))</f>
        <v>40</v>
      </c>
      <c r="AU13" s="14">
        <f>IF(S13="","",IF(INDEX('①名簿入力'!$G$4:$G$153,S13)="","",INDEX('①名簿入力'!$G$4:$G$153,S13)))</f>
        <v>12</v>
      </c>
      <c r="AV13" s="14">
        <f>IF(S13="","",IF(INDEX('①名簿入力'!$H$4:$H$153,S13)="","",INDEX('①名簿入力'!$H$4:$H$153,S13)))</f>
        <v>17</v>
      </c>
      <c r="AW13" s="14">
        <f>IF(S13="","",IF(INDEX('①名簿入力'!$I$4:$I$153,S13)="","",INDEX('①名簿入力'!$I$4:$I$153,S13)))</f>
        <v>16</v>
      </c>
      <c r="AX13" s="14">
        <f>IF(S13="","",IF(INDEX('①名簿入力'!$J$4:$J$153,S13)="","",INDEX('①名簿入力'!$J$4:$J$153,S13)))</f>
        <v>12</v>
      </c>
    </row>
    <row r="14">
      <c r="A14" s="23">
        <f>IF('①名簿入力'!A9="","",'①名簿入力'!A9)</f>
        <v>2106</v>
      </c>
      <c r="B14" s="23">
        <f>IF(A14="","",'①名簿入力'!U9)</f>
        <v>3</v>
      </c>
      <c r="D14" s="8" t="n">
        <v>2106</v>
      </c>
      <c r="E14" s="24" t="n">
        <v>3</v>
      </c>
      <c r="F14" s="25" t="str">
        <f>IF(D14="","",IF(S14="","（名簿にない番号）",INDEX('①名簿入力'!$C$4:$C$153,S14)&amp;""))</f>
        <v>石田　凛</v>
      </c>
      <c r="G14" s="13" t="str">
        <f>IF(S14="","",INDEX('①名簿入力'!$E$4:$E$153,S14)&amp;"")</f>
        <v>女</v>
      </c>
      <c r="H14" s="13">
        <f>IF(S14="","",IF(INDEX('①名簿入力'!$B$4:$B$153,S14)="","",INDEX('①名簿入力'!$B$4:$B$153,S14)))</f>
        <v>1</v>
      </c>
      <c r="I14" s="10">
        <f>IF(S14="","",IF(INDEX('①名簿入力'!$K$4:$K$153,S14)="","",INDEX('①名簿入力'!$K$4:$K$153,S14)))</f>
        <v>78.6</v>
      </c>
      <c r="J14" s="10">
        <f>IF(S14="","",IF(INDEX('①名簿入力'!$L$4:$L$153,S14)="","",INDEX('①名簿入力'!$L$4:$L$153,S14)))</f>
        <v>8.9</v>
      </c>
      <c r="K14" s="13" t="str">
        <f>IF(S14="","",IF(INDEX('①名簿入力'!$Y$4:$Y$153,S14)=1,"〇",""))</f>
        <v/>
      </c>
      <c r="L14" s="13" t="str">
        <f>IF(S14="","",IF(INDEX('①名簿入力'!$Z$4:$Z$153,S14)=1,"〇",""))</f>
        <v/>
      </c>
      <c r="M14" s="13" t="str">
        <f>IF(S14="","",IF(INDEX('①名簿入力'!$AA$4:$AA$153,S14)=1,"〇",""))</f>
        <v/>
      </c>
      <c r="N14" s="13" t="str">
        <f>IF(S14="","",IF(INDEX('①名簿入力'!$AB$4:$AB$153,S14)=1,"〇",""))</f>
        <v/>
      </c>
      <c r="O14" s="25" t="str">
        <f>AM14&amp;IF(AND(AM14&lt;&gt;"",AN14&lt;&gt;""),"、","")&amp;AN14&amp;IF(AND(AM14&amp;AN14&lt;&gt;"",AO14&lt;&gt;""),"、","")&amp;AO14</f>
        <v/>
      </c>
      <c r="P14" s="25" t="str">
        <f>IF(AG14=0,"",IF(AK14&amp;AL14="","⚠",LEFT(AK14&amp;AL14,LEN(AK14&amp;AL14)-1)))</f>
        <v/>
      </c>
      <c r="Q14" s="25" t="str">
        <f>IF(S14="","",INDEX('①名簿入力'!$T$4:$T$153,S14)&amp;"")</f>
        <v/>
      </c>
      <c r="S14" s="14">
        <f>IF(D14="","",IFERROR(MATCH(D14,'①名簿入力'!$A$4:$A$153,0),""))</f>
        <v>6</v>
      </c>
      <c r="T14" s="14" t="str">
        <f>IF(S14="","",IF(INDEX('①名簿入力'!$AG$4:$AG$153,S14)=D14,"",INDEX('①名簿入力'!$AG$4:$AG$153,S14)))</f>
        <v/>
      </c>
      <c r="U14" s="14" t="str">
        <f>IF(S14="","",IF(INDEX('①名簿入力'!$AH$4:$AH$153,S14)=D14,"",INDEX('①名簿入力'!$AH$4:$AH$153,S14)))</f>
        <v/>
      </c>
      <c r="V14" s="14" t="str">
        <f>IF(S14="","",IF(INDEX('①名簿入力'!$AI$4:$AI$153,S14)=D14,"",INDEX('①名簿入力'!$AI$4:$AI$153,S14)))</f>
        <v/>
      </c>
      <c r="W14" s="14" t="str">
        <f>IF(T14="","",IFERROR(IF(INDEX($E$9:$E$158,MATCH(T14,$D$9:$D$158,0))="","",INDEX($E$9:$E$158,MATCH(T14,$D$9:$D$158,0))),""))</f>
        <v/>
      </c>
      <c r="X14" s="14" t="str">
        <f>IF(U14="","",IFERROR(IF(INDEX($E$9:$E$158,MATCH(U14,$D$9:$D$158,0))="","",INDEX($E$9:$E$158,MATCH(U14,$D$9:$D$158,0))),""))</f>
        <v/>
      </c>
      <c r="Y14" s="14" t="str">
        <f>IF(V14="","",IFERROR(IF(INDEX($E$9:$E$158,MATCH(V14,$D$9:$D$158,0))="","",INDEX($E$9:$E$158,MATCH(V14,$D$9:$D$158,0))),""))</f>
        <v/>
      </c>
      <c r="Z14" s="14">
        <f>IF(AND(T14&lt;&gt;"",W14&lt;&gt;"",E14&lt;&gt;""),IF(W14=E14,1,0),0)</f>
        <v>0</v>
      </c>
      <c r="AA14" s="14">
        <f>IF(AND(U14&lt;&gt;"",X14&lt;&gt;"",E14&lt;&gt;""),IF(X14=E14,1,0),0)</f>
        <v>0</v>
      </c>
      <c r="AB14" s="14">
        <f>IF(AND(V14&lt;&gt;"",Y14&lt;&gt;"",E14&lt;&gt;""),IF(Y14=E14,1,0),0)</f>
        <v>0</v>
      </c>
      <c r="AC14" s="14" t="str">
        <f>IF(OR(T14="",E14=""),"",T14&amp;"|"&amp;E14)</f>
        <v/>
      </c>
      <c r="AD14" s="14" t="str">
        <f>IF(OR(U14="",E14=""),"",U14&amp;"|"&amp;E14)</f>
        <v/>
      </c>
      <c r="AE14" s="14" t="str">
        <f>IF(OR(V14="",E14=""),"",V14&amp;"|"&amp;E14)</f>
        <v/>
      </c>
      <c r="AF14" s="14">
        <f>IF(OR(D14="",E14=""),0,COUNTIF($AC$9:$AC$158,D14&amp;"|"&amp;E14)+COUNTIF($AD$9:$AD$158,D14&amp;"|"&amp;E14)+COUNTIF($AE$9:$AE$158,D14&amp;"|"&amp;E14))</f>
        <v>0</v>
      </c>
      <c r="AG14" s="14">
        <f>Z14+AA14+AB14+AF14</f>
        <v>0</v>
      </c>
      <c r="AH14" s="14" t="str">
        <f>IF(OR(D14="",E14=""),"",IFERROR(MATCH(D14&amp;"|"&amp;E14,$AC$9:$AC$158,0),""))</f>
        <v/>
      </c>
      <c r="AI14" s="14" t="str">
        <f>IF(OR(D14="",E14=""),"",IFERROR(MATCH(D14&amp;"|"&amp;E14,$AD$9:$AD$158,0),""))</f>
        <v/>
      </c>
      <c r="AJ14" s="14" t="str">
        <f>IF(OR(D14="",E14=""),"",IFERROR(MATCH(D14&amp;"|"&amp;E14,$AE$9:$AE$158,0),""))</f>
        <v/>
      </c>
      <c r="AK14" s="14" t="str">
        <f>IF(Z14=1,IFERROR(INDEX($F$9:$F$158,MATCH(T14,$D$9:$D$158,0)),"")&amp;"、","")&amp;IF(AA14=1,IFERROR(INDEX($F$9:$F$158,MATCH(U14,$D$9:$D$158,0)),"")&amp;"、","")&amp;IF(AB14=1,IFERROR(INDEX($F$9:$F$158,MATCH(V14,$D$9:$D$158,0)),"")&amp;"、","")</f>
        <v/>
      </c>
      <c r="AL14" s="14" t="str">
        <f>IF(OR(AH14=""),"",IF(OR(INDEX($D$9:$D$158,AH14)=T14,INDEX($D$9:$D$158,AH14)=U14,INDEX($D$9:$D$158,AH14)=V14),"",INDEX($F$9:$F$158,AH14)&amp;"、"))&amp;IF(OR(AI14="",AI14=AH14),"",IF(OR(INDEX($D$9:$D$158,AI14)=T14,INDEX($D$9:$D$158,AI14)=U14,INDEX($D$9:$D$158,AI14)=V14),"",INDEX($F$9:$F$158,AI14)&amp;"、"))&amp;IF(OR(AJ14="",AJ14=AH14,AJ14=AI14),"",IF(OR(INDEX($D$9:$D$158,AJ14)=T14,INDEX($D$9:$D$158,AJ14)=U14,INDEX($D$9:$D$158,AJ14)=V14),"",INDEX($F$9:$F$158,AJ14)&amp;"、"))</f>
        <v/>
      </c>
      <c r="AM14" s="14" t="str">
        <f>IF(T14="","",IFERROR(INDEX('①名簿入力'!$C$4:$C$153,MATCH(T14,'①名簿入力'!$A$4:$A$153,0)),"?")&amp;IF(W14="","","("&amp;W14&amp;"組)"))</f>
        <v/>
      </c>
      <c r="AN14" s="14" t="str">
        <f>IF(U14="","",IFERROR(INDEX('①名簿入力'!$C$4:$C$153,MATCH(U14,'①名簿入力'!$A$4:$A$153,0)),"?")&amp;IF(X14="","","("&amp;X14&amp;"組)"))</f>
        <v/>
      </c>
      <c r="AO14" s="14" t="str">
        <f>IF(V14="","",IFERROR(INDEX('①名簿入力'!$C$4:$C$153,MATCH(V14,'①名簿入力'!$A$4:$A$153,0)),"?")&amp;IF(Y14="","","("&amp;Y14&amp;"組)"))</f>
        <v/>
      </c>
      <c r="AP14" s="14">
        <f>IF(G14="男",1,IF(G14="女",2,3))</f>
        <v>2</v>
      </c>
      <c r="AQ14" s="14">
        <f>IF(OR(S14="",E14=""),"",IFERROR(IF('③クラス一覧'!$AD$6="番号順",0,AP14*1000000000)+D14,""))</f>
        <v>2000002106</v>
      </c>
      <c r="AR14" s="14">
        <f>IF(AQ14="","",COUNTIFS($E$9:$E$158,E14,$AQ$9:$AQ$158,"&lt;"&amp;AQ14)+1)</f>
        <v>20</v>
      </c>
      <c r="AS14" s="14" t="str">
        <f>IF(AR14="","",E14&amp;"-"&amp;AR14)</f>
        <v>3-20</v>
      </c>
      <c r="AT14" s="14">
        <f>IF(S14="","",IF(INDEX('①名簿入力'!$F$4:$F$153,S14)="","",INDEX('①名簿入力'!$F$4:$F$153,S14)))</f>
        <v>92</v>
      </c>
      <c r="AU14" s="14">
        <f>IF(S14="","",IF(INDEX('①名簿入力'!$G$4:$G$153,S14)="","",INDEX('①名簿入力'!$G$4:$G$153,S14)))</f>
        <v>83</v>
      </c>
      <c r="AV14" s="14">
        <f>IF(S14="","",IF(INDEX('①名簿入力'!$H$4:$H$153,S14)="","",INDEX('①名簿入力'!$H$4:$H$153,S14)))</f>
        <v>76</v>
      </c>
      <c r="AW14" s="14">
        <f>IF(S14="","",IF(INDEX('①名簿入力'!$I$4:$I$153,S14)="","",INDEX('①名簿入力'!$I$4:$I$153,S14)))</f>
        <v>78</v>
      </c>
      <c r="AX14" s="14">
        <f>IF(S14="","",IF(INDEX('①名簿入力'!$J$4:$J$153,S14)="","",INDEX('①名簿入力'!$J$4:$J$153,S14)))</f>
        <v>64</v>
      </c>
    </row>
    <row r="15">
      <c r="A15" s="23">
        <f>IF('①名簿入力'!A10="","",'①名簿入力'!A10)</f>
        <v>2107</v>
      </c>
      <c r="B15" s="23">
        <f>IF(A15="","",'①名簿入力'!U10)</f>
        <v>2</v>
      </c>
      <c r="D15" s="8" t="n">
        <v>2107</v>
      </c>
      <c r="E15" s="24" t="n">
        <v>2</v>
      </c>
      <c r="F15" s="25" t="str">
        <f>IF(D15="","",IF(S15="","（名簿にない番号）",INDEX('①名簿入力'!$C$4:$C$153,S15)&amp;""))</f>
        <v>井上　沙耶</v>
      </c>
      <c r="G15" s="13" t="str">
        <f>IF(S15="","",INDEX('①名簿入力'!$E$4:$E$153,S15)&amp;"")</f>
        <v>女</v>
      </c>
      <c r="H15" s="13">
        <f>IF(S15="","",IF(INDEX('①名簿入力'!$B$4:$B$153,S15)="","",INDEX('①名簿入力'!$B$4:$B$153,S15)))</f>
        <v>1</v>
      </c>
      <c r="I15" s="10">
        <f>IF(S15="","",IF(INDEX('①名簿入力'!$K$4:$K$153,S15)="","",INDEX('①名簿入力'!$K$4:$K$153,S15)))</f>
        <v>77.6</v>
      </c>
      <c r="J15" s="10">
        <f>IF(S15="","",IF(INDEX('①名簿入力'!$L$4:$L$153,S15)="","",INDEX('①名簿入力'!$L$4:$L$153,S15)))</f>
        <v>9.9</v>
      </c>
      <c r="K15" s="13" t="str">
        <f>IF(S15="","",IF(INDEX('①名簿入力'!$Y$4:$Y$153,S15)=1,"〇",""))</f>
        <v/>
      </c>
      <c r="L15" s="13" t="str">
        <f>IF(S15="","",IF(INDEX('①名簿入力'!$Z$4:$Z$153,S15)=1,"〇",""))</f>
        <v/>
      </c>
      <c r="M15" s="13" t="str">
        <f>IF(S15="","",IF(INDEX('①名簿入力'!$AA$4:$AA$153,S15)=1,"〇",""))</f>
        <v/>
      </c>
      <c r="N15" s="13" t="str">
        <f>IF(S15="","",IF(INDEX('①名簿入力'!$AB$4:$AB$153,S15)=1,"〇",""))</f>
        <v/>
      </c>
      <c r="O15" s="25" t="str">
        <f>AM15&amp;IF(AND(AM15&lt;&gt;"",AN15&lt;&gt;""),"、","")&amp;AN15&amp;IF(AND(AM15&amp;AN15&lt;&gt;"",AO15&lt;&gt;""),"、","")&amp;AO15</f>
        <v/>
      </c>
      <c r="P15" s="25" t="str">
        <f>IF(AG15=0,"",IF(AK15&amp;AL15="","⚠",LEFT(AK15&amp;AL15,LEN(AK15&amp;AL15)-1)))</f>
        <v/>
      </c>
      <c r="Q15" s="25" t="str">
        <f>IF(S15="","",INDEX('①名簿入力'!$T$4:$T$153,S15)&amp;"")</f>
        <v/>
      </c>
      <c r="S15" s="14">
        <f>IF(D15="","",IFERROR(MATCH(D15,'①名簿入力'!$A$4:$A$153,0),""))</f>
        <v>7</v>
      </c>
      <c r="T15" s="14" t="str">
        <f>IF(S15="","",IF(INDEX('①名簿入力'!$AG$4:$AG$153,S15)=D15,"",INDEX('①名簿入力'!$AG$4:$AG$153,S15)))</f>
        <v/>
      </c>
      <c r="U15" s="14" t="str">
        <f>IF(S15="","",IF(INDEX('①名簿入力'!$AH$4:$AH$153,S15)=D15,"",INDEX('①名簿入力'!$AH$4:$AH$153,S15)))</f>
        <v/>
      </c>
      <c r="V15" s="14" t="str">
        <f>IF(S15="","",IF(INDEX('①名簿入力'!$AI$4:$AI$153,S15)=D15,"",INDEX('①名簿入力'!$AI$4:$AI$153,S15)))</f>
        <v/>
      </c>
      <c r="W15" s="14" t="str">
        <f>IF(T15="","",IFERROR(IF(INDEX($E$9:$E$158,MATCH(T15,$D$9:$D$158,0))="","",INDEX($E$9:$E$158,MATCH(T15,$D$9:$D$158,0))),""))</f>
        <v/>
      </c>
      <c r="X15" s="14" t="str">
        <f>IF(U15="","",IFERROR(IF(INDEX($E$9:$E$158,MATCH(U15,$D$9:$D$158,0))="","",INDEX($E$9:$E$158,MATCH(U15,$D$9:$D$158,0))),""))</f>
        <v/>
      </c>
      <c r="Y15" s="14" t="str">
        <f>IF(V15="","",IFERROR(IF(INDEX($E$9:$E$158,MATCH(V15,$D$9:$D$158,0))="","",INDEX($E$9:$E$158,MATCH(V15,$D$9:$D$158,0))),""))</f>
        <v/>
      </c>
      <c r="Z15" s="14">
        <f>IF(AND(T15&lt;&gt;"",W15&lt;&gt;"",E15&lt;&gt;""),IF(W15=E15,1,0),0)</f>
        <v>0</v>
      </c>
      <c r="AA15" s="14">
        <f>IF(AND(U15&lt;&gt;"",X15&lt;&gt;"",E15&lt;&gt;""),IF(X15=E15,1,0),0)</f>
        <v>0</v>
      </c>
      <c r="AB15" s="14">
        <f>IF(AND(V15&lt;&gt;"",Y15&lt;&gt;"",E15&lt;&gt;""),IF(Y15=E15,1,0),0)</f>
        <v>0</v>
      </c>
      <c r="AC15" s="14" t="str">
        <f>IF(OR(T15="",E15=""),"",T15&amp;"|"&amp;E15)</f>
        <v/>
      </c>
      <c r="AD15" s="14" t="str">
        <f>IF(OR(U15="",E15=""),"",U15&amp;"|"&amp;E15)</f>
        <v/>
      </c>
      <c r="AE15" s="14" t="str">
        <f>IF(OR(V15="",E15=""),"",V15&amp;"|"&amp;E15)</f>
        <v/>
      </c>
      <c r="AF15" s="14">
        <f>IF(OR(D15="",E15=""),0,COUNTIF($AC$9:$AC$158,D15&amp;"|"&amp;E15)+COUNTIF($AD$9:$AD$158,D15&amp;"|"&amp;E15)+COUNTIF($AE$9:$AE$158,D15&amp;"|"&amp;E15))</f>
        <v>0</v>
      </c>
      <c r="AG15" s="14">
        <f>Z15+AA15+AB15+AF15</f>
        <v>0</v>
      </c>
      <c r="AH15" s="14" t="str">
        <f>IF(OR(D15="",E15=""),"",IFERROR(MATCH(D15&amp;"|"&amp;E15,$AC$9:$AC$158,0),""))</f>
        <v/>
      </c>
      <c r="AI15" s="14" t="str">
        <f>IF(OR(D15="",E15=""),"",IFERROR(MATCH(D15&amp;"|"&amp;E15,$AD$9:$AD$158,0),""))</f>
        <v/>
      </c>
      <c r="AJ15" s="14" t="str">
        <f>IF(OR(D15="",E15=""),"",IFERROR(MATCH(D15&amp;"|"&amp;E15,$AE$9:$AE$158,0),""))</f>
        <v/>
      </c>
      <c r="AK15" s="14" t="str">
        <f>IF(Z15=1,IFERROR(INDEX($F$9:$F$158,MATCH(T15,$D$9:$D$158,0)),"")&amp;"、","")&amp;IF(AA15=1,IFERROR(INDEX($F$9:$F$158,MATCH(U15,$D$9:$D$158,0)),"")&amp;"、","")&amp;IF(AB15=1,IFERROR(INDEX($F$9:$F$158,MATCH(V15,$D$9:$D$158,0)),"")&amp;"、","")</f>
        <v/>
      </c>
      <c r="AL15" s="14" t="str">
        <f>IF(OR(AH15=""),"",IF(OR(INDEX($D$9:$D$158,AH15)=T15,INDEX($D$9:$D$158,AH15)=U15,INDEX($D$9:$D$158,AH15)=V15),"",INDEX($F$9:$F$158,AH15)&amp;"、"))&amp;IF(OR(AI15="",AI15=AH15),"",IF(OR(INDEX($D$9:$D$158,AI15)=T15,INDEX($D$9:$D$158,AI15)=U15,INDEX($D$9:$D$158,AI15)=V15),"",INDEX($F$9:$F$158,AI15)&amp;"、"))&amp;IF(OR(AJ15="",AJ15=AH15,AJ15=AI15),"",IF(OR(INDEX($D$9:$D$158,AJ15)=T15,INDEX($D$9:$D$158,AJ15)=U15,INDEX($D$9:$D$158,AJ15)=V15),"",INDEX($F$9:$F$158,AJ15)&amp;"、"))</f>
        <v/>
      </c>
      <c r="AM15" s="14" t="str">
        <f>IF(T15="","",IFERROR(INDEX('①名簿入力'!$C$4:$C$153,MATCH(T15,'①名簿入力'!$A$4:$A$153,0)),"?")&amp;IF(W15="","","("&amp;W15&amp;"組)"))</f>
        <v/>
      </c>
      <c r="AN15" s="14" t="str">
        <f>IF(U15="","",IFERROR(INDEX('①名簿入力'!$C$4:$C$153,MATCH(U15,'①名簿入力'!$A$4:$A$153,0)),"?")&amp;IF(X15="","","("&amp;X15&amp;"組)"))</f>
        <v/>
      </c>
      <c r="AO15" s="14" t="str">
        <f>IF(V15="","",IFERROR(INDEX('①名簿入力'!$C$4:$C$153,MATCH(V15,'①名簿入力'!$A$4:$A$153,0)),"?")&amp;IF(Y15="","","("&amp;Y15&amp;"組)"))</f>
        <v/>
      </c>
      <c r="AP15" s="14">
        <f>IF(G15="男",1,IF(G15="女",2,3))</f>
        <v>2</v>
      </c>
      <c r="AQ15" s="14">
        <f>IF(OR(S15="",E15=""),"",IFERROR(IF('③クラス一覧'!$AD$6="番号順",0,AP15*1000000000)+D15,""))</f>
        <v>2000002107</v>
      </c>
      <c r="AR15" s="14">
        <f>IF(AQ15="","",COUNTIFS($E$9:$E$158,E15,$AQ$9:$AQ$158,"&lt;"&amp;AQ15)+1)</f>
        <v>20</v>
      </c>
      <c r="AS15" s="14" t="str">
        <f>IF(AR15="","",E15&amp;"-"&amp;AR15)</f>
        <v>2-20</v>
      </c>
      <c r="AT15" s="14">
        <f>IF(S15="","",IF(INDEX('①名簿入力'!$F$4:$F$153,S15)="","",INDEX('①名簿入力'!$F$4:$F$153,S15)))</f>
        <v>70</v>
      </c>
      <c r="AU15" s="14">
        <f>IF(S15="","",IF(INDEX('①名簿入力'!$G$4:$G$153,S15)="","",INDEX('①名簿入力'!$G$4:$G$153,S15)))</f>
        <v>85</v>
      </c>
      <c r="AV15" s="14">
        <f>IF(S15="","",IF(INDEX('①名簿入力'!$H$4:$H$153,S15)="","",INDEX('①名簿入力'!$H$4:$H$153,S15)))</f>
        <v>84</v>
      </c>
      <c r="AW15" s="14">
        <f>IF(S15="","",IF(INDEX('①名簿入力'!$I$4:$I$153,S15)="","",INDEX('①名簿入力'!$I$4:$I$153,S15)))</f>
        <v>76</v>
      </c>
      <c r="AX15" s="14">
        <f>IF(S15="","",IF(INDEX('①名簿入力'!$J$4:$J$153,S15)="","",INDEX('①名簿入力'!$J$4:$J$153,S15)))</f>
        <v>73</v>
      </c>
    </row>
    <row r="16">
      <c r="A16" s="23">
        <f>IF('①名簿入力'!A11="","",'①名簿入力'!A11)</f>
        <v>2108</v>
      </c>
      <c r="B16" s="23">
        <f>IF(A16="","",'①名簿入力'!U11)</f>
        <v>1</v>
      </c>
      <c r="D16" s="8" t="n">
        <v>2108</v>
      </c>
      <c r="E16" s="24" t="n">
        <v>1</v>
      </c>
      <c r="F16" s="25" t="str">
        <f>IF(D16="","",IF(S16="","（名簿にない番号）",INDEX('①名簿入力'!$C$4:$C$153,S16)&amp;""))</f>
        <v>井上　陸</v>
      </c>
      <c r="G16" s="13" t="str">
        <f>IF(S16="","",INDEX('①名簿入力'!$E$4:$E$153,S16)&amp;"")</f>
        <v>男</v>
      </c>
      <c r="H16" s="13">
        <f>IF(S16="","",IF(INDEX('①名簿入力'!$B$4:$B$153,S16)="","",INDEX('①名簿入力'!$B$4:$B$153,S16)))</f>
        <v>1</v>
      </c>
      <c r="I16" s="10">
        <f>IF(S16="","",IF(INDEX('①名簿入力'!$K$4:$K$153,S16)="","",INDEX('①名簿入力'!$K$4:$K$153,S16)))</f>
        <v>47.8</v>
      </c>
      <c r="J16" s="10">
        <f>IF(S16="","",IF(INDEX('①名簿入力'!$L$4:$L$153,S16)="","",INDEX('①名簿入力'!$L$4:$L$153,S16)))</f>
        <v>7</v>
      </c>
      <c r="K16" s="13" t="str">
        <f>IF(S16="","",IF(INDEX('①名簿入力'!$Y$4:$Y$153,S16)=1,"〇",""))</f>
        <v/>
      </c>
      <c r="L16" s="13" t="str">
        <f>IF(S16="","",IF(INDEX('①名簿入力'!$Z$4:$Z$153,S16)=1,"〇",""))</f>
        <v/>
      </c>
      <c r="M16" s="13" t="str">
        <f>IF(S16="","",IF(INDEX('①名簿入力'!$AA$4:$AA$153,S16)=1,"〇",""))</f>
        <v/>
      </c>
      <c r="N16" s="13" t="str">
        <f>IF(S16="","",IF(INDEX('①名簿入力'!$AB$4:$AB$153,S16)=1,"〇",""))</f>
        <v/>
      </c>
      <c r="O16" s="25" t="str">
        <f>AM16&amp;IF(AND(AM16&lt;&gt;"",AN16&lt;&gt;""),"、","")&amp;AN16&amp;IF(AND(AM16&amp;AN16&lt;&gt;"",AO16&lt;&gt;""),"、","")&amp;AO16</f>
        <v/>
      </c>
      <c r="P16" s="25" t="str">
        <f>IF(AG16=0,"",IF(AK16&amp;AL16="","⚠",LEFT(AK16&amp;AL16,LEN(AK16&amp;AL16)-1)))</f>
        <v/>
      </c>
      <c r="Q16" s="25" t="str">
        <f>IF(S16="","",INDEX('①名簿入力'!$T$4:$T$153,S16)&amp;"")</f>
        <v>部活：陸上</v>
      </c>
      <c r="S16" s="14">
        <f>IF(D16="","",IFERROR(MATCH(D16,'①名簿入力'!$A$4:$A$153,0),""))</f>
        <v>8</v>
      </c>
      <c r="T16" s="14" t="str">
        <f>IF(S16="","",IF(INDEX('①名簿入力'!$AG$4:$AG$153,S16)=D16,"",INDEX('①名簿入力'!$AG$4:$AG$153,S16)))</f>
        <v/>
      </c>
      <c r="U16" s="14" t="str">
        <f>IF(S16="","",IF(INDEX('①名簿入力'!$AH$4:$AH$153,S16)=D16,"",INDEX('①名簿入力'!$AH$4:$AH$153,S16)))</f>
        <v/>
      </c>
      <c r="V16" s="14" t="str">
        <f>IF(S16="","",IF(INDEX('①名簿入力'!$AI$4:$AI$153,S16)=D16,"",INDEX('①名簿入力'!$AI$4:$AI$153,S16)))</f>
        <v/>
      </c>
      <c r="W16" s="14" t="str">
        <f>IF(T16="","",IFERROR(IF(INDEX($E$9:$E$158,MATCH(T16,$D$9:$D$158,0))="","",INDEX($E$9:$E$158,MATCH(T16,$D$9:$D$158,0))),""))</f>
        <v/>
      </c>
      <c r="X16" s="14" t="str">
        <f>IF(U16="","",IFERROR(IF(INDEX($E$9:$E$158,MATCH(U16,$D$9:$D$158,0))="","",INDEX($E$9:$E$158,MATCH(U16,$D$9:$D$158,0))),""))</f>
        <v/>
      </c>
      <c r="Y16" s="14" t="str">
        <f>IF(V16="","",IFERROR(IF(INDEX($E$9:$E$158,MATCH(V16,$D$9:$D$158,0))="","",INDEX($E$9:$E$158,MATCH(V16,$D$9:$D$158,0))),""))</f>
        <v/>
      </c>
      <c r="Z16" s="14">
        <f>IF(AND(T16&lt;&gt;"",W16&lt;&gt;"",E16&lt;&gt;""),IF(W16=E16,1,0),0)</f>
        <v>0</v>
      </c>
      <c r="AA16" s="14">
        <f>IF(AND(U16&lt;&gt;"",X16&lt;&gt;"",E16&lt;&gt;""),IF(X16=E16,1,0),0)</f>
        <v>0</v>
      </c>
      <c r="AB16" s="14">
        <f>IF(AND(V16&lt;&gt;"",Y16&lt;&gt;"",E16&lt;&gt;""),IF(Y16=E16,1,0),0)</f>
        <v>0</v>
      </c>
      <c r="AC16" s="14" t="str">
        <f>IF(OR(T16="",E16=""),"",T16&amp;"|"&amp;E16)</f>
        <v/>
      </c>
      <c r="AD16" s="14" t="str">
        <f>IF(OR(U16="",E16=""),"",U16&amp;"|"&amp;E16)</f>
        <v/>
      </c>
      <c r="AE16" s="14" t="str">
        <f>IF(OR(V16="",E16=""),"",V16&amp;"|"&amp;E16)</f>
        <v/>
      </c>
      <c r="AF16" s="14">
        <f>IF(OR(D16="",E16=""),0,COUNTIF($AC$9:$AC$158,D16&amp;"|"&amp;E16)+COUNTIF($AD$9:$AD$158,D16&amp;"|"&amp;E16)+COUNTIF($AE$9:$AE$158,D16&amp;"|"&amp;E16))</f>
        <v>0</v>
      </c>
      <c r="AG16" s="14">
        <f>Z16+AA16+AB16+AF16</f>
        <v>0</v>
      </c>
      <c r="AH16" s="14" t="str">
        <f>IF(OR(D16="",E16=""),"",IFERROR(MATCH(D16&amp;"|"&amp;E16,$AC$9:$AC$158,0),""))</f>
        <v/>
      </c>
      <c r="AI16" s="14" t="str">
        <f>IF(OR(D16="",E16=""),"",IFERROR(MATCH(D16&amp;"|"&amp;E16,$AD$9:$AD$158,0),""))</f>
        <v/>
      </c>
      <c r="AJ16" s="14" t="str">
        <f>IF(OR(D16="",E16=""),"",IFERROR(MATCH(D16&amp;"|"&amp;E16,$AE$9:$AE$158,0),""))</f>
        <v/>
      </c>
      <c r="AK16" s="14" t="str">
        <f>IF(Z16=1,IFERROR(INDEX($F$9:$F$158,MATCH(T16,$D$9:$D$158,0)),"")&amp;"、","")&amp;IF(AA16=1,IFERROR(INDEX($F$9:$F$158,MATCH(U16,$D$9:$D$158,0)),"")&amp;"、","")&amp;IF(AB16=1,IFERROR(INDEX($F$9:$F$158,MATCH(V16,$D$9:$D$158,0)),"")&amp;"、","")</f>
        <v/>
      </c>
      <c r="AL16" s="14" t="str">
        <f>IF(OR(AH16=""),"",IF(OR(INDEX($D$9:$D$158,AH16)=T16,INDEX($D$9:$D$158,AH16)=U16,INDEX($D$9:$D$158,AH16)=V16),"",INDEX($F$9:$F$158,AH16)&amp;"、"))&amp;IF(OR(AI16="",AI16=AH16),"",IF(OR(INDEX($D$9:$D$158,AI16)=T16,INDEX($D$9:$D$158,AI16)=U16,INDEX($D$9:$D$158,AI16)=V16),"",INDEX($F$9:$F$158,AI16)&amp;"、"))&amp;IF(OR(AJ16="",AJ16=AH16,AJ16=AI16),"",IF(OR(INDEX($D$9:$D$158,AJ16)=T16,INDEX($D$9:$D$158,AJ16)=U16,INDEX($D$9:$D$158,AJ16)=V16),"",INDEX($F$9:$F$158,AJ16)&amp;"、"))</f>
        <v/>
      </c>
      <c r="AM16" s="14" t="str">
        <f>IF(T16="","",IFERROR(INDEX('①名簿入力'!$C$4:$C$153,MATCH(T16,'①名簿入力'!$A$4:$A$153,0)),"?")&amp;IF(W16="","","("&amp;W16&amp;"組)"))</f>
        <v/>
      </c>
      <c r="AN16" s="14" t="str">
        <f>IF(U16="","",IFERROR(INDEX('①名簿入力'!$C$4:$C$153,MATCH(U16,'①名簿入力'!$A$4:$A$153,0)),"?")&amp;IF(X16="","","("&amp;X16&amp;"組)"))</f>
        <v/>
      </c>
      <c r="AO16" s="14" t="str">
        <f>IF(V16="","",IFERROR(INDEX('①名簿入力'!$C$4:$C$153,MATCH(V16,'①名簿入力'!$A$4:$A$153,0)),"?")&amp;IF(Y16="","","("&amp;Y16&amp;"組)"))</f>
        <v/>
      </c>
      <c r="AP16" s="14">
        <f>IF(G16="男",1,IF(G16="女",2,3))</f>
        <v>1</v>
      </c>
      <c r="AQ16" s="14">
        <f>IF(OR(S16="",E16=""),"",IFERROR(IF('③クラス一覧'!$AD$6="番号順",0,AP16*1000000000)+D16,""))</f>
        <v>1000002108</v>
      </c>
      <c r="AR16" s="14">
        <f>IF(AQ16="","",COUNTIFS($E$9:$E$158,E16,$AQ$9:$AQ$158,"&lt;"&amp;AQ16)+1)</f>
        <v>1</v>
      </c>
      <c r="AS16" s="14" t="str">
        <f>IF(AR16="","",E16&amp;"-"&amp;AR16)</f>
        <v>1-1</v>
      </c>
      <c r="AT16" s="14">
        <f>IF(S16="","",IF(INDEX('①名簿入力'!$F$4:$F$153,S16)="","",INDEX('①名簿入力'!$F$4:$F$153,S16)))</f>
        <v>45</v>
      </c>
      <c r="AU16" s="14">
        <f>IF(S16="","",IF(INDEX('①名簿入力'!$G$4:$G$153,S16)="","",INDEX('①名簿入力'!$G$4:$G$153,S16)))</f>
        <v>48</v>
      </c>
      <c r="AV16" s="14">
        <f>IF(S16="","",IF(INDEX('①名簿入力'!$H$4:$H$153,S16)="","",INDEX('①名簿入力'!$H$4:$H$153,S16)))</f>
        <v>42</v>
      </c>
      <c r="AW16" s="14">
        <f>IF(S16="","",IF(INDEX('①名簿入力'!$I$4:$I$153,S16)="","",INDEX('①名簿入力'!$I$4:$I$153,S16)))</f>
        <v>47</v>
      </c>
      <c r="AX16" s="14">
        <f>IF(S16="","",IF(INDEX('①名簿入力'!$J$4:$J$153,S16)="","",INDEX('①名簿入力'!$J$4:$J$153,S16)))</f>
        <v>57</v>
      </c>
    </row>
    <row r="17">
      <c r="A17" s="23">
        <f>IF('①名簿入力'!A12="","",'①名簿入力'!A12)</f>
        <v>2109</v>
      </c>
      <c r="B17" s="23">
        <f>IF(A17="","",'①名簿入力'!U12)</f>
        <v>3</v>
      </c>
      <c r="D17" s="8" t="n">
        <v>2109</v>
      </c>
      <c r="E17" s="24" t="n">
        <v>3</v>
      </c>
      <c r="F17" s="25" t="str">
        <f>IF(D17="","",IF(S17="","（名簿にない番号）",INDEX('①名簿入力'!$C$4:$C$153,S17)&amp;""))</f>
        <v>江頭　智也</v>
      </c>
      <c r="G17" s="13" t="str">
        <f>IF(S17="","",INDEX('①名簿入力'!$E$4:$E$153,S17)&amp;"")</f>
        <v>男</v>
      </c>
      <c r="H17" s="13">
        <f>IF(S17="","",IF(INDEX('①名簿入力'!$B$4:$B$153,S17)="","",INDEX('①名簿入力'!$B$4:$B$153,S17)))</f>
        <v>1</v>
      </c>
      <c r="I17" s="10">
        <f>IF(S17="","",IF(INDEX('①名簿入力'!$K$4:$K$153,S17)="","",INDEX('①名簿入力'!$K$4:$K$153,S17)))</f>
        <v>62.2</v>
      </c>
      <c r="J17" s="10">
        <f>IF(S17="","",IF(INDEX('①名簿入力'!$L$4:$L$153,S17)="","",INDEX('①名簿入力'!$L$4:$L$153,S17)))</f>
        <v>8</v>
      </c>
      <c r="K17" s="13" t="str">
        <f>IF(S17="","",IF(INDEX('①名簿入力'!$Y$4:$Y$153,S17)=1,"〇",""))</f>
        <v/>
      </c>
      <c r="L17" s="13" t="str">
        <f>IF(S17="","",IF(INDEX('①名簿入力'!$Z$4:$Z$153,S17)=1,"〇",""))</f>
        <v/>
      </c>
      <c r="M17" s="13" t="str">
        <f>IF(S17="","",IF(INDEX('①名簿入力'!$AA$4:$AA$153,S17)=1,"〇",""))</f>
        <v/>
      </c>
      <c r="N17" s="13" t="str">
        <f>IF(S17="","",IF(INDEX('①名簿入力'!$AB$4:$AB$153,S17)=1,"〇",""))</f>
        <v/>
      </c>
      <c r="O17" s="25" t="str">
        <f>AM17&amp;IF(AND(AM17&lt;&gt;"",AN17&lt;&gt;""),"、","")&amp;AN17&amp;IF(AND(AM17&amp;AN17&lt;&gt;"",AO17&lt;&gt;""),"、","")&amp;AO17</f>
        <v/>
      </c>
      <c r="P17" s="25" t="str">
        <f>IF(AG17=0,"",IF(AK17&amp;AL17="","⚠",LEFT(AK17&amp;AL17,LEN(AK17&amp;AL17)-1)))</f>
        <v/>
      </c>
      <c r="Q17" s="25" t="str">
        <f>IF(S17="","",INDEX('①名簿入力'!$T$4:$T$153,S17)&amp;"")</f>
        <v/>
      </c>
      <c r="S17" s="14">
        <f>IF(D17="","",IFERROR(MATCH(D17,'①名簿入力'!$A$4:$A$153,0),""))</f>
        <v>9</v>
      </c>
      <c r="T17" s="14" t="str">
        <f>IF(S17="","",IF(INDEX('①名簿入力'!$AG$4:$AG$153,S17)=D17,"",INDEX('①名簿入力'!$AG$4:$AG$153,S17)))</f>
        <v/>
      </c>
      <c r="U17" s="14" t="str">
        <f>IF(S17="","",IF(INDEX('①名簿入力'!$AH$4:$AH$153,S17)=D17,"",INDEX('①名簿入力'!$AH$4:$AH$153,S17)))</f>
        <v/>
      </c>
      <c r="V17" s="14" t="str">
        <f>IF(S17="","",IF(INDEX('①名簿入力'!$AI$4:$AI$153,S17)=D17,"",INDEX('①名簿入力'!$AI$4:$AI$153,S17)))</f>
        <v/>
      </c>
      <c r="W17" s="14" t="str">
        <f>IF(T17="","",IFERROR(IF(INDEX($E$9:$E$158,MATCH(T17,$D$9:$D$158,0))="","",INDEX($E$9:$E$158,MATCH(T17,$D$9:$D$158,0))),""))</f>
        <v/>
      </c>
      <c r="X17" s="14" t="str">
        <f>IF(U17="","",IFERROR(IF(INDEX($E$9:$E$158,MATCH(U17,$D$9:$D$158,0))="","",INDEX($E$9:$E$158,MATCH(U17,$D$9:$D$158,0))),""))</f>
        <v/>
      </c>
      <c r="Y17" s="14" t="str">
        <f>IF(V17="","",IFERROR(IF(INDEX($E$9:$E$158,MATCH(V17,$D$9:$D$158,0))="","",INDEX($E$9:$E$158,MATCH(V17,$D$9:$D$158,0))),""))</f>
        <v/>
      </c>
      <c r="Z17" s="14">
        <f>IF(AND(T17&lt;&gt;"",W17&lt;&gt;"",E17&lt;&gt;""),IF(W17=E17,1,0),0)</f>
        <v>0</v>
      </c>
      <c r="AA17" s="14">
        <f>IF(AND(U17&lt;&gt;"",X17&lt;&gt;"",E17&lt;&gt;""),IF(X17=E17,1,0),0)</f>
        <v>0</v>
      </c>
      <c r="AB17" s="14">
        <f>IF(AND(V17&lt;&gt;"",Y17&lt;&gt;"",E17&lt;&gt;""),IF(Y17=E17,1,0),0)</f>
        <v>0</v>
      </c>
      <c r="AC17" s="14" t="str">
        <f>IF(OR(T17="",E17=""),"",T17&amp;"|"&amp;E17)</f>
        <v/>
      </c>
      <c r="AD17" s="14" t="str">
        <f>IF(OR(U17="",E17=""),"",U17&amp;"|"&amp;E17)</f>
        <v/>
      </c>
      <c r="AE17" s="14" t="str">
        <f>IF(OR(V17="",E17=""),"",V17&amp;"|"&amp;E17)</f>
        <v/>
      </c>
      <c r="AF17" s="14">
        <f>IF(OR(D17="",E17=""),0,COUNTIF($AC$9:$AC$158,D17&amp;"|"&amp;E17)+COUNTIF($AD$9:$AD$158,D17&amp;"|"&amp;E17)+COUNTIF($AE$9:$AE$158,D17&amp;"|"&amp;E17))</f>
        <v>0</v>
      </c>
      <c r="AG17" s="14">
        <f>Z17+AA17+AB17+AF17</f>
        <v>0</v>
      </c>
      <c r="AH17" s="14" t="str">
        <f>IF(OR(D17="",E17=""),"",IFERROR(MATCH(D17&amp;"|"&amp;E17,$AC$9:$AC$158,0),""))</f>
        <v/>
      </c>
      <c r="AI17" s="14" t="str">
        <f>IF(OR(D17="",E17=""),"",IFERROR(MATCH(D17&amp;"|"&amp;E17,$AD$9:$AD$158,0),""))</f>
        <v/>
      </c>
      <c r="AJ17" s="14" t="str">
        <f>IF(OR(D17="",E17=""),"",IFERROR(MATCH(D17&amp;"|"&amp;E17,$AE$9:$AE$158,0),""))</f>
        <v/>
      </c>
      <c r="AK17" s="14" t="str">
        <f>IF(Z17=1,IFERROR(INDEX($F$9:$F$158,MATCH(T17,$D$9:$D$158,0)),"")&amp;"、","")&amp;IF(AA17=1,IFERROR(INDEX($F$9:$F$158,MATCH(U17,$D$9:$D$158,0)),"")&amp;"、","")&amp;IF(AB17=1,IFERROR(INDEX($F$9:$F$158,MATCH(V17,$D$9:$D$158,0)),"")&amp;"、","")</f>
        <v/>
      </c>
      <c r="AL17" s="14" t="str">
        <f>IF(OR(AH17=""),"",IF(OR(INDEX($D$9:$D$158,AH17)=T17,INDEX($D$9:$D$158,AH17)=U17,INDEX($D$9:$D$158,AH17)=V17),"",INDEX($F$9:$F$158,AH17)&amp;"、"))&amp;IF(OR(AI17="",AI17=AH17),"",IF(OR(INDEX($D$9:$D$158,AI17)=T17,INDEX($D$9:$D$158,AI17)=U17,INDEX($D$9:$D$158,AI17)=V17),"",INDEX($F$9:$F$158,AI17)&amp;"、"))&amp;IF(OR(AJ17="",AJ17=AH17,AJ17=AI17),"",IF(OR(INDEX($D$9:$D$158,AJ17)=T17,INDEX($D$9:$D$158,AJ17)=U17,INDEX($D$9:$D$158,AJ17)=V17),"",INDEX($F$9:$F$158,AJ17)&amp;"、"))</f>
        <v/>
      </c>
      <c r="AM17" s="14" t="str">
        <f>IF(T17="","",IFERROR(INDEX('①名簿入力'!$C$4:$C$153,MATCH(T17,'①名簿入力'!$A$4:$A$153,0)),"?")&amp;IF(W17="","","("&amp;W17&amp;"組)"))</f>
        <v/>
      </c>
      <c r="AN17" s="14" t="str">
        <f>IF(U17="","",IFERROR(INDEX('①名簿入力'!$C$4:$C$153,MATCH(U17,'①名簿入力'!$A$4:$A$153,0)),"?")&amp;IF(X17="","","("&amp;X17&amp;"組)"))</f>
        <v/>
      </c>
      <c r="AO17" s="14" t="str">
        <f>IF(V17="","",IFERROR(INDEX('①名簿入力'!$C$4:$C$153,MATCH(V17,'①名簿入力'!$A$4:$A$153,0)),"?")&amp;IF(Y17="","","("&amp;Y17&amp;"組)"))</f>
        <v/>
      </c>
      <c r="AP17" s="14">
        <f>IF(G17="男",1,IF(G17="女",2,3))</f>
        <v>1</v>
      </c>
      <c r="AQ17" s="14">
        <f>IF(OR(S17="",E17=""),"",IFERROR(IF('③クラス一覧'!$AD$6="番号順",0,AP17*1000000000)+D17,""))</f>
        <v>1000002109</v>
      </c>
      <c r="AR17" s="14">
        <f>IF(AQ17="","",COUNTIFS($E$9:$E$158,E17,$AQ$9:$AQ$158,"&lt;"&amp;AQ17)+1)</f>
        <v>1</v>
      </c>
      <c r="AS17" s="14" t="str">
        <f>IF(AR17="","",E17&amp;"-"&amp;AR17)</f>
        <v>3-1</v>
      </c>
      <c r="AT17" s="14">
        <f>IF(S17="","",IF(INDEX('①名簿入力'!$F$4:$F$153,S17)="","",INDEX('①名簿入力'!$F$4:$F$153,S17)))</f>
        <v>76</v>
      </c>
      <c r="AU17" s="14">
        <f>IF(S17="","",IF(INDEX('①名簿入力'!$G$4:$G$153,S17)="","",INDEX('①名簿入力'!$G$4:$G$153,S17)))</f>
        <v>72</v>
      </c>
      <c r="AV17" s="14">
        <f>IF(S17="","",IF(INDEX('①名簿入力'!$H$4:$H$153,S17)="","",INDEX('①名簿入力'!$H$4:$H$153,S17)))</f>
        <v>67</v>
      </c>
      <c r="AW17" s="14">
        <f>IF(S17="","",IF(INDEX('①名簿入力'!$I$4:$I$153,S17)="","",INDEX('①名簿入力'!$I$4:$I$153,S17)))</f>
        <v>54</v>
      </c>
      <c r="AX17" s="14">
        <f>IF(S17="","",IF(INDEX('①名簿入力'!$J$4:$J$153,S17)="","",INDEX('①名簿入力'!$J$4:$J$153,S17)))</f>
        <v>42</v>
      </c>
    </row>
    <row r="18">
      <c r="A18" s="23">
        <f>IF('①名簿入力'!A13="","",'①名簿入力'!A13)</f>
        <v>2110</v>
      </c>
      <c r="B18" s="23">
        <f>IF(A18="","",'①名簿入力'!U13)</f>
        <v>1</v>
      </c>
      <c r="D18" s="8" t="n">
        <v>2110</v>
      </c>
      <c r="E18" s="24" t="n">
        <v>1</v>
      </c>
      <c r="F18" s="25" t="str">
        <f>IF(D18="","",IF(S18="","（名簿にない番号）",INDEX('①名簿入力'!$C$4:$C$153,S18)&amp;""))</f>
        <v>遠藤　大翔</v>
      </c>
      <c r="G18" s="13" t="str">
        <f>IF(S18="","",INDEX('①名簿入力'!$E$4:$E$153,S18)&amp;"")</f>
        <v>男</v>
      </c>
      <c r="H18" s="13">
        <f>IF(S18="","",IF(INDEX('①名簿入力'!$B$4:$B$153,S18)="","",INDEX('①名簿入力'!$B$4:$B$153,S18)))</f>
        <v>1</v>
      </c>
      <c r="I18" s="10">
        <f>IF(S18="","",IF(INDEX('①名簿入力'!$K$4:$K$153,S18)="","",INDEX('①名簿入力'!$K$4:$K$153,S18)))</f>
        <v>65.6</v>
      </c>
      <c r="J18" s="10">
        <f>IF(S18="","",IF(INDEX('①名簿入力'!$L$4:$L$153,S18)="","",INDEX('①名簿入力'!$L$4:$L$153,S18)))</f>
        <v>7.6</v>
      </c>
      <c r="K18" s="13" t="str">
        <f>IF(S18="","",IF(INDEX('①名簿入力'!$Y$4:$Y$153,S18)=1,"〇",""))</f>
        <v/>
      </c>
      <c r="L18" s="13" t="str">
        <f>IF(S18="","",IF(INDEX('①名簿入力'!$Z$4:$Z$153,S18)=1,"〇",""))</f>
        <v/>
      </c>
      <c r="M18" s="13" t="str">
        <f>IF(S18="","",IF(INDEX('①名簿入力'!$AA$4:$AA$153,S18)=1,"〇",""))</f>
        <v/>
      </c>
      <c r="N18" s="13" t="str">
        <f>IF(S18="","",IF(INDEX('①名簿入力'!$AB$4:$AB$153,S18)=1,"〇",""))</f>
        <v/>
      </c>
      <c r="O18" s="25" t="str">
        <f>AM18&amp;IF(AND(AM18&lt;&gt;"",AN18&lt;&gt;""),"、","")&amp;AN18&amp;IF(AND(AM18&amp;AN18&lt;&gt;"",AO18&lt;&gt;""),"、","")&amp;AO18</f>
        <v/>
      </c>
      <c r="P18" s="25" t="str">
        <f>IF(AG18=0,"",IF(AK18&amp;AL18="","⚠",LEFT(AK18&amp;AL18,LEN(AK18&amp;AL18)-1)))</f>
        <v/>
      </c>
      <c r="Q18" s="25" t="str">
        <f>IF(S18="","",INDEX('①名簿入力'!$T$4:$T$153,S18)&amp;"")</f>
        <v/>
      </c>
      <c r="S18" s="14">
        <f>IF(D18="","",IFERROR(MATCH(D18,'①名簿入力'!$A$4:$A$153,0),""))</f>
        <v>10</v>
      </c>
      <c r="T18" s="14" t="str">
        <f>IF(S18="","",IF(INDEX('①名簿入力'!$AG$4:$AG$153,S18)=D18,"",INDEX('①名簿入力'!$AG$4:$AG$153,S18)))</f>
        <v/>
      </c>
      <c r="U18" s="14" t="str">
        <f>IF(S18="","",IF(INDEX('①名簿入力'!$AH$4:$AH$153,S18)=D18,"",INDEX('①名簿入力'!$AH$4:$AH$153,S18)))</f>
        <v/>
      </c>
      <c r="V18" s="14" t="str">
        <f>IF(S18="","",IF(INDEX('①名簿入力'!$AI$4:$AI$153,S18)=D18,"",INDEX('①名簿入力'!$AI$4:$AI$153,S18)))</f>
        <v/>
      </c>
      <c r="W18" s="14" t="str">
        <f>IF(T18="","",IFERROR(IF(INDEX($E$9:$E$158,MATCH(T18,$D$9:$D$158,0))="","",INDEX($E$9:$E$158,MATCH(T18,$D$9:$D$158,0))),""))</f>
        <v/>
      </c>
      <c r="X18" s="14" t="str">
        <f>IF(U18="","",IFERROR(IF(INDEX($E$9:$E$158,MATCH(U18,$D$9:$D$158,0))="","",INDEX($E$9:$E$158,MATCH(U18,$D$9:$D$158,0))),""))</f>
        <v/>
      </c>
      <c r="Y18" s="14" t="str">
        <f>IF(V18="","",IFERROR(IF(INDEX($E$9:$E$158,MATCH(V18,$D$9:$D$158,0))="","",INDEX($E$9:$E$158,MATCH(V18,$D$9:$D$158,0))),""))</f>
        <v/>
      </c>
      <c r="Z18" s="14">
        <f>IF(AND(T18&lt;&gt;"",W18&lt;&gt;"",E18&lt;&gt;""),IF(W18=E18,1,0),0)</f>
        <v>0</v>
      </c>
      <c r="AA18" s="14">
        <f>IF(AND(U18&lt;&gt;"",X18&lt;&gt;"",E18&lt;&gt;""),IF(X18=E18,1,0),0)</f>
        <v>0</v>
      </c>
      <c r="AB18" s="14">
        <f>IF(AND(V18&lt;&gt;"",Y18&lt;&gt;"",E18&lt;&gt;""),IF(Y18=E18,1,0),0)</f>
        <v>0</v>
      </c>
      <c r="AC18" s="14" t="str">
        <f>IF(OR(T18="",E18=""),"",T18&amp;"|"&amp;E18)</f>
        <v/>
      </c>
      <c r="AD18" s="14" t="str">
        <f>IF(OR(U18="",E18=""),"",U18&amp;"|"&amp;E18)</f>
        <v/>
      </c>
      <c r="AE18" s="14" t="str">
        <f>IF(OR(V18="",E18=""),"",V18&amp;"|"&amp;E18)</f>
        <v/>
      </c>
      <c r="AF18" s="14">
        <f>IF(OR(D18="",E18=""),0,COUNTIF($AC$9:$AC$158,D18&amp;"|"&amp;E18)+COUNTIF($AD$9:$AD$158,D18&amp;"|"&amp;E18)+COUNTIF($AE$9:$AE$158,D18&amp;"|"&amp;E18))</f>
        <v>0</v>
      </c>
      <c r="AG18" s="14">
        <f>Z18+AA18+AB18+AF18</f>
        <v>0</v>
      </c>
      <c r="AH18" s="14" t="str">
        <f>IF(OR(D18="",E18=""),"",IFERROR(MATCH(D18&amp;"|"&amp;E18,$AC$9:$AC$158,0),""))</f>
        <v/>
      </c>
      <c r="AI18" s="14" t="str">
        <f>IF(OR(D18="",E18=""),"",IFERROR(MATCH(D18&amp;"|"&amp;E18,$AD$9:$AD$158,0),""))</f>
        <v/>
      </c>
      <c r="AJ18" s="14" t="str">
        <f>IF(OR(D18="",E18=""),"",IFERROR(MATCH(D18&amp;"|"&amp;E18,$AE$9:$AE$158,0),""))</f>
        <v/>
      </c>
      <c r="AK18" s="14" t="str">
        <f>IF(Z18=1,IFERROR(INDEX($F$9:$F$158,MATCH(T18,$D$9:$D$158,0)),"")&amp;"、","")&amp;IF(AA18=1,IFERROR(INDEX($F$9:$F$158,MATCH(U18,$D$9:$D$158,0)),"")&amp;"、","")&amp;IF(AB18=1,IFERROR(INDEX($F$9:$F$158,MATCH(V18,$D$9:$D$158,0)),"")&amp;"、","")</f>
        <v/>
      </c>
      <c r="AL18" s="14" t="str">
        <f>IF(OR(AH18=""),"",IF(OR(INDEX($D$9:$D$158,AH18)=T18,INDEX($D$9:$D$158,AH18)=U18,INDEX($D$9:$D$158,AH18)=V18),"",INDEX($F$9:$F$158,AH18)&amp;"、"))&amp;IF(OR(AI18="",AI18=AH18),"",IF(OR(INDEX($D$9:$D$158,AI18)=T18,INDEX($D$9:$D$158,AI18)=U18,INDEX($D$9:$D$158,AI18)=V18),"",INDEX($F$9:$F$158,AI18)&amp;"、"))&amp;IF(OR(AJ18="",AJ18=AH18,AJ18=AI18),"",IF(OR(INDEX($D$9:$D$158,AJ18)=T18,INDEX($D$9:$D$158,AJ18)=U18,INDEX($D$9:$D$158,AJ18)=V18),"",INDEX($F$9:$F$158,AJ18)&amp;"、"))</f>
        <v/>
      </c>
      <c r="AM18" s="14" t="str">
        <f>IF(T18="","",IFERROR(INDEX('①名簿入力'!$C$4:$C$153,MATCH(T18,'①名簿入力'!$A$4:$A$153,0)),"?")&amp;IF(W18="","","("&amp;W18&amp;"組)"))</f>
        <v/>
      </c>
      <c r="AN18" s="14" t="str">
        <f>IF(U18="","",IFERROR(INDEX('①名簿入力'!$C$4:$C$153,MATCH(U18,'①名簿入力'!$A$4:$A$153,0)),"?")&amp;IF(X18="","","("&amp;X18&amp;"組)"))</f>
        <v/>
      </c>
      <c r="AO18" s="14" t="str">
        <f>IF(V18="","",IFERROR(INDEX('①名簿入力'!$C$4:$C$153,MATCH(V18,'①名簿入力'!$A$4:$A$153,0)),"?")&amp;IF(Y18="","","("&amp;Y18&amp;"組)"))</f>
        <v/>
      </c>
      <c r="AP18" s="14">
        <f>IF(G18="男",1,IF(G18="女",2,3))</f>
        <v>1</v>
      </c>
      <c r="AQ18" s="14">
        <f>IF(OR(S18="",E18=""),"",IFERROR(IF('③クラス一覧'!$AD$6="番号順",0,AP18*1000000000)+D18,""))</f>
        <v>1000002110</v>
      </c>
      <c r="AR18" s="14">
        <f>IF(AQ18="","",COUNTIFS($E$9:$E$158,E18,$AQ$9:$AQ$158,"&lt;"&amp;AQ18)+1)</f>
        <v>2</v>
      </c>
      <c r="AS18" s="14" t="str">
        <f>IF(AR18="","",E18&amp;"-"&amp;AR18)</f>
        <v>1-2</v>
      </c>
      <c r="AT18" s="14">
        <f>IF(S18="","",IF(INDEX('①名簿入力'!$F$4:$F$153,S18)="","",INDEX('①名簿入力'!$F$4:$F$153,S18)))</f>
        <v>80</v>
      </c>
      <c r="AU18" s="14">
        <f>IF(S18="","",IF(INDEX('①名簿入力'!$G$4:$G$153,S18)="","",INDEX('①名簿入力'!$G$4:$G$153,S18)))</f>
        <v>70</v>
      </c>
      <c r="AV18" s="14">
        <f>IF(S18="","",IF(INDEX('①名簿入力'!$H$4:$H$153,S18)="","",INDEX('①名簿入力'!$H$4:$H$153,S18)))</f>
        <v>59</v>
      </c>
      <c r="AW18" s="14">
        <f>IF(S18="","",IF(INDEX('①名簿入力'!$I$4:$I$153,S18)="","",INDEX('①名簿入力'!$I$4:$I$153,S18)))</f>
        <v>62</v>
      </c>
      <c r="AX18" s="14">
        <f>IF(S18="","",IF(INDEX('①名簿入力'!$J$4:$J$153,S18)="","",INDEX('①名簿入力'!$J$4:$J$153,S18)))</f>
        <v>57</v>
      </c>
    </row>
    <row r="19">
      <c r="A19" s="23">
        <f>IF('①名簿入力'!A14="","",'①名簿入力'!A14)</f>
        <v>2111</v>
      </c>
      <c r="B19" s="23">
        <f>IF(A19="","",'①名簿入力'!U14)</f>
        <v>3</v>
      </c>
      <c r="D19" s="8" t="n">
        <v>2111</v>
      </c>
      <c r="E19" s="24" t="n">
        <v>3</v>
      </c>
      <c r="F19" s="25" t="str">
        <f>IF(D19="","",IF(S19="","（名簿にない番号）",INDEX('①名簿入力'!$C$4:$C$153,S19)&amp;""))</f>
        <v>太田　大翔</v>
      </c>
      <c r="G19" s="13" t="str">
        <f>IF(S19="","",INDEX('①名簿入力'!$E$4:$E$153,S19)&amp;"")</f>
        <v>男</v>
      </c>
      <c r="H19" s="13">
        <f>IF(S19="","",IF(INDEX('①名簿入力'!$B$4:$B$153,S19)="","",INDEX('①名簿入力'!$B$4:$B$153,S19)))</f>
        <v>1</v>
      </c>
      <c r="I19" s="10">
        <f>IF(S19="","",IF(INDEX('①名簿入力'!$K$4:$K$153,S19)="","",INDEX('①名簿入力'!$K$4:$K$153,S19)))</f>
        <v>68.4</v>
      </c>
      <c r="J19" s="10">
        <f>IF(S19="","",IF(INDEX('①名簿入力'!$L$4:$L$153,S19)="","",INDEX('①名簿入力'!$L$4:$L$153,S19)))</f>
        <v>8</v>
      </c>
      <c r="K19" s="13" t="str">
        <f>IF(S19="","",IF(INDEX('①名簿入力'!$Y$4:$Y$153,S19)=1,"〇",""))</f>
        <v/>
      </c>
      <c r="L19" s="13" t="str">
        <f>IF(S19="","",IF(INDEX('①名簿入力'!$Z$4:$Z$153,S19)=1,"〇",""))</f>
        <v/>
      </c>
      <c r="M19" s="13" t="str">
        <f>IF(S19="","",IF(INDEX('①名簿入力'!$AA$4:$AA$153,S19)=1,"〇",""))</f>
        <v/>
      </c>
      <c r="N19" s="13" t="str">
        <f>IF(S19="","",IF(INDEX('①名簿入力'!$AB$4:$AB$153,S19)=1,"〇",""))</f>
        <v/>
      </c>
      <c r="O19" s="25" t="str">
        <f>AM19&amp;IF(AND(AM19&lt;&gt;"",AN19&lt;&gt;""),"、","")&amp;AN19&amp;IF(AND(AM19&amp;AN19&lt;&gt;"",AO19&lt;&gt;""),"、","")&amp;AO19</f>
        <v/>
      </c>
      <c r="P19" s="25" t="str">
        <f>IF(AG19=0,"",IF(AK19&amp;AL19="","⚠",LEFT(AK19&amp;AL19,LEN(AK19&amp;AL19)-1)))</f>
        <v/>
      </c>
      <c r="Q19" s="25" t="str">
        <f>IF(S19="","",INDEX('①名簿入力'!$T$4:$T$153,S19)&amp;"")</f>
        <v/>
      </c>
      <c r="S19" s="14">
        <f>IF(D19="","",IFERROR(MATCH(D19,'①名簿入力'!$A$4:$A$153,0),""))</f>
        <v>11</v>
      </c>
      <c r="T19" s="14" t="str">
        <f>IF(S19="","",IF(INDEX('①名簿入力'!$AG$4:$AG$153,S19)=D19,"",INDEX('①名簿入力'!$AG$4:$AG$153,S19)))</f>
        <v/>
      </c>
      <c r="U19" s="14" t="str">
        <f>IF(S19="","",IF(INDEX('①名簿入力'!$AH$4:$AH$153,S19)=D19,"",INDEX('①名簿入力'!$AH$4:$AH$153,S19)))</f>
        <v/>
      </c>
      <c r="V19" s="14" t="str">
        <f>IF(S19="","",IF(INDEX('①名簿入力'!$AI$4:$AI$153,S19)=D19,"",INDEX('①名簿入力'!$AI$4:$AI$153,S19)))</f>
        <v/>
      </c>
      <c r="W19" s="14" t="str">
        <f>IF(T19="","",IFERROR(IF(INDEX($E$9:$E$158,MATCH(T19,$D$9:$D$158,0))="","",INDEX($E$9:$E$158,MATCH(T19,$D$9:$D$158,0))),""))</f>
        <v/>
      </c>
      <c r="X19" s="14" t="str">
        <f>IF(U19="","",IFERROR(IF(INDEX($E$9:$E$158,MATCH(U19,$D$9:$D$158,0))="","",INDEX($E$9:$E$158,MATCH(U19,$D$9:$D$158,0))),""))</f>
        <v/>
      </c>
      <c r="Y19" s="14" t="str">
        <f>IF(V19="","",IFERROR(IF(INDEX($E$9:$E$158,MATCH(V19,$D$9:$D$158,0))="","",INDEX($E$9:$E$158,MATCH(V19,$D$9:$D$158,0))),""))</f>
        <v/>
      </c>
      <c r="Z19" s="14">
        <f>IF(AND(T19&lt;&gt;"",W19&lt;&gt;"",E19&lt;&gt;""),IF(W19=E19,1,0),0)</f>
        <v>0</v>
      </c>
      <c r="AA19" s="14">
        <f>IF(AND(U19&lt;&gt;"",X19&lt;&gt;"",E19&lt;&gt;""),IF(X19=E19,1,0),0)</f>
        <v>0</v>
      </c>
      <c r="AB19" s="14">
        <f>IF(AND(V19&lt;&gt;"",Y19&lt;&gt;"",E19&lt;&gt;""),IF(Y19=E19,1,0),0)</f>
        <v>0</v>
      </c>
      <c r="AC19" s="14" t="str">
        <f>IF(OR(T19="",E19=""),"",T19&amp;"|"&amp;E19)</f>
        <v/>
      </c>
      <c r="AD19" s="14" t="str">
        <f>IF(OR(U19="",E19=""),"",U19&amp;"|"&amp;E19)</f>
        <v/>
      </c>
      <c r="AE19" s="14" t="str">
        <f>IF(OR(V19="",E19=""),"",V19&amp;"|"&amp;E19)</f>
        <v/>
      </c>
      <c r="AF19" s="14">
        <f>IF(OR(D19="",E19=""),0,COUNTIF($AC$9:$AC$158,D19&amp;"|"&amp;E19)+COUNTIF($AD$9:$AD$158,D19&amp;"|"&amp;E19)+COUNTIF($AE$9:$AE$158,D19&amp;"|"&amp;E19))</f>
        <v>0</v>
      </c>
      <c r="AG19" s="14">
        <f>Z19+AA19+AB19+AF19</f>
        <v>0</v>
      </c>
      <c r="AH19" s="14" t="str">
        <f>IF(OR(D19="",E19=""),"",IFERROR(MATCH(D19&amp;"|"&amp;E19,$AC$9:$AC$158,0),""))</f>
        <v/>
      </c>
      <c r="AI19" s="14" t="str">
        <f>IF(OR(D19="",E19=""),"",IFERROR(MATCH(D19&amp;"|"&amp;E19,$AD$9:$AD$158,0),""))</f>
        <v/>
      </c>
      <c r="AJ19" s="14" t="str">
        <f>IF(OR(D19="",E19=""),"",IFERROR(MATCH(D19&amp;"|"&amp;E19,$AE$9:$AE$158,0),""))</f>
        <v/>
      </c>
      <c r="AK19" s="14" t="str">
        <f>IF(Z19=1,IFERROR(INDEX($F$9:$F$158,MATCH(T19,$D$9:$D$158,0)),"")&amp;"、","")&amp;IF(AA19=1,IFERROR(INDEX($F$9:$F$158,MATCH(U19,$D$9:$D$158,0)),"")&amp;"、","")&amp;IF(AB19=1,IFERROR(INDEX($F$9:$F$158,MATCH(V19,$D$9:$D$158,0)),"")&amp;"、","")</f>
        <v/>
      </c>
      <c r="AL19" s="14" t="str">
        <f>IF(OR(AH19=""),"",IF(OR(INDEX($D$9:$D$158,AH19)=T19,INDEX($D$9:$D$158,AH19)=U19,INDEX($D$9:$D$158,AH19)=V19),"",INDEX($F$9:$F$158,AH19)&amp;"、"))&amp;IF(OR(AI19="",AI19=AH19),"",IF(OR(INDEX($D$9:$D$158,AI19)=T19,INDEX($D$9:$D$158,AI19)=U19,INDEX($D$9:$D$158,AI19)=V19),"",INDEX($F$9:$F$158,AI19)&amp;"、"))&amp;IF(OR(AJ19="",AJ19=AH19,AJ19=AI19),"",IF(OR(INDEX($D$9:$D$158,AJ19)=T19,INDEX($D$9:$D$158,AJ19)=U19,INDEX($D$9:$D$158,AJ19)=V19),"",INDEX($F$9:$F$158,AJ19)&amp;"、"))</f>
        <v/>
      </c>
      <c r="AM19" s="14" t="str">
        <f>IF(T19="","",IFERROR(INDEX('①名簿入力'!$C$4:$C$153,MATCH(T19,'①名簿入力'!$A$4:$A$153,0)),"?")&amp;IF(W19="","","("&amp;W19&amp;"組)"))</f>
        <v/>
      </c>
      <c r="AN19" s="14" t="str">
        <f>IF(U19="","",IFERROR(INDEX('①名簿入力'!$C$4:$C$153,MATCH(U19,'①名簿入力'!$A$4:$A$153,0)),"?")&amp;IF(X19="","","("&amp;X19&amp;"組)"))</f>
        <v/>
      </c>
      <c r="AO19" s="14" t="str">
        <f>IF(V19="","",IFERROR(INDEX('①名簿入力'!$C$4:$C$153,MATCH(V19,'①名簿入力'!$A$4:$A$153,0)),"?")&amp;IF(Y19="","","("&amp;Y19&amp;"組)"))</f>
        <v/>
      </c>
      <c r="AP19" s="14">
        <f>IF(G19="男",1,IF(G19="女",2,3))</f>
        <v>1</v>
      </c>
      <c r="AQ19" s="14">
        <f>IF(OR(S19="",E19=""),"",IFERROR(IF('③クラス一覧'!$AD$6="番号順",0,AP19*1000000000)+D19,""))</f>
        <v>1000002111</v>
      </c>
      <c r="AR19" s="14">
        <f>IF(AQ19="","",COUNTIFS($E$9:$E$158,E19,$AQ$9:$AQ$158,"&lt;"&amp;AQ19)+1)</f>
        <v>2</v>
      </c>
      <c r="AS19" s="14" t="str">
        <f>IF(AR19="","",E19&amp;"-"&amp;AR19)</f>
        <v>3-2</v>
      </c>
      <c r="AT19" s="14">
        <f>IF(S19="","",IF(INDEX('①名簿入力'!$F$4:$F$153,S19)="","",INDEX('①名簿入力'!$F$4:$F$153,S19)))</f>
        <v>63</v>
      </c>
      <c r="AU19" s="14">
        <f>IF(S19="","",IF(INDEX('①名簿入力'!$G$4:$G$153,S19)="","",INDEX('①名簿入力'!$G$4:$G$153,S19)))</f>
        <v>66</v>
      </c>
      <c r="AV19" s="14">
        <f>IF(S19="","",IF(INDEX('①名簿入力'!$H$4:$H$153,S19)="","",INDEX('①名簿入力'!$H$4:$H$153,S19)))</f>
        <v>71</v>
      </c>
      <c r="AW19" s="14">
        <f>IF(S19="","",IF(INDEX('①名簿入力'!$I$4:$I$153,S19)="","",INDEX('①名簿入力'!$I$4:$I$153,S19)))</f>
        <v>79</v>
      </c>
      <c r="AX19" s="14">
        <f>IF(S19="","",IF(INDEX('①名簿入力'!$J$4:$J$153,S19)="","",INDEX('①名簿入力'!$J$4:$J$153,S19)))</f>
        <v>63</v>
      </c>
    </row>
    <row r="20">
      <c r="A20" s="23">
        <f>IF('①名簿入力'!A15="","",'①名簿入力'!A15)</f>
        <v>2112</v>
      </c>
      <c r="B20" s="23">
        <f>IF(A20="","",'①名簿入力'!U15)</f>
        <v>1</v>
      </c>
      <c r="D20" s="8" t="n">
        <v>2112</v>
      </c>
      <c r="E20" s="24" t="n">
        <v>1</v>
      </c>
      <c r="F20" s="25" t="str">
        <f>IF(D20="","",IF(S20="","（名簿にない番号）",INDEX('①名簿入力'!$C$4:$C$153,S20)&amp;""))</f>
        <v>加藤　航</v>
      </c>
      <c r="G20" s="13" t="str">
        <f>IF(S20="","",INDEX('①名簿入力'!$E$4:$E$153,S20)&amp;"")</f>
        <v>男</v>
      </c>
      <c r="H20" s="13">
        <f>IF(S20="","",IF(INDEX('①名簿入力'!$B$4:$B$153,S20)="","",INDEX('①名簿入力'!$B$4:$B$153,S20)))</f>
        <v>1</v>
      </c>
      <c r="I20" s="10">
        <f>IF(S20="","",IF(INDEX('①名簿入力'!$K$4:$K$153,S20)="","",INDEX('①名簿入力'!$K$4:$K$153,S20)))</f>
        <v>76.6</v>
      </c>
      <c r="J20" s="10">
        <f>IF(S20="","",IF(INDEX('①名簿入力'!$L$4:$L$153,S20)="","",INDEX('①名簿入力'!$L$4:$L$153,S20)))</f>
        <v>7.2</v>
      </c>
      <c r="K20" s="13" t="str">
        <f>IF(S20="","",IF(INDEX('①名簿入力'!$Y$4:$Y$153,S20)=1,"〇",""))</f>
        <v/>
      </c>
      <c r="L20" s="13" t="str">
        <f>IF(S20="","",IF(INDEX('①名簿入力'!$Z$4:$Z$153,S20)=1,"〇",""))</f>
        <v/>
      </c>
      <c r="M20" s="13" t="str">
        <f>IF(S20="","",IF(INDEX('①名簿入力'!$AA$4:$AA$153,S20)=1,"〇",""))</f>
        <v/>
      </c>
      <c r="N20" s="13" t="str">
        <f>IF(S20="","",IF(INDEX('①名簿入力'!$AB$4:$AB$153,S20)=1,"〇",""))</f>
        <v/>
      </c>
      <c r="O20" s="25" t="str">
        <f>AM20&amp;IF(AND(AM20&lt;&gt;"",AN20&lt;&gt;""),"、","")&amp;AN20&amp;IF(AND(AM20&amp;AN20&lt;&gt;"",AO20&lt;&gt;""),"、","")&amp;AO20</f>
        <v/>
      </c>
      <c r="P20" s="25" t="str">
        <f>IF(AG20=0,"",IF(AK20&amp;AL20="","⚠",LEFT(AK20&amp;AL20,LEN(AK20&amp;AL20)-1)))</f>
        <v/>
      </c>
      <c r="Q20" s="25" t="str">
        <f>IF(S20="","",INDEX('①名簿入力'!$T$4:$T$153,S20)&amp;"")</f>
        <v/>
      </c>
      <c r="S20" s="14">
        <f>IF(D20="","",IFERROR(MATCH(D20,'①名簿入力'!$A$4:$A$153,0),""))</f>
        <v>12</v>
      </c>
      <c r="T20" s="14" t="str">
        <f>IF(S20="","",IF(INDEX('①名簿入力'!$AG$4:$AG$153,S20)=D20,"",INDEX('①名簿入力'!$AG$4:$AG$153,S20)))</f>
        <v/>
      </c>
      <c r="U20" s="14" t="str">
        <f>IF(S20="","",IF(INDEX('①名簿入力'!$AH$4:$AH$153,S20)=D20,"",INDEX('①名簿入力'!$AH$4:$AH$153,S20)))</f>
        <v/>
      </c>
      <c r="V20" s="14" t="str">
        <f>IF(S20="","",IF(INDEX('①名簿入力'!$AI$4:$AI$153,S20)=D20,"",INDEX('①名簿入力'!$AI$4:$AI$153,S20)))</f>
        <v/>
      </c>
      <c r="W20" s="14" t="str">
        <f>IF(T20="","",IFERROR(IF(INDEX($E$9:$E$158,MATCH(T20,$D$9:$D$158,0))="","",INDEX($E$9:$E$158,MATCH(T20,$D$9:$D$158,0))),""))</f>
        <v/>
      </c>
      <c r="X20" s="14" t="str">
        <f>IF(U20="","",IFERROR(IF(INDEX($E$9:$E$158,MATCH(U20,$D$9:$D$158,0))="","",INDEX($E$9:$E$158,MATCH(U20,$D$9:$D$158,0))),""))</f>
        <v/>
      </c>
      <c r="Y20" s="14" t="str">
        <f>IF(V20="","",IFERROR(IF(INDEX($E$9:$E$158,MATCH(V20,$D$9:$D$158,0))="","",INDEX($E$9:$E$158,MATCH(V20,$D$9:$D$158,0))),""))</f>
        <v/>
      </c>
      <c r="Z20" s="14">
        <f>IF(AND(T20&lt;&gt;"",W20&lt;&gt;"",E20&lt;&gt;""),IF(W20=E20,1,0),0)</f>
        <v>0</v>
      </c>
      <c r="AA20" s="14">
        <f>IF(AND(U20&lt;&gt;"",X20&lt;&gt;"",E20&lt;&gt;""),IF(X20=E20,1,0),0)</f>
        <v>0</v>
      </c>
      <c r="AB20" s="14">
        <f>IF(AND(V20&lt;&gt;"",Y20&lt;&gt;"",E20&lt;&gt;""),IF(Y20=E20,1,0),0)</f>
        <v>0</v>
      </c>
      <c r="AC20" s="14" t="str">
        <f>IF(OR(T20="",E20=""),"",T20&amp;"|"&amp;E20)</f>
        <v/>
      </c>
      <c r="AD20" s="14" t="str">
        <f>IF(OR(U20="",E20=""),"",U20&amp;"|"&amp;E20)</f>
        <v/>
      </c>
      <c r="AE20" s="14" t="str">
        <f>IF(OR(V20="",E20=""),"",V20&amp;"|"&amp;E20)</f>
        <v/>
      </c>
      <c r="AF20" s="14">
        <f>IF(OR(D20="",E20=""),0,COUNTIF($AC$9:$AC$158,D20&amp;"|"&amp;E20)+COUNTIF($AD$9:$AD$158,D20&amp;"|"&amp;E20)+COUNTIF($AE$9:$AE$158,D20&amp;"|"&amp;E20))</f>
        <v>0</v>
      </c>
      <c r="AG20" s="14">
        <f>Z20+AA20+AB20+AF20</f>
        <v>0</v>
      </c>
      <c r="AH20" s="14" t="str">
        <f>IF(OR(D20="",E20=""),"",IFERROR(MATCH(D20&amp;"|"&amp;E20,$AC$9:$AC$158,0),""))</f>
        <v/>
      </c>
      <c r="AI20" s="14" t="str">
        <f>IF(OR(D20="",E20=""),"",IFERROR(MATCH(D20&amp;"|"&amp;E20,$AD$9:$AD$158,0),""))</f>
        <v/>
      </c>
      <c r="AJ20" s="14" t="str">
        <f>IF(OR(D20="",E20=""),"",IFERROR(MATCH(D20&amp;"|"&amp;E20,$AE$9:$AE$158,0),""))</f>
        <v/>
      </c>
      <c r="AK20" s="14" t="str">
        <f>IF(Z20=1,IFERROR(INDEX($F$9:$F$158,MATCH(T20,$D$9:$D$158,0)),"")&amp;"、","")&amp;IF(AA20=1,IFERROR(INDEX($F$9:$F$158,MATCH(U20,$D$9:$D$158,0)),"")&amp;"、","")&amp;IF(AB20=1,IFERROR(INDEX($F$9:$F$158,MATCH(V20,$D$9:$D$158,0)),"")&amp;"、","")</f>
        <v/>
      </c>
      <c r="AL20" s="14" t="str">
        <f>IF(OR(AH20=""),"",IF(OR(INDEX($D$9:$D$158,AH20)=T20,INDEX($D$9:$D$158,AH20)=U20,INDEX($D$9:$D$158,AH20)=V20),"",INDEX($F$9:$F$158,AH20)&amp;"、"))&amp;IF(OR(AI20="",AI20=AH20),"",IF(OR(INDEX($D$9:$D$158,AI20)=T20,INDEX($D$9:$D$158,AI20)=U20,INDEX($D$9:$D$158,AI20)=V20),"",INDEX($F$9:$F$158,AI20)&amp;"、"))&amp;IF(OR(AJ20="",AJ20=AH20,AJ20=AI20),"",IF(OR(INDEX($D$9:$D$158,AJ20)=T20,INDEX($D$9:$D$158,AJ20)=U20,INDEX($D$9:$D$158,AJ20)=V20),"",INDEX($F$9:$F$158,AJ20)&amp;"、"))</f>
        <v/>
      </c>
      <c r="AM20" s="14" t="str">
        <f>IF(T20="","",IFERROR(INDEX('①名簿入力'!$C$4:$C$153,MATCH(T20,'①名簿入力'!$A$4:$A$153,0)),"?")&amp;IF(W20="","","("&amp;W20&amp;"組)"))</f>
        <v/>
      </c>
      <c r="AN20" s="14" t="str">
        <f>IF(U20="","",IFERROR(INDEX('①名簿入力'!$C$4:$C$153,MATCH(U20,'①名簿入力'!$A$4:$A$153,0)),"?")&amp;IF(X20="","","("&amp;X20&amp;"組)"))</f>
        <v/>
      </c>
      <c r="AO20" s="14" t="str">
        <f>IF(V20="","",IFERROR(INDEX('①名簿入力'!$C$4:$C$153,MATCH(V20,'①名簿入力'!$A$4:$A$153,0)),"?")&amp;IF(Y20="","","("&amp;Y20&amp;"組)"))</f>
        <v/>
      </c>
      <c r="AP20" s="14">
        <f>IF(G20="男",1,IF(G20="女",2,3))</f>
        <v>1</v>
      </c>
      <c r="AQ20" s="14">
        <f>IF(OR(S20="",E20=""),"",IFERROR(IF('③クラス一覧'!$AD$6="番号順",0,AP20*1000000000)+D20,""))</f>
        <v>1000002112</v>
      </c>
      <c r="AR20" s="14">
        <f>IF(AQ20="","",COUNTIFS($E$9:$E$158,E20,$AQ$9:$AQ$158,"&lt;"&amp;AQ20)+1)</f>
        <v>3</v>
      </c>
      <c r="AS20" s="14" t="str">
        <f>IF(AR20="","",E20&amp;"-"&amp;AR20)</f>
        <v>1-3</v>
      </c>
      <c r="AT20" s="14">
        <f>IF(S20="","",IF(INDEX('①名簿入力'!$F$4:$F$153,S20)="","",INDEX('①名簿入力'!$F$4:$F$153,S20)))</f>
        <v>66</v>
      </c>
      <c r="AU20" s="14">
        <f>IF(S20="","",IF(INDEX('①名簿入力'!$G$4:$G$153,S20)="","",INDEX('①名簿入力'!$G$4:$G$153,S20)))</f>
        <v>82</v>
      </c>
      <c r="AV20" s="14">
        <f>IF(S20="","",IF(INDEX('①名簿入力'!$H$4:$H$153,S20)="","",INDEX('①名簿入力'!$H$4:$H$153,S20)))</f>
        <v>70</v>
      </c>
      <c r="AW20" s="14">
        <f>IF(S20="","",IF(INDEX('①名簿入力'!$I$4:$I$153,S20)="","",INDEX('①名簿入力'!$I$4:$I$153,S20)))</f>
        <v>82</v>
      </c>
      <c r="AX20" s="14">
        <f>IF(S20="","",IF(INDEX('①名簿入力'!$J$4:$J$153,S20)="","",INDEX('①名簿入力'!$J$4:$J$153,S20)))</f>
        <v>83</v>
      </c>
    </row>
    <row r="21">
      <c r="A21" s="23">
        <f>IF('①名簿入力'!A16="","",'①名簿入力'!A16)</f>
        <v>2113</v>
      </c>
      <c r="B21" s="23">
        <f>IF(A21="","",'①名簿入力'!U16)</f>
        <v>3</v>
      </c>
      <c r="D21" s="8" t="n">
        <v>2113</v>
      </c>
      <c r="E21" s="24" t="n">
        <v>3</v>
      </c>
      <c r="F21" s="25" t="str">
        <f>IF(D21="","",IF(S21="","（名簿にない番号）",INDEX('①名簿入力'!$C$4:$C$153,S21)&amp;""))</f>
        <v>北川　朝陽</v>
      </c>
      <c r="G21" s="13" t="str">
        <f>IF(S21="","",INDEX('①名簿入力'!$E$4:$E$153,S21)&amp;"")</f>
        <v>男</v>
      </c>
      <c r="H21" s="13">
        <f>IF(S21="","",IF(INDEX('①名簿入力'!$B$4:$B$153,S21)="","",INDEX('①名簿入力'!$B$4:$B$153,S21)))</f>
        <v>1</v>
      </c>
      <c r="I21" s="10">
        <f>IF(S21="","",IF(INDEX('①名簿入力'!$K$4:$K$153,S21)="","",INDEX('①名簿入力'!$K$4:$K$153,S21)))</f>
        <v>46.4</v>
      </c>
      <c r="J21" s="10">
        <f>IF(S21="","",IF(INDEX('①名簿入力'!$L$4:$L$153,S21)="","",INDEX('①名簿入力'!$L$4:$L$153,S21)))</f>
        <v>6.6</v>
      </c>
      <c r="K21" s="13" t="str">
        <f>IF(S21="","",IF(INDEX('①名簿入力'!$Y$4:$Y$153,S21)=1,"〇",""))</f>
        <v/>
      </c>
      <c r="L21" s="13" t="str">
        <f>IF(S21="","",IF(INDEX('①名簿入力'!$Z$4:$Z$153,S21)=1,"〇",""))</f>
        <v/>
      </c>
      <c r="M21" s="13" t="str">
        <f>IF(S21="","",IF(INDEX('①名簿入力'!$AA$4:$AA$153,S21)=1,"〇",""))</f>
        <v/>
      </c>
      <c r="N21" s="13" t="str">
        <f>IF(S21="","",IF(INDEX('①名簿入力'!$AB$4:$AB$153,S21)=1,"〇",""))</f>
        <v/>
      </c>
      <c r="O21" s="25" t="str">
        <f>AM21&amp;IF(AND(AM21&lt;&gt;"",AN21&lt;&gt;""),"、","")&amp;AN21&amp;IF(AND(AM21&amp;AN21&lt;&gt;"",AO21&lt;&gt;""),"、","")&amp;AO21</f>
        <v/>
      </c>
      <c r="P21" s="25" t="str">
        <f>IF(AG21=0,"",IF(AK21&amp;AL21="","⚠",LEFT(AK21&amp;AL21,LEN(AK21&amp;AL21)-1)))</f>
        <v/>
      </c>
      <c r="Q21" s="25" t="str">
        <f>IF(S21="","",INDEX('①名簿入力'!$T$4:$T$153,S21)&amp;"")</f>
        <v/>
      </c>
      <c r="S21" s="14">
        <f>IF(D21="","",IFERROR(MATCH(D21,'①名簿入力'!$A$4:$A$153,0),""))</f>
        <v>13</v>
      </c>
      <c r="T21" s="14" t="str">
        <f>IF(S21="","",IF(INDEX('①名簿入力'!$AG$4:$AG$153,S21)=D21,"",INDEX('①名簿入力'!$AG$4:$AG$153,S21)))</f>
        <v/>
      </c>
      <c r="U21" s="14" t="str">
        <f>IF(S21="","",IF(INDEX('①名簿入力'!$AH$4:$AH$153,S21)=D21,"",INDEX('①名簿入力'!$AH$4:$AH$153,S21)))</f>
        <v/>
      </c>
      <c r="V21" s="14" t="str">
        <f>IF(S21="","",IF(INDEX('①名簿入力'!$AI$4:$AI$153,S21)=D21,"",INDEX('①名簿入力'!$AI$4:$AI$153,S21)))</f>
        <v/>
      </c>
      <c r="W21" s="14" t="str">
        <f>IF(T21="","",IFERROR(IF(INDEX($E$9:$E$158,MATCH(T21,$D$9:$D$158,0))="","",INDEX($E$9:$E$158,MATCH(T21,$D$9:$D$158,0))),""))</f>
        <v/>
      </c>
      <c r="X21" s="14" t="str">
        <f>IF(U21="","",IFERROR(IF(INDEX($E$9:$E$158,MATCH(U21,$D$9:$D$158,0))="","",INDEX($E$9:$E$158,MATCH(U21,$D$9:$D$158,0))),""))</f>
        <v/>
      </c>
      <c r="Y21" s="14" t="str">
        <f>IF(V21="","",IFERROR(IF(INDEX($E$9:$E$158,MATCH(V21,$D$9:$D$158,0))="","",INDEX($E$9:$E$158,MATCH(V21,$D$9:$D$158,0))),""))</f>
        <v/>
      </c>
      <c r="Z21" s="14">
        <f>IF(AND(T21&lt;&gt;"",W21&lt;&gt;"",E21&lt;&gt;""),IF(W21=E21,1,0),0)</f>
        <v>0</v>
      </c>
      <c r="AA21" s="14">
        <f>IF(AND(U21&lt;&gt;"",X21&lt;&gt;"",E21&lt;&gt;""),IF(X21=E21,1,0),0)</f>
        <v>0</v>
      </c>
      <c r="AB21" s="14">
        <f>IF(AND(V21&lt;&gt;"",Y21&lt;&gt;"",E21&lt;&gt;""),IF(Y21=E21,1,0),0)</f>
        <v>0</v>
      </c>
      <c r="AC21" s="14" t="str">
        <f>IF(OR(T21="",E21=""),"",T21&amp;"|"&amp;E21)</f>
        <v/>
      </c>
      <c r="AD21" s="14" t="str">
        <f>IF(OR(U21="",E21=""),"",U21&amp;"|"&amp;E21)</f>
        <v/>
      </c>
      <c r="AE21" s="14" t="str">
        <f>IF(OR(V21="",E21=""),"",V21&amp;"|"&amp;E21)</f>
        <v/>
      </c>
      <c r="AF21" s="14">
        <f>IF(OR(D21="",E21=""),0,COUNTIF($AC$9:$AC$158,D21&amp;"|"&amp;E21)+COUNTIF($AD$9:$AD$158,D21&amp;"|"&amp;E21)+COUNTIF($AE$9:$AE$158,D21&amp;"|"&amp;E21))</f>
        <v>0</v>
      </c>
      <c r="AG21" s="14">
        <f>Z21+AA21+AB21+AF21</f>
        <v>0</v>
      </c>
      <c r="AH21" s="14" t="str">
        <f>IF(OR(D21="",E21=""),"",IFERROR(MATCH(D21&amp;"|"&amp;E21,$AC$9:$AC$158,0),""))</f>
        <v/>
      </c>
      <c r="AI21" s="14" t="str">
        <f>IF(OR(D21="",E21=""),"",IFERROR(MATCH(D21&amp;"|"&amp;E21,$AD$9:$AD$158,0),""))</f>
        <v/>
      </c>
      <c r="AJ21" s="14" t="str">
        <f>IF(OR(D21="",E21=""),"",IFERROR(MATCH(D21&amp;"|"&amp;E21,$AE$9:$AE$158,0),""))</f>
        <v/>
      </c>
      <c r="AK21" s="14" t="str">
        <f>IF(Z21=1,IFERROR(INDEX($F$9:$F$158,MATCH(T21,$D$9:$D$158,0)),"")&amp;"、","")&amp;IF(AA21=1,IFERROR(INDEX($F$9:$F$158,MATCH(U21,$D$9:$D$158,0)),"")&amp;"、","")&amp;IF(AB21=1,IFERROR(INDEX($F$9:$F$158,MATCH(V21,$D$9:$D$158,0)),"")&amp;"、","")</f>
        <v/>
      </c>
      <c r="AL21" s="14" t="str">
        <f>IF(OR(AH21=""),"",IF(OR(INDEX($D$9:$D$158,AH21)=T21,INDEX($D$9:$D$158,AH21)=U21,INDEX($D$9:$D$158,AH21)=V21),"",INDEX($F$9:$F$158,AH21)&amp;"、"))&amp;IF(OR(AI21="",AI21=AH21),"",IF(OR(INDEX($D$9:$D$158,AI21)=T21,INDEX($D$9:$D$158,AI21)=U21,INDEX($D$9:$D$158,AI21)=V21),"",INDEX($F$9:$F$158,AI21)&amp;"、"))&amp;IF(OR(AJ21="",AJ21=AH21,AJ21=AI21),"",IF(OR(INDEX($D$9:$D$158,AJ21)=T21,INDEX($D$9:$D$158,AJ21)=U21,INDEX($D$9:$D$158,AJ21)=V21),"",INDEX($F$9:$F$158,AJ21)&amp;"、"))</f>
        <v/>
      </c>
      <c r="AM21" s="14" t="str">
        <f>IF(T21="","",IFERROR(INDEX('①名簿入力'!$C$4:$C$153,MATCH(T21,'①名簿入力'!$A$4:$A$153,0)),"?")&amp;IF(W21="","","("&amp;W21&amp;"組)"))</f>
        <v/>
      </c>
      <c r="AN21" s="14" t="str">
        <f>IF(U21="","",IFERROR(INDEX('①名簿入力'!$C$4:$C$153,MATCH(U21,'①名簿入力'!$A$4:$A$153,0)),"?")&amp;IF(X21="","","("&amp;X21&amp;"組)"))</f>
        <v/>
      </c>
      <c r="AO21" s="14" t="str">
        <f>IF(V21="","",IFERROR(INDEX('①名簿入力'!$C$4:$C$153,MATCH(V21,'①名簿入力'!$A$4:$A$153,0)),"?")&amp;IF(Y21="","","("&amp;Y21&amp;"組)"))</f>
        <v/>
      </c>
      <c r="AP21" s="14">
        <f>IF(G21="男",1,IF(G21="女",2,3))</f>
        <v>1</v>
      </c>
      <c r="AQ21" s="14">
        <f>IF(OR(S21="",E21=""),"",IFERROR(IF('③クラス一覧'!$AD$6="番号順",0,AP21*1000000000)+D21,""))</f>
        <v>1000002113</v>
      </c>
      <c r="AR21" s="14">
        <f>IF(AQ21="","",COUNTIFS($E$9:$E$158,E21,$AQ$9:$AQ$158,"&lt;"&amp;AQ21)+1)</f>
        <v>3</v>
      </c>
      <c r="AS21" s="14" t="str">
        <f>IF(AR21="","",E21&amp;"-"&amp;AR21)</f>
        <v>3-3</v>
      </c>
      <c r="AT21" s="14">
        <f>IF(S21="","",IF(INDEX('①名簿入力'!$F$4:$F$153,S21)="","",INDEX('①名簿入力'!$F$4:$F$153,S21)))</f>
        <v>54</v>
      </c>
      <c r="AU21" s="14">
        <f>IF(S21="","",IF(INDEX('①名簿入力'!$G$4:$G$153,S21)="","",INDEX('①名簿入力'!$G$4:$G$153,S21)))</f>
        <v>47</v>
      </c>
      <c r="AV21" s="14">
        <f>IF(S21="","",IF(INDEX('①名簿入力'!$H$4:$H$153,S21)="","",INDEX('①名簿入力'!$H$4:$H$153,S21)))</f>
        <v>47</v>
      </c>
      <c r="AW21" s="14">
        <f>IF(S21="","",IF(INDEX('①名簿入力'!$I$4:$I$153,S21)="","",INDEX('①名簿入力'!$I$4:$I$153,S21)))</f>
        <v>38</v>
      </c>
      <c r="AX21" s="14">
        <f>IF(S21="","",IF(INDEX('①名簿入力'!$J$4:$J$153,S21)="","",INDEX('①名簿入力'!$J$4:$J$153,S21)))</f>
        <v>46</v>
      </c>
    </row>
    <row r="22">
      <c r="A22" s="23">
        <f>IF('①名簿入力'!A17="","",'①名簿入力'!A17)</f>
        <v>2114</v>
      </c>
      <c r="B22" s="23">
        <f>IF(A22="","",'①名簿入力'!U17)</f>
        <v>3</v>
      </c>
      <c r="D22" s="8" t="n">
        <v>2114</v>
      </c>
      <c r="E22" s="24" t="n">
        <v>3</v>
      </c>
      <c r="F22" s="25" t="str">
        <f>IF(D22="","",IF(S22="","（名簿にない番号）",INDEX('①名簿入力'!$C$4:$C$153,S22)&amp;""))</f>
        <v>酒井　芽依</v>
      </c>
      <c r="G22" s="13" t="str">
        <f>IF(S22="","",INDEX('①名簿入力'!$E$4:$E$153,S22)&amp;"")</f>
        <v>女</v>
      </c>
      <c r="H22" s="13">
        <f>IF(S22="","",IF(INDEX('①名簿入力'!$B$4:$B$153,S22)="","",INDEX('①名簿入力'!$B$4:$B$153,S22)))</f>
        <v>1</v>
      </c>
      <c r="I22" s="10">
        <f>IF(S22="","",IF(INDEX('①名簿入力'!$K$4:$K$153,S22)="","",INDEX('①名簿入力'!$K$4:$K$153,S22)))</f>
        <v>56.8</v>
      </c>
      <c r="J22" s="10">
        <f>IF(S22="","",IF(INDEX('①名簿入力'!$L$4:$L$153,S22)="","",INDEX('①名簿入力'!$L$4:$L$153,S22)))</f>
        <v>8.7</v>
      </c>
      <c r="K22" s="13" t="str">
        <f>IF(S22="","",IF(INDEX('①名簿入力'!$Y$4:$Y$153,S22)=1,"〇",""))</f>
        <v/>
      </c>
      <c r="L22" s="13" t="str">
        <f>IF(S22="","",IF(INDEX('①名簿入力'!$Z$4:$Z$153,S22)=1,"〇",""))</f>
        <v/>
      </c>
      <c r="M22" s="13" t="str">
        <f>IF(S22="","",IF(INDEX('①名簿入力'!$AA$4:$AA$153,S22)=1,"〇",""))</f>
        <v/>
      </c>
      <c r="N22" s="13" t="str">
        <f>IF(S22="","",IF(INDEX('①名簿入力'!$AB$4:$AB$153,S22)=1,"〇",""))</f>
        <v/>
      </c>
      <c r="O22" s="25" t="str">
        <f>AM22&amp;IF(AND(AM22&lt;&gt;"",AN22&lt;&gt;""),"、","")&amp;AN22&amp;IF(AND(AM22&amp;AN22&lt;&gt;"",AO22&lt;&gt;""),"、","")&amp;AO22</f>
        <v>加藤　航(1組)、三浦　美桜(2組)</v>
      </c>
      <c r="P22" s="25" t="str">
        <f>IF(AG22=0,"",IF(AK22&amp;AL22="","⚠",LEFT(AK22&amp;AL22,LEN(AK22&amp;AL22)-1)))</f>
        <v/>
      </c>
      <c r="Q22" s="25" t="str">
        <f>IF(S22="","",INDEX('①名簿入力'!$T$4:$T$153,S22)&amp;"")</f>
        <v/>
      </c>
      <c r="S22" s="14">
        <f>IF(D22="","",IFERROR(MATCH(D22,'①名簿入力'!$A$4:$A$153,0),""))</f>
        <v>14</v>
      </c>
      <c r="T22" s="14">
        <f>IF(S22="","",IF(INDEX('①名簿入力'!$AG$4:$AG$153,S22)=D22,"",INDEX('①名簿入力'!$AG$4:$AG$153,S22)))</f>
        <v>2112</v>
      </c>
      <c r="U22" s="14">
        <f>IF(S22="","",IF(INDEX('①名簿入力'!$AH$4:$AH$153,S22)=D22,"",INDEX('①名簿入力'!$AH$4:$AH$153,S22)))</f>
        <v>2126</v>
      </c>
      <c r="V22" s="14" t="str">
        <f>IF(S22="","",IF(INDEX('①名簿入力'!$AI$4:$AI$153,S22)=D22,"",INDEX('①名簿入力'!$AI$4:$AI$153,S22)))</f>
        <v/>
      </c>
      <c r="W22" s="14">
        <f>IF(T22="","",IFERROR(IF(INDEX($E$9:$E$158,MATCH(T22,$D$9:$D$158,0))="","",INDEX($E$9:$E$158,MATCH(T22,$D$9:$D$158,0))),""))</f>
        <v>1</v>
      </c>
      <c r="X22" s="14">
        <f>IF(U22="","",IFERROR(IF(INDEX($E$9:$E$158,MATCH(U22,$D$9:$D$158,0))="","",INDEX($E$9:$E$158,MATCH(U22,$D$9:$D$158,0))),""))</f>
        <v>2</v>
      </c>
      <c r="Y22" s="14" t="str">
        <f>IF(V22="","",IFERROR(IF(INDEX($E$9:$E$158,MATCH(V22,$D$9:$D$158,0))="","",INDEX($E$9:$E$158,MATCH(V22,$D$9:$D$158,0))),""))</f>
        <v/>
      </c>
      <c r="Z22" s="14">
        <f>IF(AND(T22&lt;&gt;"",W22&lt;&gt;"",E22&lt;&gt;""),IF(W22=E22,1,0),0)</f>
        <v>0</v>
      </c>
      <c r="AA22" s="14">
        <f>IF(AND(U22&lt;&gt;"",X22&lt;&gt;"",E22&lt;&gt;""),IF(X22=E22,1,0),0)</f>
        <v>0</v>
      </c>
      <c r="AB22" s="14">
        <f>IF(AND(V22&lt;&gt;"",Y22&lt;&gt;"",E22&lt;&gt;""),IF(Y22=E22,1,0),0)</f>
        <v>0</v>
      </c>
      <c r="AC22" s="14" t="str">
        <f>IF(OR(T22="",E22=""),"",T22&amp;"|"&amp;E22)</f>
        <v>2112|3</v>
      </c>
      <c r="AD22" s="14" t="str">
        <f>IF(OR(U22="",E22=""),"",U22&amp;"|"&amp;E22)</f>
        <v>2126|3</v>
      </c>
      <c r="AE22" s="14" t="str">
        <f>IF(OR(V22="",E22=""),"",V22&amp;"|"&amp;E22)</f>
        <v/>
      </c>
      <c r="AF22" s="14">
        <f>IF(OR(D22="",E22=""),0,COUNTIF($AC$9:$AC$158,D22&amp;"|"&amp;E22)+COUNTIF($AD$9:$AD$158,D22&amp;"|"&amp;E22)+COUNTIF($AE$9:$AE$158,D22&amp;"|"&amp;E22))</f>
        <v>0</v>
      </c>
      <c r="AG22" s="14">
        <f>Z22+AA22+AB22+AF22</f>
        <v>0</v>
      </c>
      <c r="AH22" s="14" t="str">
        <f>IF(OR(D22="",E22=""),"",IFERROR(MATCH(D22&amp;"|"&amp;E22,$AC$9:$AC$158,0),""))</f>
        <v/>
      </c>
      <c r="AI22" s="14" t="str">
        <f>IF(OR(D22="",E22=""),"",IFERROR(MATCH(D22&amp;"|"&amp;E22,$AD$9:$AD$158,0),""))</f>
        <v/>
      </c>
      <c r="AJ22" s="14" t="str">
        <f>IF(OR(D22="",E22=""),"",IFERROR(MATCH(D22&amp;"|"&amp;E22,$AE$9:$AE$158,0),""))</f>
        <v/>
      </c>
      <c r="AK22" s="14" t="str">
        <f>IF(Z22=1,IFERROR(INDEX($F$9:$F$158,MATCH(T22,$D$9:$D$158,0)),"")&amp;"、","")&amp;IF(AA22=1,IFERROR(INDEX($F$9:$F$158,MATCH(U22,$D$9:$D$158,0)),"")&amp;"、","")&amp;IF(AB22=1,IFERROR(INDEX($F$9:$F$158,MATCH(V22,$D$9:$D$158,0)),"")&amp;"、","")</f>
        <v/>
      </c>
      <c r="AL22" s="14" t="str">
        <f>IF(OR(AH22=""),"",IF(OR(INDEX($D$9:$D$158,AH22)=T22,INDEX($D$9:$D$158,AH22)=U22,INDEX($D$9:$D$158,AH22)=V22),"",INDEX($F$9:$F$158,AH22)&amp;"、"))&amp;IF(OR(AI22="",AI22=AH22),"",IF(OR(INDEX($D$9:$D$158,AI22)=T22,INDEX($D$9:$D$158,AI22)=U22,INDEX($D$9:$D$158,AI22)=V22),"",INDEX($F$9:$F$158,AI22)&amp;"、"))&amp;IF(OR(AJ22="",AJ22=AH22,AJ22=AI22),"",IF(OR(INDEX($D$9:$D$158,AJ22)=T22,INDEX($D$9:$D$158,AJ22)=U22,INDEX($D$9:$D$158,AJ22)=V22),"",INDEX($F$9:$F$158,AJ22)&amp;"、"))</f>
        <v/>
      </c>
      <c r="AM22" s="14" t="str">
        <f>IF(T22="","",IFERROR(INDEX('①名簿入力'!$C$4:$C$153,MATCH(T22,'①名簿入力'!$A$4:$A$153,0)),"?")&amp;IF(W22="","","("&amp;W22&amp;"組)"))</f>
        <v>加藤　航(1組)</v>
      </c>
      <c r="AN22" s="14" t="str">
        <f>IF(U22="","",IFERROR(INDEX('①名簿入力'!$C$4:$C$153,MATCH(U22,'①名簿入力'!$A$4:$A$153,0)),"?")&amp;IF(X22="","","("&amp;X22&amp;"組)"))</f>
        <v>三浦　美桜(2組)</v>
      </c>
      <c r="AO22" s="14" t="str">
        <f>IF(V22="","",IFERROR(INDEX('①名簿入力'!$C$4:$C$153,MATCH(V22,'①名簿入力'!$A$4:$A$153,0)),"?")&amp;IF(Y22="","","("&amp;Y22&amp;"組)"))</f>
        <v/>
      </c>
      <c r="AP22" s="14">
        <f>IF(G22="男",1,IF(G22="女",2,3))</f>
        <v>2</v>
      </c>
      <c r="AQ22" s="14">
        <f>IF(OR(S22="",E22=""),"",IFERROR(IF('③クラス一覧'!$AD$6="番号順",0,AP22*1000000000)+D22,""))</f>
        <v>2000002114</v>
      </c>
      <c r="AR22" s="14">
        <f>IF(AQ22="","",COUNTIFS($E$9:$E$158,E22,$AQ$9:$AQ$158,"&lt;"&amp;AQ22)+1)</f>
        <v>21</v>
      </c>
      <c r="AS22" s="14" t="str">
        <f>IF(AR22="","",E22&amp;"-"&amp;AR22)</f>
        <v>3-21</v>
      </c>
      <c r="AT22" s="14">
        <f>IF(S22="","",IF(INDEX('①名簿入力'!$F$4:$F$153,S22)="","",INDEX('①名簿入力'!$F$4:$F$153,S22)))</f>
        <v>58</v>
      </c>
      <c r="AU22" s="14">
        <f>IF(S22="","",IF(INDEX('①名簿入力'!$G$4:$G$153,S22)="","",INDEX('①名簿入力'!$G$4:$G$153,S22)))</f>
        <v>58</v>
      </c>
      <c r="AV22" s="14">
        <f>IF(S22="","",IF(INDEX('①名簿入力'!$H$4:$H$153,S22)="","",INDEX('①名簿入力'!$H$4:$H$153,S22)))</f>
        <v>46</v>
      </c>
      <c r="AW22" s="14">
        <f>IF(S22="","",IF(INDEX('①名簿入力'!$I$4:$I$153,S22)="","",INDEX('①名簿入力'!$I$4:$I$153,S22)))</f>
        <v>69</v>
      </c>
      <c r="AX22" s="14">
        <f>IF(S22="","",IF(INDEX('①名簿入力'!$J$4:$J$153,S22)="","",INDEX('①名簿入力'!$J$4:$J$153,S22)))</f>
        <v>53</v>
      </c>
    </row>
    <row r="23">
      <c r="A23" s="23">
        <f>IF('①名簿入力'!A18="","",'①名簿入力'!A18)</f>
        <v>2115</v>
      </c>
      <c r="B23" s="23">
        <f>IF(A23="","",'①名簿入力'!U18)</f>
        <v>3</v>
      </c>
      <c r="D23" s="8" t="n">
        <v>2115</v>
      </c>
      <c r="E23" s="24" t="n">
        <v>3</v>
      </c>
      <c r="F23" s="25" t="str">
        <f>IF(D23="","",IF(S23="","（名簿にない番号）",INDEX('①名簿入力'!$C$4:$C$153,S23)&amp;""))</f>
        <v>佐々木　理沙</v>
      </c>
      <c r="G23" s="13" t="str">
        <f>IF(S23="","",INDEX('①名簿入力'!$E$4:$E$153,S23)&amp;"")</f>
        <v>女</v>
      </c>
      <c r="H23" s="13">
        <f>IF(S23="","",IF(INDEX('①名簿入力'!$B$4:$B$153,S23)="","",INDEX('①名簿入力'!$B$4:$B$153,S23)))</f>
        <v>1</v>
      </c>
      <c r="I23" s="10">
        <f>IF(S23="","",IF(INDEX('①名簿入力'!$K$4:$K$153,S23)="","",INDEX('①名簿入力'!$K$4:$K$153,S23)))</f>
        <v>66.2</v>
      </c>
      <c r="J23" s="10">
        <f>IF(S23="","",IF(INDEX('①名簿入力'!$L$4:$L$153,S23)="","",INDEX('①名簿入力'!$L$4:$L$153,S23)))</f>
        <v>9.4</v>
      </c>
      <c r="K23" s="13" t="str">
        <f>IF(S23="","",IF(INDEX('①名簿入力'!$Y$4:$Y$153,S23)=1,"〇",""))</f>
        <v/>
      </c>
      <c r="L23" s="13" t="str">
        <f>IF(S23="","",IF(INDEX('①名簿入力'!$Z$4:$Z$153,S23)=1,"〇",""))</f>
        <v/>
      </c>
      <c r="M23" s="13" t="str">
        <f>IF(S23="","",IF(INDEX('①名簿入力'!$AA$4:$AA$153,S23)=1,"〇",""))</f>
        <v/>
      </c>
      <c r="N23" s="13" t="str">
        <f>IF(S23="","",IF(INDEX('①名簿入力'!$AB$4:$AB$153,S23)=1,"〇",""))</f>
        <v/>
      </c>
      <c r="O23" s="25" t="str">
        <f>AM23&amp;IF(AND(AM23&lt;&gt;"",AN23&lt;&gt;""),"、","")&amp;AN23&amp;IF(AND(AM23&amp;AN23&lt;&gt;"",AO23&lt;&gt;""),"、","")&amp;AO23</f>
        <v/>
      </c>
      <c r="P23" s="25" t="str">
        <f>IF(AG23=0,"",IF(AK23&amp;AL23="","⚠",LEFT(AK23&amp;AL23,LEN(AK23&amp;AL23)-1)))</f>
        <v/>
      </c>
      <c r="Q23" s="25" t="str">
        <f>IF(S23="","",INDEX('①名簿入力'!$T$4:$T$153,S23)&amp;"")</f>
        <v/>
      </c>
      <c r="S23" s="14">
        <f>IF(D23="","",IFERROR(MATCH(D23,'①名簿入力'!$A$4:$A$153,0),""))</f>
        <v>15</v>
      </c>
      <c r="T23" s="14" t="str">
        <f>IF(S23="","",IF(INDEX('①名簿入力'!$AG$4:$AG$153,S23)=D23,"",INDEX('①名簿入力'!$AG$4:$AG$153,S23)))</f>
        <v/>
      </c>
      <c r="U23" s="14" t="str">
        <f>IF(S23="","",IF(INDEX('①名簿入力'!$AH$4:$AH$153,S23)=D23,"",INDEX('①名簿入力'!$AH$4:$AH$153,S23)))</f>
        <v/>
      </c>
      <c r="V23" s="14" t="str">
        <f>IF(S23="","",IF(INDEX('①名簿入力'!$AI$4:$AI$153,S23)=D23,"",INDEX('①名簿入力'!$AI$4:$AI$153,S23)))</f>
        <v/>
      </c>
      <c r="W23" s="14" t="str">
        <f>IF(T23="","",IFERROR(IF(INDEX($E$9:$E$158,MATCH(T23,$D$9:$D$158,0))="","",INDEX($E$9:$E$158,MATCH(T23,$D$9:$D$158,0))),""))</f>
        <v/>
      </c>
      <c r="X23" s="14" t="str">
        <f>IF(U23="","",IFERROR(IF(INDEX($E$9:$E$158,MATCH(U23,$D$9:$D$158,0))="","",INDEX($E$9:$E$158,MATCH(U23,$D$9:$D$158,0))),""))</f>
        <v/>
      </c>
      <c r="Y23" s="14" t="str">
        <f>IF(V23="","",IFERROR(IF(INDEX($E$9:$E$158,MATCH(V23,$D$9:$D$158,0))="","",INDEX($E$9:$E$158,MATCH(V23,$D$9:$D$158,0))),""))</f>
        <v/>
      </c>
      <c r="Z23" s="14">
        <f>IF(AND(T23&lt;&gt;"",W23&lt;&gt;"",E23&lt;&gt;""),IF(W23=E23,1,0),0)</f>
        <v>0</v>
      </c>
      <c r="AA23" s="14">
        <f>IF(AND(U23&lt;&gt;"",X23&lt;&gt;"",E23&lt;&gt;""),IF(X23=E23,1,0),0)</f>
        <v>0</v>
      </c>
      <c r="AB23" s="14">
        <f>IF(AND(V23&lt;&gt;"",Y23&lt;&gt;"",E23&lt;&gt;""),IF(Y23=E23,1,0),0)</f>
        <v>0</v>
      </c>
      <c r="AC23" s="14" t="str">
        <f>IF(OR(T23="",E23=""),"",T23&amp;"|"&amp;E23)</f>
        <v/>
      </c>
      <c r="AD23" s="14" t="str">
        <f>IF(OR(U23="",E23=""),"",U23&amp;"|"&amp;E23)</f>
        <v/>
      </c>
      <c r="AE23" s="14" t="str">
        <f>IF(OR(V23="",E23=""),"",V23&amp;"|"&amp;E23)</f>
        <v/>
      </c>
      <c r="AF23" s="14">
        <f>IF(OR(D23="",E23=""),0,COUNTIF($AC$9:$AC$158,D23&amp;"|"&amp;E23)+COUNTIF($AD$9:$AD$158,D23&amp;"|"&amp;E23)+COUNTIF($AE$9:$AE$158,D23&amp;"|"&amp;E23))</f>
        <v>0</v>
      </c>
      <c r="AG23" s="14">
        <f>Z23+AA23+AB23+AF23</f>
        <v>0</v>
      </c>
      <c r="AH23" s="14" t="str">
        <f>IF(OR(D23="",E23=""),"",IFERROR(MATCH(D23&amp;"|"&amp;E23,$AC$9:$AC$158,0),""))</f>
        <v/>
      </c>
      <c r="AI23" s="14" t="str">
        <f>IF(OR(D23="",E23=""),"",IFERROR(MATCH(D23&amp;"|"&amp;E23,$AD$9:$AD$158,0),""))</f>
        <v/>
      </c>
      <c r="AJ23" s="14" t="str">
        <f>IF(OR(D23="",E23=""),"",IFERROR(MATCH(D23&amp;"|"&amp;E23,$AE$9:$AE$158,0),""))</f>
        <v/>
      </c>
      <c r="AK23" s="14" t="str">
        <f>IF(Z23=1,IFERROR(INDEX($F$9:$F$158,MATCH(T23,$D$9:$D$158,0)),"")&amp;"、","")&amp;IF(AA23=1,IFERROR(INDEX($F$9:$F$158,MATCH(U23,$D$9:$D$158,0)),"")&amp;"、","")&amp;IF(AB23=1,IFERROR(INDEX($F$9:$F$158,MATCH(V23,$D$9:$D$158,0)),"")&amp;"、","")</f>
        <v/>
      </c>
      <c r="AL23" s="14" t="str">
        <f>IF(OR(AH23=""),"",IF(OR(INDEX($D$9:$D$158,AH23)=T23,INDEX($D$9:$D$158,AH23)=U23,INDEX($D$9:$D$158,AH23)=V23),"",INDEX($F$9:$F$158,AH23)&amp;"、"))&amp;IF(OR(AI23="",AI23=AH23),"",IF(OR(INDEX($D$9:$D$158,AI23)=T23,INDEX($D$9:$D$158,AI23)=U23,INDEX($D$9:$D$158,AI23)=V23),"",INDEX($F$9:$F$158,AI23)&amp;"、"))&amp;IF(OR(AJ23="",AJ23=AH23,AJ23=AI23),"",IF(OR(INDEX($D$9:$D$158,AJ23)=T23,INDEX($D$9:$D$158,AJ23)=U23,INDEX($D$9:$D$158,AJ23)=V23),"",INDEX($F$9:$F$158,AJ23)&amp;"、"))</f>
        <v/>
      </c>
      <c r="AM23" s="14" t="str">
        <f>IF(T23="","",IFERROR(INDEX('①名簿入力'!$C$4:$C$153,MATCH(T23,'①名簿入力'!$A$4:$A$153,0)),"?")&amp;IF(W23="","","("&amp;W23&amp;"組)"))</f>
        <v/>
      </c>
      <c r="AN23" s="14" t="str">
        <f>IF(U23="","",IFERROR(INDEX('①名簿入力'!$C$4:$C$153,MATCH(U23,'①名簿入力'!$A$4:$A$153,0)),"?")&amp;IF(X23="","","("&amp;X23&amp;"組)"))</f>
        <v/>
      </c>
      <c r="AO23" s="14" t="str">
        <f>IF(V23="","",IFERROR(INDEX('①名簿入力'!$C$4:$C$153,MATCH(V23,'①名簿入力'!$A$4:$A$153,0)),"?")&amp;IF(Y23="","","("&amp;Y23&amp;"組)"))</f>
        <v/>
      </c>
      <c r="AP23" s="14">
        <f>IF(G23="男",1,IF(G23="女",2,3))</f>
        <v>2</v>
      </c>
      <c r="AQ23" s="14">
        <f>IF(OR(S23="",E23=""),"",IFERROR(IF('③クラス一覧'!$AD$6="番号順",0,AP23*1000000000)+D23,""))</f>
        <v>2000002115</v>
      </c>
      <c r="AR23" s="14">
        <f>IF(AQ23="","",COUNTIFS($E$9:$E$158,E23,$AQ$9:$AQ$158,"&lt;"&amp;AQ23)+1)</f>
        <v>22</v>
      </c>
      <c r="AS23" s="14" t="str">
        <f>IF(AR23="","",E23&amp;"-"&amp;AR23)</f>
        <v>3-22</v>
      </c>
      <c r="AT23" s="14">
        <f>IF(S23="","",IF(INDEX('①名簿入力'!$F$4:$F$153,S23)="","",INDEX('①名簿入力'!$F$4:$F$153,S23)))</f>
        <v>63</v>
      </c>
      <c r="AU23" s="14">
        <f>IF(S23="","",IF(INDEX('①名簿入力'!$G$4:$G$153,S23)="","",INDEX('①名簿入力'!$G$4:$G$153,S23)))</f>
        <v>71</v>
      </c>
      <c r="AV23" s="14">
        <f>IF(S23="","",IF(INDEX('①名簿入力'!$H$4:$H$153,S23)="","",INDEX('①名簿入力'!$H$4:$H$153,S23)))</f>
        <v>68</v>
      </c>
      <c r="AW23" s="14">
        <f>IF(S23="","",IF(INDEX('①名簿入力'!$I$4:$I$153,S23)="","",INDEX('①名簿入力'!$I$4:$I$153,S23)))</f>
        <v>57</v>
      </c>
      <c r="AX23" s="14">
        <f>IF(S23="","",IF(INDEX('①名簿入力'!$J$4:$J$153,S23)="","",INDEX('①名簿入力'!$J$4:$J$153,S23)))</f>
        <v>72</v>
      </c>
    </row>
    <row r="24">
      <c r="A24" s="23">
        <f>IF('①名簿入力'!A19="","",'①名簿入力'!A19)</f>
        <v>2116</v>
      </c>
      <c r="B24" s="23">
        <f>IF(A24="","",'①名簿入力'!U19)</f>
        <v>2</v>
      </c>
      <c r="D24" s="8" t="n">
        <v>2116</v>
      </c>
      <c r="E24" s="24" t="n">
        <v>2</v>
      </c>
      <c r="F24" s="25" t="str">
        <f>IF(D24="","",IF(S24="","（名簿にない番号）",INDEX('①名簿入力'!$C$4:$C$153,S24)&amp;""))</f>
        <v>柴田　誠</v>
      </c>
      <c r="G24" s="13" t="str">
        <f>IF(S24="","",INDEX('①名簿入力'!$E$4:$E$153,S24)&amp;"")</f>
        <v>男</v>
      </c>
      <c r="H24" s="13">
        <f>IF(S24="","",IF(INDEX('①名簿入力'!$B$4:$B$153,S24)="","",INDEX('①名簿入力'!$B$4:$B$153,S24)))</f>
        <v>1</v>
      </c>
      <c r="I24" s="10">
        <f>IF(S24="","",IF(INDEX('①名簿入力'!$K$4:$K$153,S24)="","",INDEX('①名簿入力'!$K$4:$K$153,S24)))</f>
        <v>47.8</v>
      </c>
      <c r="J24" s="10">
        <f>IF(S24="","",IF(INDEX('①名簿入力'!$L$4:$L$153,S24)="","",INDEX('①名簿入力'!$L$4:$L$153,S24)))</f>
        <v>7.9</v>
      </c>
      <c r="K24" s="13" t="str">
        <f>IF(S24="","",IF(INDEX('①名簿入力'!$Y$4:$Y$153,S24)=1,"〇",""))</f>
        <v/>
      </c>
      <c r="L24" s="13" t="str">
        <f>IF(S24="","",IF(INDEX('①名簿入力'!$Z$4:$Z$153,S24)=1,"〇",""))</f>
        <v/>
      </c>
      <c r="M24" s="13" t="str">
        <f>IF(S24="","",IF(INDEX('①名簿入力'!$AA$4:$AA$153,S24)=1,"〇",""))</f>
        <v/>
      </c>
      <c r="N24" s="13" t="str">
        <f>IF(S24="","",IF(INDEX('①名簿入力'!$AB$4:$AB$153,S24)=1,"〇",""))</f>
        <v/>
      </c>
      <c r="O24" s="25" t="str">
        <f>AM24&amp;IF(AND(AM24&lt;&gt;"",AN24&lt;&gt;""),"、","")&amp;AN24&amp;IF(AND(AM24&amp;AN24&lt;&gt;"",AO24&lt;&gt;""),"、","")&amp;AO24</f>
        <v/>
      </c>
      <c r="P24" s="25" t="str">
        <f>IF(AG24=0,"",IF(AK24&amp;AL24="","⚠",LEFT(AK24&amp;AL24,LEN(AK24&amp;AL24)-1)))</f>
        <v/>
      </c>
      <c r="Q24" s="25" t="str">
        <f>IF(S24="","",INDEX('①名簿入力'!$T$4:$T$153,S24)&amp;"")</f>
        <v/>
      </c>
      <c r="S24" s="14">
        <f>IF(D24="","",IFERROR(MATCH(D24,'①名簿入力'!$A$4:$A$153,0),""))</f>
        <v>16</v>
      </c>
      <c r="T24" s="14" t="str">
        <f>IF(S24="","",IF(INDEX('①名簿入力'!$AG$4:$AG$153,S24)=D24,"",INDEX('①名簿入力'!$AG$4:$AG$153,S24)))</f>
        <v/>
      </c>
      <c r="U24" s="14" t="str">
        <f>IF(S24="","",IF(INDEX('①名簿入力'!$AH$4:$AH$153,S24)=D24,"",INDEX('①名簿入力'!$AH$4:$AH$153,S24)))</f>
        <v/>
      </c>
      <c r="V24" s="14" t="str">
        <f>IF(S24="","",IF(INDEX('①名簿入力'!$AI$4:$AI$153,S24)=D24,"",INDEX('①名簿入力'!$AI$4:$AI$153,S24)))</f>
        <v/>
      </c>
      <c r="W24" s="14" t="str">
        <f>IF(T24="","",IFERROR(IF(INDEX($E$9:$E$158,MATCH(T24,$D$9:$D$158,0))="","",INDEX($E$9:$E$158,MATCH(T24,$D$9:$D$158,0))),""))</f>
        <v/>
      </c>
      <c r="X24" s="14" t="str">
        <f>IF(U24="","",IFERROR(IF(INDEX($E$9:$E$158,MATCH(U24,$D$9:$D$158,0))="","",INDEX($E$9:$E$158,MATCH(U24,$D$9:$D$158,0))),""))</f>
        <v/>
      </c>
      <c r="Y24" s="14" t="str">
        <f>IF(V24="","",IFERROR(IF(INDEX($E$9:$E$158,MATCH(V24,$D$9:$D$158,0))="","",INDEX($E$9:$E$158,MATCH(V24,$D$9:$D$158,0))),""))</f>
        <v/>
      </c>
      <c r="Z24" s="14">
        <f>IF(AND(T24&lt;&gt;"",W24&lt;&gt;"",E24&lt;&gt;""),IF(W24=E24,1,0),0)</f>
        <v>0</v>
      </c>
      <c r="AA24" s="14">
        <f>IF(AND(U24&lt;&gt;"",X24&lt;&gt;"",E24&lt;&gt;""),IF(X24=E24,1,0),0)</f>
        <v>0</v>
      </c>
      <c r="AB24" s="14">
        <f>IF(AND(V24&lt;&gt;"",Y24&lt;&gt;"",E24&lt;&gt;""),IF(Y24=E24,1,0),0)</f>
        <v>0</v>
      </c>
      <c r="AC24" s="14" t="str">
        <f>IF(OR(T24="",E24=""),"",T24&amp;"|"&amp;E24)</f>
        <v/>
      </c>
      <c r="AD24" s="14" t="str">
        <f>IF(OR(U24="",E24=""),"",U24&amp;"|"&amp;E24)</f>
        <v/>
      </c>
      <c r="AE24" s="14" t="str">
        <f>IF(OR(V24="",E24=""),"",V24&amp;"|"&amp;E24)</f>
        <v/>
      </c>
      <c r="AF24" s="14">
        <f>IF(OR(D24="",E24=""),0,COUNTIF($AC$9:$AC$158,D24&amp;"|"&amp;E24)+COUNTIF($AD$9:$AD$158,D24&amp;"|"&amp;E24)+COUNTIF($AE$9:$AE$158,D24&amp;"|"&amp;E24))</f>
        <v>0</v>
      </c>
      <c r="AG24" s="14">
        <f>Z24+AA24+AB24+AF24</f>
        <v>0</v>
      </c>
      <c r="AH24" s="14" t="str">
        <f>IF(OR(D24="",E24=""),"",IFERROR(MATCH(D24&amp;"|"&amp;E24,$AC$9:$AC$158,0),""))</f>
        <v/>
      </c>
      <c r="AI24" s="14" t="str">
        <f>IF(OR(D24="",E24=""),"",IFERROR(MATCH(D24&amp;"|"&amp;E24,$AD$9:$AD$158,0),""))</f>
        <v/>
      </c>
      <c r="AJ24" s="14" t="str">
        <f>IF(OR(D24="",E24=""),"",IFERROR(MATCH(D24&amp;"|"&amp;E24,$AE$9:$AE$158,0),""))</f>
        <v/>
      </c>
      <c r="AK24" s="14" t="str">
        <f>IF(Z24=1,IFERROR(INDEX($F$9:$F$158,MATCH(T24,$D$9:$D$158,0)),"")&amp;"、","")&amp;IF(AA24=1,IFERROR(INDEX($F$9:$F$158,MATCH(U24,$D$9:$D$158,0)),"")&amp;"、","")&amp;IF(AB24=1,IFERROR(INDEX($F$9:$F$158,MATCH(V24,$D$9:$D$158,0)),"")&amp;"、","")</f>
        <v/>
      </c>
      <c r="AL24" s="14" t="str">
        <f>IF(OR(AH24=""),"",IF(OR(INDEX($D$9:$D$158,AH24)=T24,INDEX($D$9:$D$158,AH24)=U24,INDEX($D$9:$D$158,AH24)=V24),"",INDEX($F$9:$F$158,AH24)&amp;"、"))&amp;IF(OR(AI24="",AI24=AH24),"",IF(OR(INDEX($D$9:$D$158,AI24)=T24,INDEX($D$9:$D$158,AI24)=U24,INDEX($D$9:$D$158,AI24)=V24),"",INDEX($F$9:$F$158,AI24)&amp;"、"))&amp;IF(OR(AJ24="",AJ24=AH24,AJ24=AI24),"",IF(OR(INDEX($D$9:$D$158,AJ24)=T24,INDEX($D$9:$D$158,AJ24)=U24,INDEX($D$9:$D$158,AJ24)=V24),"",INDEX($F$9:$F$158,AJ24)&amp;"、"))</f>
        <v/>
      </c>
      <c r="AM24" s="14" t="str">
        <f>IF(T24="","",IFERROR(INDEX('①名簿入力'!$C$4:$C$153,MATCH(T24,'①名簿入力'!$A$4:$A$153,0)),"?")&amp;IF(W24="","","("&amp;W24&amp;"組)"))</f>
        <v/>
      </c>
      <c r="AN24" s="14" t="str">
        <f>IF(U24="","",IFERROR(INDEX('①名簿入力'!$C$4:$C$153,MATCH(U24,'①名簿入力'!$A$4:$A$153,0)),"?")&amp;IF(X24="","","("&amp;X24&amp;"組)"))</f>
        <v/>
      </c>
      <c r="AO24" s="14" t="str">
        <f>IF(V24="","",IFERROR(INDEX('①名簿入力'!$C$4:$C$153,MATCH(V24,'①名簿入力'!$A$4:$A$153,0)),"?")&amp;IF(Y24="","","("&amp;Y24&amp;"組)"))</f>
        <v/>
      </c>
      <c r="AP24" s="14">
        <f>IF(G24="男",1,IF(G24="女",2,3))</f>
        <v>1</v>
      </c>
      <c r="AQ24" s="14">
        <f>IF(OR(S24="",E24=""),"",IFERROR(IF('③クラス一覧'!$AD$6="番号順",0,AP24*1000000000)+D24,""))</f>
        <v>1000002116</v>
      </c>
      <c r="AR24" s="14">
        <f>IF(AQ24="","",COUNTIFS($E$9:$E$158,E24,$AQ$9:$AQ$158,"&lt;"&amp;AQ24)+1)</f>
        <v>2</v>
      </c>
      <c r="AS24" s="14" t="str">
        <f>IF(AR24="","",E24&amp;"-"&amp;AR24)</f>
        <v>2-2</v>
      </c>
      <c r="AT24" s="14">
        <f>IF(S24="","",IF(INDEX('①名簿入力'!$F$4:$F$153,S24)="","",INDEX('①名簿入力'!$F$4:$F$153,S24)))</f>
        <v>36</v>
      </c>
      <c r="AU24" s="14">
        <f>IF(S24="","",IF(INDEX('①名簿入力'!$G$4:$G$153,S24)="","",INDEX('①名簿入力'!$G$4:$G$153,S24)))</f>
        <v>46</v>
      </c>
      <c r="AV24" s="14">
        <f>IF(S24="","",IF(INDEX('①名簿入力'!$H$4:$H$153,S24)="","",INDEX('①名簿入力'!$H$4:$H$153,S24)))</f>
        <v>42</v>
      </c>
      <c r="AW24" s="14">
        <f>IF(S24="","",IF(INDEX('①名簿入力'!$I$4:$I$153,S24)="","",INDEX('①名簿入力'!$I$4:$I$153,S24)))</f>
        <v>53</v>
      </c>
      <c r="AX24" s="14">
        <f>IF(S24="","",IF(INDEX('①名簿入力'!$J$4:$J$153,S24)="","",INDEX('①名簿入力'!$J$4:$J$153,S24)))</f>
        <v>62</v>
      </c>
    </row>
    <row r="25">
      <c r="A25" s="23">
        <f>IF('①名簿入力'!A20="","",'①名簿入力'!A20)</f>
        <v>2117</v>
      </c>
      <c r="B25" s="23">
        <f>IF(A25="","",'①名簿入力'!U20)</f>
        <v>1</v>
      </c>
      <c r="D25" s="8" t="n">
        <v>2117</v>
      </c>
      <c r="E25" s="24" t="n">
        <v>1</v>
      </c>
      <c r="F25" s="25" t="str">
        <f>IF(D25="","",IF(S25="","（名簿にない番号）",INDEX('①名簿入力'!$C$4:$C$153,S25)&amp;""))</f>
        <v>鈴木　誠</v>
      </c>
      <c r="G25" s="13" t="str">
        <f>IF(S25="","",INDEX('①名簿入力'!$E$4:$E$153,S25)&amp;"")</f>
        <v>男</v>
      </c>
      <c r="H25" s="13">
        <f>IF(S25="","",IF(INDEX('①名簿入力'!$B$4:$B$153,S25)="","",INDEX('①名簿入力'!$B$4:$B$153,S25)))</f>
        <v>1</v>
      </c>
      <c r="I25" s="10">
        <f>IF(S25="","",IF(INDEX('①名簿入力'!$K$4:$K$153,S25)="","",INDEX('①名簿入力'!$K$4:$K$153,S25)))</f>
        <v>75.4</v>
      </c>
      <c r="J25" s="10">
        <f>IF(S25="","",IF(INDEX('①名簿入力'!$L$4:$L$153,S25)="","",INDEX('①名簿入力'!$L$4:$L$153,S25)))</f>
        <v>7.4</v>
      </c>
      <c r="K25" s="13" t="str">
        <f>IF(S25="","",IF(INDEX('①名簿入力'!$Y$4:$Y$153,S25)=1,"〇",""))</f>
        <v/>
      </c>
      <c r="L25" s="13" t="str">
        <f>IF(S25="","",IF(INDEX('①名簿入力'!$Z$4:$Z$153,S25)=1,"〇",""))</f>
        <v/>
      </c>
      <c r="M25" s="13" t="str">
        <f>IF(S25="","",IF(INDEX('①名簿入力'!$AA$4:$AA$153,S25)=1,"〇",""))</f>
        <v/>
      </c>
      <c r="N25" s="13" t="str">
        <f>IF(S25="","",IF(INDEX('①名簿入力'!$AB$4:$AB$153,S25)=1,"〇",""))</f>
        <v>〇</v>
      </c>
      <c r="O25" s="25" t="str">
        <f>AM25&amp;IF(AND(AM25&lt;&gt;"",AN25&lt;&gt;""),"、","")&amp;AN25&amp;IF(AND(AM25&amp;AN25&lt;&gt;"",AO25&lt;&gt;""),"、","")&amp;AO25</f>
        <v/>
      </c>
      <c r="P25" s="25" t="str">
        <f>IF(AG25=0,"",IF(AK25&amp;AL25="","⚠",LEFT(AK25&amp;AL25,LEN(AK25&amp;AL25)-1)))</f>
        <v/>
      </c>
      <c r="Q25" s="25" t="str">
        <f>IF(S25="","",INDEX('①名簿入力'!$T$4:$T$153,S25)&amp;"")</f>
        <v/>
      </c>
      <c r="S25" s="14">
        <f>IF(D25="","",IFERROR(MATCH(D25,'①名簿入力'!$A$4:$A$153,0),""))</f>
        <v>17</v>
      </c>
      <c r="T25" s="14" t="str">
        <f>IF(S25="","",IF(INDEX('①名簿入力'!$AG$4:$AG$153,S25)=D25,"",INDEX('①名簿入力'!$AG$4:$AG$153,S25)))</f>
        <v/>
      </c>
      <c r="U25" s="14" t="str">
        <f>IF(S25="","",IF(INDEX('①名簿入力'!$AH$4:$AH$153,S25)=D25,"",INDEX('①名簿入力'!$AH$4:$AH$153,S25)))</f>
        <v/>
      </c>
      <c r="V25" s="14" t="str">
        <f>IF(S25="","",IF(INDEX('①名簿入力'!$AI$4:$AI$153,S25)=D25,"",INDEX('①名簿入力'!$AI$4:$AI$153,S25)))</f>
        <v/>
      </c>
      <c r="W25" s="14" t="str">
        <f>IF(T25="","",IFERROR(IF(INDEX($E$9:$E$158,MATCH(T25,$D$9:$D$158,0))="","",INDEX($E$9:$E$158,MATCH(T25,$D$9:$D$158,0))),""))</f>
        <v/>
      </c>
      <c r="X25" s="14" t="str">
        <f>IF(U25="","",IFERROR(IF(INDEX($E$9:$E$158,MATCH(U25,$D$9:$D$158,0))="","",INDEX($E$9:$E$158,MATCH(U25,$D$9:$D$158,0))),""))</f>
        <v/>
      </c>
      <c r="Y25" s="14" t="str">
        <f>IF(V25="","",IFERROR(IF(INDEX($E$9:$E$158,MATCH(V25,$D$9:$D$158,0))="","",INDEX($E$9:$E$158,MATCH(V25,$D$9:$D$158,0))),""))</f>
        <v/>
      </c>
      <c r="Z25" s="14">
        <f>IF(AND(T25&lt;&gt;"",W25&lt;&gt;"",E25&lt;&gt;""),IF(W25=E25,1,0),0)</f>
        <v>0</v>
      </c>
      <c r="AA25" s="14">
        <f>IF(AND(U25&lt;&gt;"",X25&lt;&gt;"",E25&lt;&gt;""),IF(X25=E25,1,0),0)</f>
        <v>0</v>
      </c>
      <c r="AB25" s="14">
        <f>IF(AND(V25&lt;&gt;"",Y25&lt;&gt;"",E25&lt;&gt;""),IF(Y25=E25,1,0),0)</f>
        <v>0</v>
      </c>
      <c r="AC25" s="14" t="str">
        <f>IF(OR(T25="",E25=""),"",T25&amp;"|"&amp;E25)</f>
        <v/>
      </c>
      <c r="AD25" s="14" t="str">
        <f>IF(OR(U25="",E25=""),"",U25&amp;"|"&amp;E25)</f>
        <v/>
      </c>
      <c r="AE25" s="14" t="str">
        <f>IF(OR(V25="",E25=""),"",V25&amp;"|"&amp;E25)</f>
        <v/>
      </c>
      <c r="AF25" s="14">
        <f>IF(OR(D25="",E25=""),0,COUNTIF($AC$9:$AC$158,D25&amp;"|"&amp;E25)+COUNTIF($AD$9:$AD$158,D25&amp;"|"&amp;E25)+COUNTIF($AE$9:$AE$158,D25&amp;"|"&amp;E25))</f>
        <v>0</v>
      </c>
      <c r="AG25" s="14">
        <f>Z25+AA25+AB25+AF25</f>
        <v>0</v>
      </c>
      <c r="AH25" s="14" t="str">
        <f>IF(OR(D25="",E25=""),"",IFERROR(MATCH(D25&amp;"|"&amp;E25,$AC$9:$AC$158,0),""))</f>
        <v/>
      </c>
      <c r="AI25" s="14" t="str">
        <f>IF(OR(D25="",E25=""),"",IFERROR(MATCH(D25&amp;"|"&amp;E25,$AD$9:$AD$158,0),""))</f>
        <v/>
      </c>
      <c r="AJ25" s="14" t="str">
        <f>IF(OR(D25="",E25=""),"",IFERROR(MATCH(D25&amp;"|"&amp;E25,$AE$9:$AE$158,0),""))</f>
        <v/>
      </c>
      <c r="AK25" s="14" t="str">
        <f>IF(Z25=1,IFERROR(INDEX($F$9:$F$158,MATCH(T25,$D$9:$D$158,0)),"")&amp;"、","")&amp;IF(AA25=1,IFERROR(INDEX($F$9:$F$158,MATCH(U25,$D$9:$D$158,0)),"")&amp;"、","")&amp;IF(AB25=1,IFERROR(INDEX($F$9:$F$158,MATCH(V25,$D$9:$D$158,0)),"")&amp;"、","")</f>
        <v/>
      </c>
      <c r="AL25" s="14" t="str">
        <f>IF(OR(AH25=""),"",IF(OR(INDEX($D$9:$D$158,AH25)=T25,INDEX($D$9:$D$158,AH25)=U25,INDEX($D$9:$D$158,AH25)=V25),"",INDEX($F$9:$F$158,AH25)&amp;"、"))&amp;IF(OR(AI25="",AI25=AH25),"",IF(OR(INDEX($D$9:$D$158,AI25)=T25,INDEX($D$9:$D$158,AI25)=U25,INDEX($D$9:$D$158,AI25)=V25),"",INDEX($F$9:$F$158,AI25)&amp;"、"))&amp;IF(OR(AJ25="",AJ25=AH25,AJ25=AI25),"",IF(OR(INDEX($D$9:$D$158,AJ25)=T25,INDEX($D$9:$D$158,AJ25)=U25,INDEX($D$9:$D$158,AJ25)=V25),"",INDEX($F$9:$F$158,AJ25)&amp;"、"))</f>
        <v/>
      </c>
      <c r="AM25" s="14" t="str">
        <f>IF(T25="","",IFERROR(INDEX('①名簿入力'!$C$4:$C$153,MATCH(T25,'①名簿入力'!$A$4:$A$153,0)),"?")&amp;IF(W25="","","("&amp;W25&amp;"組)"))</f>
        <v/>
      </c>
      <c r="AN25" s="14" t="str">
        <f>IF(U25="","",IFERROR(INDEX('①名簿入力'!$C$4:$C$153,MATCH(U25,'①名簿入力'!$A$4:$A$153,0)),"?")&amp;IF(X25="","","("&amp;X25&amp;"組)"))</f>
        <v/>
      </c>
      <c r="AO25" s="14" t="str">
        <f>IF(V25="","",IFERROR(INDEX('①名簿入力'!$C$4:$C$153,MATCH(V25,'①名簿入力'!$A$4:$A$153,0)),"?")&amp;IF(Y25="","","("&amp;Y25&amp;"組)"))</f>
        <v/>
      </c>
      <c r="AP25" s="14">
        <f>IF(G25="男",1,IF(G25="女",2,3))</f>
        <v>1</v>
      </c>
      <c r="AQ25" s="14">
        <f>IF(OR(S25="",E25=""),"",IFERROR(IF('③クラス一覧'!$AD$6="番号順",0,AP25*1000000000)+D25,""))</f>
        <v>1000002117</v>
      </c>
      <c r="AR25" s="14">
        <f>IF(AQ25="","",COUNTIFS($E$9:$E$158,E25,$AQ$9:$AQ$158,"&lt;"&amp;AQ25)+1)</f>
        <v>4</v>
      </c>
      <c r="AS25" s="14" t="str">
        <f>IF(AR25="","",E25&amp;"-"&amp;AR25)</f>
        <v>1-4</v>
      </c>
      <c r="AT25" s="14">
        <f>IF(S25="","",IF(INDEX('①名簿入力'!$F$4:$F$153,S25)="","",INDEX('①名簿入力'!$F$4:$F$153,S25)))</f>
        <v>68</v>
      </c>
      <c r="AU25" s="14">
        <f>IF(S25="","",IF(INDEX('①名簿入力'!$G$4:$G$153,S25)="","",INDEX('①名簿入力'!$G$4:$G$153,S25)))</f>
        <v>71</v>
      </c>
      <c r="AV25" s="14">
        <f>IF(S25="","",IF(INDEX('①名簿入力'!$H$4:$H$153,S25)="","",INDEX('①名簿入力'!$H$4:$H$153,S25)))</f>
        <v>83</v>
      </c>
      <c r="AW25" s="14">
        <f>IF(S25="","",IF(INDEX('①名簿入力'!$I$4:$I$153,S25)="","",INDEX('①名簿入力'!$I$4:$I$153,S25)))</f>
        <v>55</v>
      </c>
      <c r="AX25" s="14">
        <f>IF(S25="","",IF(INDEX('①名簿入力'!$J$4:$J$153,S25)="","",INDEX('①名簿入力'!$J$4:$J$153,S25)))</f>
        <v>100</v>
      </c>
    </row>
    <row r="26">
      <c r="A26" s="23">
        <f>IF('①名簿入力'!A21="","",'①名簿入力'!A21)</f>
        <v>2118</v>
      </c>
      <c r="B26" s="23">
        <f>IF(A26="","",'①名簿入力'!U21)</f>
        <v>3</v>
      </c>
      <c r="D26" s="8" t="n">
        <v>2118</v>
      </c>
      <c r="E26" s="24" t="n">
        <v>3</v>
      </c>
      <c r="F26" s="25" t="str">
        <f>IF(D26="","",IF(S26="","（名簿にない番号）",INDEX('①名簿入力'!$C$4:$C$153,S26)&amp;""))</f>
        <v>鈴木　悠真</v>
      </c>
      <c r="G26" s="13" t="str">
        <f>IF(S26="","",INDEX('①名簿入力'!$E$4:$E$153,S26)&amp;"")</f>
        <v>男</v>
      </c>
      <c r="H26" s="13">
        <f>IF(S26="","",IF(INDEX('①名簿入力'!$B$4:$B$153,S26)="","",INDEX('①名簿入力'!$B$4:$B$153,S26)))</f>
        <v>1</v>
      </c>
      <c r="I26" s="10">
        <f>IF(S26="","",IF(INDEX('①名簿入力'!$K$4:$K$153,S26)="","",INDEX('①名簿入力'!$K$4:$K$153,S26)))</f>
        <v>59</v>
      </c>
      <c r="J26" s="10">
        <f>IF(S26="","",IF(INDEX('①名簿入力'!$L$4:$L$153,S26)="","",INDEX('①名簿入力'!$L$4:$L$153,S26)))</f>
        <v>7.4</v>
      </c>
      <c r="K26" s="13" t="str">
        <f>IF(S26="","",IF(INDEX('①名簿入力'!$Y$4:$Y$153,S26)=1,"〇",""))</f>
        <v/>
      </c>
      <c r="L26" s="13" t="str">
        <f>IF(S26="","",IF(INDEX('①名簿入力'!$Z$4:$Z$153,S26)=1,"〇",""))</f>
        <v/>
      </c>
      <c r="M26" s="13" t="str">
        <f>IF(S26="","",IF(INDEX('①名簿入力'!$AA$4:$AA$153,S26)=1,"〇",""))</f>
        <v/>
      </c>
      <c r="N26" s="13" t="str">
        <f>IF(S26="","",IF(INDEX('①名簿入力'!$AB$4:$AB$153,S26)=1,"〇",""))</f>
        <v/>
      </c>
      <c r="O26" s="25" t="str">
        <f>AM26&amp;IF(AND(AM26&lt;&gt;"",AN26&lt;&gt;""),"、","")&amp;AN26&amp;IF(AND(AM26&amp;AN26&lt;&gt;"",AO26&lt;&gt;""),"、","")&amp;AO26</f>
        <v/>
      </c>
      <c r="P26" s="25" t="str">
        <f>IF(AG26=0,"",IF(AK26&amp;AL26="","⚠",LEFT(AK26&amp;AL26,LEN(AK26&amp;AL26)-1)))</f>
        <v/>
      </c>
      <c r="Q26" s="25" t="str">
        <f>IF(S26="","",INDEX('①名簿入力'!$T$4:$T$153,S26)&amp;"")</f>
        <v/>
      </c>
      <c r="S26" s="14">
        <f>IF(D26="","",IFERROR(MATCH(D26,'①名簿入力'!$A$4:$A$153,0),""))</f>
        <v>18</v>
      </c>
      <c r="T26" s="14" t="str">
        <f>IF(S26="","",IF(INDEX('①名簿入力'!$AG$4:$AG$153,S26)=D26,"",INDEX('①名簿入力'!$AG$4:$AG$153,S26)))</f>
        <v/>
      </c>
      <c r="U26" s="14" t="str">
        <f>IF(S26="","",IF(INDEX('①名簿入力'!$AH$4:$AH$153,S26)=D26,"",INDEX('①名簿入力'!$AH$4:$AH$153,S26)))</f>
        <v/>
      </c>
      <c r="V26" s="14" t="str">
        <f>IF(S26="","",IF(INDEX('①名簿入力'!$AI$4:$AI$153,S26)=D26,"",INDEX('①名簿入力'!$AI$4:$AI$153,S26)))</f>
        <v/>
      </c>
      <c r="W26" s="14" t="str">
        <f>IF(T26="","",IFERROR(IF(INDEX($E$9:$E$158,MATCH(T26,$D$9:$D$158,0))="","",INDEX($E$9:$E$158,MATCH(T26,$D$9:$D$158,0))),""))</f>
        <v/>
      </c>
      <c r="X26" s="14" t="str">
        <f>IF(U26="","",IFERROR(IF(INDEX($E$9:$E$158,MATCH(U26,$D$9:$D$158,0))="","",INDEX($E$9:$E$158,MATCH(U26,$D$9:$D$158,0))),""))</f>
        <v/>
      </c>
      <c r="Y26" s="14" t="str">
        <f>IF(V26="","",IFERROR(IF(INDEX($E$9:$E$158,MATCH(V26,$D$9:$D$158,0))="","",INDEX($E$9:$E$158,MATCH(V26,$D$9:$D$158,0))),""))</f>
        <v/>
      </c>
      <c r="Z26" s="14">
        <f>IF(AND(T26&lt;&gt;"",W26&lt;&gt;"",E26&lt;&gt;""),IF(W26=E26,1,0),0)</f>
        <v>0</v>
      </c>
      <c r="AA26" s="14">
        <f>IF(AND(U26&lt;&gt;"",X26&lt;&gt;"",E26&lt;&gt;""),IF(X26=E26,1,0),0)</f>
        <v>0</v>
      </c>
      <c r="AB26" s="14">
        <f>IF(AND(V26&lt;&gt;"",Y26&lt;&gt;"",E26&lt;&gt;""),IF(Y26=E26,1,0),0)</f>
        <v>0</v>
      </c>
      <c r="AC26" s="14" t="str">
        <f>IF(OR(T26="",E26=""),"",T26&amp;"|"&amp;E26)</f>
        <v/>
      </c>
      <c r="AD26" s="14" t="str">
        <f>IF(OR(U26="",E26=""),"",U26&amp;"|"&amp;E26)</f>
        <v/>
      </c>
      <c r="AE26" s="14" t="str">
        <f>IF(OR(V26="",E26=""),"",V26&amp;"|"&amp;E26)</f>
        <v/>
      </c>
      <c r="AF26" s="14">
        <f>IF(OR(D26="",E26=""),0,COUNTIF($AC$9:$AC$158,D26&amp;"|"&amp;E26)+COUNTIF($AD$9:$AD$158,D26&amp;"|"&amp;E26)+COUNTIF($AE$9:$AE$158,D26&amp;"|"&amp;E26))</f>
        <v>0</v>
      </c>
      <c r="AG26" s="14">
        <f>Z26+AA26+AB26+AF26</f>
        <v>0</v>
      </c>
      <c r="AH26" s="14" t="str">
        <f>IF(OR(D26="",E26=""),"",IFERROR(MATCH(D26&amp;"|"&amp;E26,$AC$9:$AC$158,0),""))</f>
        <v/>
      </c>
      <c r="AI26" s="14" t="str">
        <f>IF(OR(D26="",E26=""),"",IFERROR(MATCH(D26&amp;"|"&amp;E26,$AD$9:$AD$158,0),""))</f>
        <v/>
      </c>
      <c r="AJ26" s="14" t="str">
        <f>IF(OR(D26="",E26=""),"",IFERROR(MATCH(D26&amp;"|"&amp;E26,$AE$9:$AE$158,0),""))</f>
        <v/>
      </c>
      <c r="AK26" s="14" t="str">
        <f>IF(Z26=1,IFERROR(INDEX($F$9:$F$158,MATCH(T26,$D$9:$D$158,0)),"")&amp;"、","")&amp;IF(AA26=1,IFERROR(INDEX($F$9:$F$158,MATCH(U26,$D$9:$D$158,0)),"")&amp;"、","")&amp;IF(AB26=1,IFERROR(INDEX($F$9:$F$158,MATCH(V26,$D$9:$D$158,0)),"")&amp;"、","")</f>
        <v/>
      </c>
      <c r="AL26" s="14" t="str">
        <f>IF(OR(AH26=""),"",IF(OR(INDEX($D$9:$D$158,AH26)=T26,INDEX($D$9:$D$158,AH26)=U26,INDEX($D$9:$D$158,AH26)=V26),"",INDEX($F$9:$F$158,AH26)&amp;"、"))&amp;IF(OR(AI26="",AI26=AH26),"",IF(OR(INDEX($D$9:$D$158,AI26)=T26,INDEX($D$9:$D$158,AI26)=U26,INDEX($D$9:$D$158,AI26)=V26),"",INDEX($F$9:$F$158,AI26)&amp;"、"))&amp;IF(OR(AJ26="",AJ26=AH26,AJ26=AI26),"",IF(OR(INDEX($D$9:$D$158,AJ26)=T26,INDEX($D$9:$D$158,AJ26)=U26,INDEX($D$9:$D$158,AJ26)=V26),"",INDEX($F$9:$F$158,AJ26)&amp;"、"))</f>
        <v/>
      </c>
      <c r="AM26" s="14" t="str">
        <f>IF(T26="","",IFERROR(INDEX('①名簿入力'!$C$4:$C$153,MATCH(T26,'①名簿入力'!$A$4:$A$153,0)),"?")&amp;IF(W26="","","("&amp;W26&amp;"組)"))</f>
        <v/>
      </c>
      <c r="AN26" s="14" t="str">
        <f>IF(U26="","",IFERROR(INDEX('①名簿入力'!$C$4:$C$153,MATCH(U26,'①名簿入力'!$A$4:$A$153,0)),"?")&amp;IF(X26="","","("&amp;X26&amp;"組)"))</f>
        <v/>
      </c>
      <c r="AO26" s="14" t="str">
        <f>IF(V26="","",IFERROR(INDEX('①名簿入力'!$C$4:$C$153,MATCH(V26,'①名簿入力'!$A$4:$A$153,0)),"?")&amp;IF(Y26="","","("&amp;Y26&amp;"組)"))</f>
        <v/>
      </c>
      <c r="AP26" s="14">
        <f>IF(G26="男",1,IF(G26="女",2,3))</f>
        <v>1</v>
      </c>
      <c r="AQ26" s="14">
        <f>IF(OR(S26="",E26=""),"",IFERROR(IF('③クラス一覧'!$AD$6="番号順",0,AP26*1000000000)+D26,""))</f>
        <v>1000002118</v>
      </c>
      <c r="AR26" s="14">
        <f>IF(AQ26="","",COUNTIFS($E$9:$E$158,E26,$AQ$9:$AQ$158,"&lt;"&amp;AQ26)+1)</f>
        <v>4</v>
      </c>
      <c r="AS26" s="14" t="str">
        <f>IF(AR26="","",E26&amp;"-"&amp;AR26)</f>
        <v>3-4</v>
      </c>
      <c r="AT26" s="14">
        <f>IF(S26="","",IF(INDEX('①名簿入力'!$F$4:$F$153,S26)="","",INDEX('①名簿入力'!$F$4:$F$153,S26)))</f>
        <v>68</v>
      </c>
      <c r="AU26" s="14">
        <f>IF(S26="","",IF(INDEX('①名簿入力'!$G$4:$G$153,S26)="","",INDEX('①名簿入力'!$G$4:$G$153,S26)))</f>
        <v>56</v>
      </c>
      <c r="AV26" s="14">
        <f>IF(S26="","",IF(INDEX('①名簿入力'!$H$4:$H$153,S26)="","",INDEX('①名簿入力'!$H$4:$H$153,S26)))</f>
        <v>59</v>
      </c>
      <c r="AW26" s="14">
        <f>IF(S26="","",IF(INDEX('①名簿入力'!$I$4:$I$153,S26)="","",INDEX('①名簿入力'!$I$4:$I$153,S26)))</f>
        <v>54</v>
      </c>
      <c r="AX26" s="14">
        <f>IF(S26="","",IF(INDEX('①名簿入力'!$J$4:$J$153,S26)="","",INDEX('①名簿入力'!$J$4:$J$153,S26)))</f>
        <v>58</v>
      </c>
    </row>
    <row r="27">
      <c r="A27" s="23">
        <f>IF('①名簿入力'!A22="","",'①名簿入力'!A22)</f>
        <v>2119</v>
      </c>
      <c r="B27" s="23">
        <f>IF(A27="","",'①名簿入力'!U22)</f>
        <v>1</v>
      </c>
      <c r="D27" s="8" t="n">
        <v>2119</v>
      </c>
      <c r="E27" s="24" t="n">
        <v>1</v>
      </c>
      <c r="F27" s="25" t="str">
        <f>IF(D27="","",IF(S27="","（名簿にない番号）",INDEX('①名簿入力'!$C$4:$C$153,S27)&amp;""))</f>
        <v>高橋　紬</v>
      </c>
      <c r="G27" s="13" t="str">
        <f>IF(S27="","",INDEX('①名簿入力'!$E$4:$E$153,S27)&amp;"")</f>
        <v>女</v>
      </c>
      <c r="H27" s="13">
        <f>IF(S27="","",IF(INDEX('①名簿入力'!$B$4:$B$153,S27)="","",INDEX('①名簿入力'!$B$4:$B$153,S27)))</f>
        <v>1</v>
      </c>
      <c r="I27" s="10">
        <f>IF(S27="","",IF(INDEX('①名簿入力'!$K$4:$K$153,S27)="","",INDEX('①名簿入力'!$K$4:$K$153,S27)))</f>
        <v>53.2</v>
      </c>
      <c r="J27" s="10">
        <f>IF(S27="","",IF(INDEX('①名簿入力'!$L$4:$L$153,S27)="","",INDEX('①名簿入力'!$L$4:$L$153,S27)))</f>
        <v>9.5</v>
      </c>
      <c r="K27" s="13" t="str">
        <f>IF(S27="","",IF(INDEX('①名簿入力'!$Y$4:$Y$153,S27)=1,"〇",""))</f>
        <v/>
      </c>
      <c r="L27" s="13" t="str">
        <f>IF(S27="","",IF(INDEX('①名簿入力'!$Z$4:$Z$153,S27)=1,"〇",""))</f>
        <v/>
      </c>
      <c r="M27" s="13" t="str">
        <f>IF(S27="","",IF(INDEX('①名簿入力'!$AA$4:$AA$153,S27)=1,"〇",""))</f>
        <v/>
      </c>
      <c r="N27" s="13" t="str">
        <f>IF(S27="","",IF(INDEX('①名簿入力'!$AB$4:$AB$153,S27)=1,"〇",""))</f>
        <v/>
      </c>
      <c r="O27" s="25" t="str">
        <f>AM27&amp;IF(AND(AM27&lt;&gt;"",AN27&lt;&gt;""),"、","")&amp;AN27&amp;IF(AND(AM27&amp;AN27&lt;&gt;"",AO27&lt;&gt;""),"、","")&amp;AO27</f>
        <v/>
      </c>
      <c r="P27" s="25" t="str">
        <f>IF(AG27=0,"",IF(AK27&amp;AL27="","⚠",LEFT(AK27&amp;AL27,LEN(AK27&amp;AL27)-1)))</f>
        <v/>
      </c>
      <c r="Q27" s="25" t="str">
        <f>IF(S27="","",INDEX('①名簿入力'!$T$4:$T$153,S27)&amp;"")</f>
        <v/>
      </c>
      <c r="S27" s="14">
        <f>IF(D27="","",IFERROR(MATCH(D27,'①名簿入力'!$A$4:$A$153,0),""))</f>
        <v>19</v>
      </c>
      <c r="T27" s="14" t="str">
        <f>IF(S27="","",IF(INDEX('①名簿入力'!$AG$4:$AG$153,S27)=D27,"",INDEX('①名簿入力'!$AG$4:$AG$153,S27)))</f>
        <v/>
      </c>
      <c r="U27" s="14" t="str">
        <f>IF(S27="","",IF(INDEX('①名簿入力'!$AH$4:$AH$153,S27)=D27,"",INDEX('①名簿入力'!$AH$4:$AH$153,S27)))</f>
        <v/>
      </c>
      <c r="V27" s="14" t="str">
        <f>IF(S27="","",IF(INDEX('①名簿入力'!$AI$4:$AI$153,S27)=D27,"",INDEX('①名簿入力'!$AI$4:$AI$153,S27)))</f>
        <v/>
      </c>
      <c r="W27" s="14" t="str">
        <f>IF(T27="","",IFERROR(IF(INDEX($E$9:$E$158,MATCH(T27,$D$9:$D$158,0))="","",INDEX($E$9:$E$158,MATCH(T27,$D$9:$D$158,0))),""))</f>
        <v/>
      </c>
      <c r="X27" s="14" t="str">
        <f>IF(U27="","",IFERROR(IF(INDEX($E$9:$E$158,MATCH(U27,$D$9:$D$158,0))="","",INDEX($E$9:$E$158,MATCH(U27,$D$9:$D$158,0))),""))</f>
        <v/>
      </c>
      <c r="Y27" s="14" t="str">
        <f>IF(V27="","",IFERROR(IF(INDEX($E$9:$E$158,MATCH(V27,$D$9:$D$158,0))="","",INDEX($E$9:$E$158,MATCH(V27,$D$9:$D$158,0))),""))</f>
        <v/>
      </c>
      <c r="Z27" s="14">
        <f>IF(AND(T27&lt;&gt;"",W27&lt;&gt;"",E27&lt;&gt;""),IF(W27=E27,1,0),0)</f>
        <v>0</v>
      </c>
      <c r="AA27" s="14">
        <f>IF(AND(U27&lt;&gt;"",X27&lt;&gt;"",E27&lt;&gt;""),IF(X27=E27,1,0),0)</f>
        <v>0</v>
      </c>
      <c r="AB27" s="14">
        <f>IF(AND(V27&lt;&gt;"",Y27&lt;&gt;"",E27&lt;&gt;""),IF(Y27=E27,1,0),0)</f>
        <v>0</v>
      </c>
      <c r="AC27" s="14" t="str">
        <f>IF(OR(T27="",E27=""),"",T27&amp;"|"&amp;E27)</f>
        <v/>
      </c>
      <c r="AD27" s="14" t="str">
        <f>IF(OR(U27="",E27=""),"",U27&amp;"|"&amp;E27)</f>
        <v/>
      </c>
      <c r="AE27" s="14" t="str">
        <f>IF(OR(V27="",E27=""),"",V27&amp;"|"&amp;E27)</f>
        <v/>
      </c>
      <c r="AF27" s="14">
        <f>IF(OR(D27="",E27=""),0,COUNTIF($AC$9:$AC$158,D27&amp;"|"&amp;E27)+COUNTIF($AD$9:$AD$158,D27&amp;"|"&amp;E27)+COUNTIF($AE$9:$AE$158,D27&amp;"|"&amp;E27))</f>
        <v>0</v>
      </c>
      <c r="AG27" s="14">
        <f>Z27+AA27+AB27+AF27</f>
        <v>0</v>
      </c>
      <c r="AH27" s="14" t="str">
        <f>IF(OR(D27="",E27=""),"",IFERROR(MATCH(D27&amp;"|"&amp;E27,$AC$9:$AC$158,0),""))</f>
        <v/>
      </c>
      <c r="AI27" s="14" t="str">
        <f>IF(OR(D27="",E27=""),"",IFERROR(MATCH(D27&amp;"|"&amp;E27,$AD$9:$AD$158,0),""))</f>
        <v/>
      </c>
      <c r="AJ27" s="14" t="str">
        <f>IF(OR(D27="",E27=""),"",IFERROR(MATCH(D27&amp;"|"&amp;E27,$AE$9:$AE$158,0),""))</f>
        <v/>
      </c>
      <c r="AK27" s="14" t="str">
        <f>IF(Z27=1,IFERROR(INDEX($F$9:$F$158,MATCH(T27,$D$9:$D$158,0)),"")&amp;"、","")&amp;IF(AA27=1,IFERROR(INDEX($F$9:$F$158,MATCH(U27,$D$9:$D$158,0)),"")&amp;"、","")&amp;IF(AB27=1,IFERROR(INDEX($F$9:$F$158,MATCH(V27,$D$9:$D$158,0)),"")&amp;"、","")</f>
        <v/>
      </c>
      <c r="AL27" s="14" t="str">
        <f>IF(OR(AH27=""),"",IF(OR(INDEX($D$9:$D$158,AH27)=T27,INDEX($D$9:$D$158,AH27)=U27,INDEX($D$9:$D$158,AH27)=V27),"",INDEX($F$9:$F$158,AH27)&amp;"、"))&amp;IF(OR(AI27="",AI27=AH27),"",IF(OR(INDEX($D$9:$D$158,AI27)=T27,INDEX($D$9:$D$158,AI27)=U27,INDEX($D$9:$D$158,AI27)=V27),"",INDEX($F$9:$F$158,AI27)&amp;"、"))&amp;IF(OR(AJ27="",AJ27=AH27,AJ27=AI27),"",IF(OR(INDEX($D$9:$D$158,AJ27)=T27,INDEX($D$9:$D$158,AJ27)=U27,INDEX($D$9:$D$158,AJ27)=V27),"",INDEX($F$9:$F$158,AJ27)&amp;"、"))</f>
        <v/>
      </c>
      <c r="AM27" s="14" t="str">
        <f>IF(T27="","",IFERROR(INDEX('①名簿入力'!$C$4:$C$153,MATCH(T27,'①名簿入力'!$A$4:$A$153,0)),"?")&amp;IF(W27="","","("&amp;W27&amp;"組)"))</f>
        <v/>
      </c>
      <c r="AN27" s="14" t="str">
        <f>IF(U27="","",IFERROR(INDEX('①名簿入力'!$C$4:$C$153,MATCH(U27,'①名簿入力'!$A$4:$A$153,0)),"?")&amp;IF(X27="","","("&amp;X27&amp;"組)"))</f>
        <v/>
      </c>
      <c r="AO27" s="14" t="str">
        <f>IF(V27="","",IFERROR(INDEX('①名簿入力'!$C$4:$C$153,MATCH(V27,'①名簿入力'!$A$4:$A$153,0)),"?")&amp;IF(Y27="","","("&amp;Y27&amp;"組)"))</f>
        <v/>
      </c>
      <c r="AP27" s="14">
        <f>IF(G27="男",1,IF(G27="女",2,3))</f>
        <v>2</v>
      </c>
      <c r="AQ27" s="14">
        <f>IF(OR(S27="",E27=""),"",IFERROR(IF('③クラス一覧'!$AD$6="番号順",0,AP27*1000000000)+D27,""))</f>
        <v>2000002119</v>
      </c>
      <c r="AR27" s="14">
        <f>IF(AQ27="","",COUNTIFS($E$9:$E$158,E27,$AQ$9:$AQ$158,"&lt;"&amp;AQ27)+1)</f>
        <v>21</v>
      </c>
      <c r="AS27" s="14" t="str">
        <f>IF(AR27="","",E27&amp;"-"&amp;AR27)</f>
        <v>1-21</v>
      </c>
      <c r="AT27" s="14">
        <f>IF(S27="","",IF(INDEX('①名簿入力'!$F$4:$F$153,S27)="","",INDEX('①名簿入力'!$F$4:$F$153,S27)))</f>
        <v>49</v>
      </c>
      <c r="AU27" s="14">
        <f>IF(S27="","",IF(INDEX('①名簿入力'!$G$4:$G$153,S27)="","",INDEX('①名簿入力'!$G$4:$G$153,S27)))</f>
        <v>48</v>
      </c>
      <c r="AV27" s="14">
        <f>IF(S27="","",IF(INDEX('①名簿入力'!$H$4:$H$153,S27)="","",INDEX('①名簿入力'!$H$4:$H$153,S27)))</f>
        <v>67</v>
      </c>
      <c r="AW27" s="14">
        <f>IF(S27="","",IF(INDEX('①名簿入力'!$I$4:$I$153,S27)="","",INDEX('①名簿入力'!$I$4:$I$153,S27)))</f>
        <v>40</v>
      </c>
      <c r="AX27" s="14">
        <f>IF(S27="","",IF(INDEX('①名簿入力'!$J$4:$J$153,S27)="","",INDEX('①名簿入力'!$J$4:$J$153,S27)))</f>
        <v>62</v>
      </c>
    </row>
    <row r="28">
      <c r="A28" s="23">
        <f>IF('①名簿入力'!A23="","",'①名簿入力'!A23)</f>
        <v>2120</v>
      </c>
      <c r="B28" s="23">
        <f>IF(A28="","",'①名簿入力'!U23)</f>
        <v>2</v>
      </c>
      <c r="D28" s="8" t="n">
        <v>2120</v>
      </c>
      <c r="E28" s="24" t="n">
        <v>2</v>
      </c>
      <c r="F28" s="25" t="str">
        <f>IF(D28="","",IF(S28="","（名簿にない番号）",INDEX('①名簿入力'!$C$4:$C$153,S28)&amp;""))</f>
        <v>田中　隼人</v>
      </c>
      <c r="G28" s="13" t="str">
        <f>IF(S28="","",INDEX('①名簿入力'!$E$4:$E$153,S28)&amp;"")</f>
        <v>男</v>
      </c>
      <c r="H28" s="13">
        <f>IF(S28="","",IF(INDEX('①名簿入力'!$B$4:$B$153,S28)="","",INDEX('①名簿入力'!$B$4:$B$153,S28)))</f>
        <v>1</v>
      </c>
      <c r="I28" s="10">
        <f>IF(S28="","",IF(INDEX('①名簿入力'!$K$4:$K$153,S28)="","",INDEX('①名簿入力'!$K$4:$K$153,S28)))</f>
        <v>67.6</v>
      </c>
      <c r="J28" s="10">
        <f>IF(S28="","",IF(INDEX('①名簿入力'!$L$4:$L$153,S28)="","",INDEX('①名簿入力'!$L$4:$L$153,S28)))</f>
        <v>7.3</v>
      </c>
      <c r="K28" s="13" t="str">
        <f>IF(S28="","",IF(INDEX('①名簿入力'!$Y$4:$Y$153,S28)=1,"〇",""))</f>
        <v/>
      </c>
      <c r="L28" s="13" t="str">
        <f>IF(S28="","",IF(INDEX('①名簿入力'!$Z$4:$Z$153,S28)=1,"〇",""))</f>
        <v/>
      </c>
      <c r="M28" s="13" t="str">
        <f>IF(S28="","",IF(INDEX('①名簿入力'!$AA$4:$AA$153,S28)=1,"〇",""))</f>
        <v>〇</v>
      </c>
      <c r="N28" s="13" t="str">
        <f>IF(S28="","",IF(INDEX('①名簿入力'!$AB$4:$AB$153,S28)=1,"〇",""))</f>
        <v/>
      </c>
      <c r="O28" s="25" t="str">
        <f>AM28&amp;IF(AND(AM28&lt;&gt;"",AN28&lt;&gt;""),"、","")&amp;AN28&amp;IF(AND(AM28&amp;AN28&lt;&gt;"",AO28&lt;&gt;""),"、","")&amp;AO28</f>
        <v/>
      </c>
      <c r="P28" s="25" t="str">
        <f>IF(AG28=0,"",IF(AK28&amp;AL28="","⚠",LEFT(AK28&amp;AL28,LEN(AK28&amp;AL28)-1)))</f>
        <v/>
      </c>
      <c r="Q28" s="25" t="str">
        <f>IF(S28="","",INDEX('①名簿入力'!$T$4:$T$153,S28)&amp;"")</f>
        <v/>
      </c>
      <c r="S28" s="14">
        <f>IF(D28="","",IFERROR(MATCH(D28,'①名簿入力'!$A$4:$A$153,0),""))</f>
        <v>20</v>
      </c>
      <c r="T28" s="14" t="str">
        <f>IF(S28="","",IF(INDEX('①名簿入力'!$AG$4:$AG$153,S28)=D28,"",INDEX('①名簿入力'!$AG$4:$AG$153,S28)))</f>
        <v/>
      </c>
      <c r="U28" s="14" t="str">
        <f>IF(S28="","",IF(INDEX('①名簿入力'!$AH$4:$AH$153,S28)=D28,"",INDEX('①名簿入力'!$AH$4:$AH$153,S28)))</f>
        <v/>
      </c>
      <c r="V28" s="14" t="str">
        <f>IF(S28="","",IF(INDEX('①名簿入力'!$AI$4:$AI$153,S28)=D28,"",INDEX('①名簿入力'!$AI$4:$AI$153,S28)))</f>
        <v/>
      </c>
      <c r="W28" s="14" t="str">
        <f>IF(T28="","",IFERROR(IF(INDEX($E$9:$E$158,MATCH(T28,$D$9:$D$158,0))="","",INDEX($E$9:$E$158,MATCH(T28,$D$9:$D$158,0))),""))</f>
        <v/>
      </c>
      <c r="X28" s="14" t="str">
        <f>IF(U28="","",IFERROR(IF(INDEX($E$9:$E$158,MATCH(U28,$D$9:$D$158,0))="","",INDEX($E$9:$E$158,MATCH(U28,$D$9:$D$158,0))),""))</f>
        <v/>
      </c>
      <c r="Y28" s="14" t="str">
        <f>IF(V28="","",IFERROR(IF(INDEX($E$9:$E$158,MATCH(V28,$D$9:$D$158,0))="","",INDEX($E$9:$E$158,MATCH(V28,$D$9:$D$158,0))),""))</f>
        <v/>
      </c>
      <c r="Z28" s="14">
        <f>IF(AND(T28&lt;&gt;"",W28&lt;&gt;"",E28&lt;&gt;""),IF(W28=E28,1,0),0)</f>
        <v>0</v>
      </c>
      <c r="AA28" s="14">
        <f>IF(AND(U28&lt;&gt;"",X28&lt;&gt;"",E28&lt;&gt;""),IF(X28=E28,1,0),0)</f>
        <v>0</v>
      </c>
      <c r="AB28" s="14">
        <f>IF(AND(V28&lt;&gt;"",Y28&lt;&gt;"",E28&lt;&gt;""),IF(Y28=E28,1,0),0)</f>
        <v>0</v>
      </c>
      <c r="AC28" s="14" t="str">
        <f>IF(OR(T28="",E28=""),"",T28&amp;"|"&amp;E28)</f>
        <v/>
      </c>
      <c r="AD28" s="14" t="str">
        <f>IF(OR(U28="",E28=""),"",U28&amp;"|"&amp;E28)</f>
        <v/>
      </c>
      <c r="AE28" s="14" t="str">
        <f>IF(OR(V28="",E28=""),"",V28&amp;"|"&amp;E28)</f>
        <v/>
      </c>
      <c r="AF28" s="14">
        <f>IF(OR(D28="",E28=""),0,COUNTIF($AC$9:$AC$158,D28&amp;"|"&amp;E28)+COUNTIF($AD$9:$AD$158,D28&amp;"|"&amp;E28)+COUNTIF($AE$9:$AE$158,D28&amp;"|"&amp;E28))</f>
        <v>0</v>
      </c>
      <c r="AG28" s="14">
        <f>Z28+AA28+AB28+AF28</f>
        <v>0</v>
      </c>
      <c r="AH28" s="14" t="str">
        <f>IF(OR(D28="",E28=""),"",IFERROR(MATCH(D28&amp;"|"&amp;E28,$AC$9:$AC$158,0),""))</f>
        <v/>
      </c>
      <c r="AI28" s="14" t="str">
        <f>IF(OR(D28="",E28=""),"",IFERROR(MATCH(D28&amp;"|"&amp;E28,$AD$9:$AD$158,0),""))</f>
        <v/>
      </c>
      <c r="AJ28" s="14" t="str">
        <f>IF(OR(D28="",E28=""),"",IFERROR(MATCH(D28&amp;"|"&amp;E28,$AE$9:$AE$158,0),""))</f>
        <v/>
      </c>
      <c r="AK28" s="14" t="str">
        <f>IF(Z28=1,IFERROR(INDEX($F$9:$F$158,MATCH(T28,$D$9:$D$158,0)),"")&amp;"、","")&amp;IF(AA28=1,IFERROR(INDEX($F$9:$F$158,MATCH(U28,$D$9:$D$158,0)),"")&amp;"、","")&amp;IF(AB28=1,IFERROR(INDEX($F$9:$F$158,MATCH(V28,$D$9:$D$158,0)),"")&amp;"、","")</f>
        <v/>
      </c>
      <c r="AL28" s="14" t="str">
        <f>IF(OR(AH28=""),"",IF(OR(INDEX($D$9:$D$158,AH28)=T28,INDEX($D$9:$D$158,AH28)=U28,INDEX($D$9:$D$158,AH28)=V28),"",INDEX($F$9:$F$158,AH28)&amp;"、"))&amp;IF(OR(AI28="",AI28=AH28),"",IF(OR(INDEX($D$9:$D$158,AI28)=T28,INDEX($D$9:$D$158,AI28)=U28,INDEX($D$9:$D$158,AI28)=V28),"",INDEX($F$9:$F$158,AI28)&amp;"、"))&amp;IF(OR(AJ28="",AJ28=AH28,AJ28=AI28),"",IF(OR(INDEX($D$9:$D$158,AJ28)=T28,INDEX($D$9:$D$158,AJ28)=U28,INDEX($D$9:$D$158,AJ28)=V28),"",INDEX($F$9:$F$158,AJ28)&amp;"、"))</f>
        <v/>
      </c>
      <c r="AM28" s="14" t="str">
        <f>IF(T28="","",IFERROR(INDEX('①名簿入力'!$C$4:$C$153,MATCH(T28,'①名簿入力'!$A$4:$A$153,0)),"?")&amp;IF(W28="","","("&amp;W28&amp;"組)"))</f>
        <v/>
      </c>
      <c r="AN28" s="14" t="str">
        <f>IF(U28="","",IFERROR(INDEX('①名簿入力'!$C$4:$C$153,MATCH(U28,'①名簿入力'!$A$4:$A$153,0)),"?")&amp;IF(X28="","","("&amp;X28&amp;"組)"))</f>
        <v/>
      </c>
      <c r="AO28" s="14" t="str">
        <f>IF(V28="","",IFERROR(INDEX('①名簿入力'!$C$4:$C$153,MATCH(V28,'①名簿入力'!$A$4:$A$153,0)),"?")&amp;IF(Y28="","","("&amp;Y28&amp;"組)"))</f>
        <v/>
      </c>
      <c r="AP28" s="14">
        <f>IF(G28="男",1,IF(G28="女",2,3))</f>
        <v>1</v>
      </c>
      <c r="AQ28" s="14">
        <f>IF(OR(S28="",E28=""),"",IFERROR(IF('③クラス一覧'!$AD$6="番号順",0,AP28*1000000000)+D28,""))</f>
        <v>1000002120</v>
      </c>
      <c r="AR28" s="14">
        <f>IF(AQ28="","",COUNTIFS($E$9:$E$158,E28,$AQ$9:$AQ$158,"&lt;"&amp;AQ28)+1)</f>
        <v>3</v>
      </c>
      <c r="AS28" s="14" t="str">
        <f>IF(AR28="","",E28&amp;"-"&amp;AR28)</f>
        <v>2-3</v>
      </c>
      <c r="AT28" s="14">
        <f>IF(S28="","",IF(INDEX('①名簿入力'!$F$4:$F$153,S28)="","",INDEX('①名簿入力'!$F$4:$F$153,S28)))</f>
        <v>68</v>
      </c>
      <c r="AU28" s="14">
        <f>IF(S28="","",IF(INDEX('①名簿入力'!$G$4:$G$153,S28)="","",INDEX('①名簿入力'!$G$4:$G$153,S28)))</f>
        <v>77</v>
      </c>
      <c r="AV28" s="14">
        <f>IF(S28="","",IF(INDEX('①名簿入力'!$H$4:$H$153,S28)="","",INDEX('①名簿入力'!$H$4:$H$153,S28)))</f>
        <v>67</v>
      </c>
      <c r="AW28" s="14">
        <f>IF(S28="","",IF(INDEX('①名簿入力'!$I$4:$I$153,S28)="","",INDEX('①名簿入力'!$I$4:$I$153,S28)))</f>
        <v>66</v>
      </c>
      <c r="AX28" s="14">
        <f>IF(S28="","",IF(INDEX('①名簿入力'!$J$4:$J$153,S28)="","",INDEX('①名簿入力'!$J$4:$J$153,S28)))</f>
        <v>60</v>
      </c>
    </row>
    <row r="29">
      <c r="A29" s="23">
        <f>IF('①名簿入力'!A24="","",'①名簿入力'!A24)</f>
        <v>2121</v>
      </c>
      <c r="B29" s="23">
        <f>IF(A29="","",'①名簿入力'!U24)</f>
        <v>1</v>
      </c>
      <c r="D29" s="8" t="n">
        <v>2121</v>
      </c>
      <c r="E29" s="24" t="n">
        <v>1</v>
      </c>
      <c r="F29" s="25" t="str">
        <f>IF(D29="","",IF(S29="","（名簿にない番号）",INDEX('①名簿入力'!$C$4:$C$153,S29)&amp;""))</f>
        <v>田中　陽葵</v>
      </c>
      <c r="G29" s="13" t="str">
        <f>IF(S29="","",INDEX('①名簿入力'!$E$4:$E$153,S29)&amp;"")</f>
        <v>女</v>
      </c>
      <c r="H29" s="13">
        <f>IF(S29="","",IF(INDEX('①名簿入力'!$B$4:$B$153,S29)="","",INDEX('①名簿入力'!$B$4:$B$153,S29)))</f>
        <v>1</v>
      </c>
      <c r="I29" s="10">
        <f>IF(S29="","",IF(INDEX('①名簿入力'!$K$4:$K$153,S29)="","",INDEX('①名簿入力'!$K$4:$K$153,S29)))</f>
        <v>56.6</v>
      </c>
      <c r="J29" s="10">
        <f>IF(S29="","",IF(INDEX('①名簿入力'!$L$4:$L$153,S29)="","",INDEX('①名簿入力'!$L$4:$L$153,S29)))</f>
        <v>8</v>
      </c>
      <c r="K29" s="13" t="str">
        <f>IF(S29="","",IF(INDEX('①名簿入力'!$Y$4:$Y$153,S29)=1,"〇",""))</f>
        <v/>
      </c>
      <c r="L29" s="13" t="str">
        <f>IF(S29="","",IF(INDEX('①名簿入力'!$Z$4:$Z$153,S29)=1,"〇",""))</f>
        <v/>
      </c>
      <c r="M29" s="13" t="str">
        <f>IF(S29="","",IF(INDEX('①名簿入力'!$AA$4:$AA$153,S29)=1,"〇",""))</f>
        <v/>
      </c>
      <c r="N29" s="13" t="str">
        <f>IF(S29="","",IF(INDEX('①名簿入力'!$AB$4:$AB$153,S29)=1,"〇",""))</f>
        <v/>
      </c>
      <c r="O29" s="25" t="str">
        <f>AM29&amp;IF(AND(AM29&lt;&gt;"",AN29&lt;&gt;""),"、","")&amp;AN29&amp;IF(AND(AM29&amp;AN29&lt;&gt;"",AO29&lt;&gt;""),"、","")&amp;AO29</f>
        <v/>
      </c>
      <c r="P29" s="25" t="str">
        <f>IF(AG29=0,"",IF(AK29&amp;AL29="","⚠",LEFT(AK29&amp;AL29,LEN(AK29&amp;AL29)-1)))</f>
        <v/>
      </c>
      <c r="Q29" s="25" t="str">
        <f>IF(S29="","",INDEX('①名簿入力'!$T$4:$T$153,S29)&amp;"")</f>
        <v/>
      </c>
      <c r="S29" s="14">
        <f>IF(D29="","",IFERROR(MATCH(D29,'①名簿入力'!$A$4:$A$153,0),""))</f>
        <v>21</v>
      </c>
      <c r="T29" s="14" t="str">
        <f>IF(S29="","",IF(INDEX('①名簿入力'!$AG$4:$AG$153,S29)=D29,"",INDEX('①名簿入力'!$AG$4:$AG$153,S29)))</f>
        <v/>
      </c>
      <c r="U29" s="14" t="str">
        <f>IF(S29="","",IF(INDEX('①名簿入力'!$AH$4:$AH$153,S29)=D29,"",INDEX('①名簿入力'!$AH$4:$AH$153,S29)))</f>
        <v/>
      </c>
      <c r="V29" s="14" t="str">
        <f>IF(S29="","",IF(INDEX('①名簿入力'!$AI$4:$AI$153,S29)=D29,"",INDEX('①名簿入力'!$AI$4:$AI$153,S29)))</f>
        <v/>
      </c>
      <c r="W29" s="14" t="str">
        <f>IF(T29="","",IFERROR(IF(INDEX($E$9:$E$158,MATCH(T29,$D$9:$D$158,0))="","",INDEX($E$9:$E$158,MATCH(T29,$D$9:$D$158,0))),""))</f>
        <v/>
      </c>
      <c r="X29" s="14" t="str">
        <f>IF(U29="","",IFERROR(IF(INDEX($E$9:$E$158,MATCH(U29,$D$9:$D$158,0))="","",INDEX($E$9:$E$158,MATCH(U29,$D$9:$D$158,0))),""))</f>
        <v/>
      </c>
      <c r="Y29" s="14" t="str">
        <f>IF(V29="","",IFERROR(IF(INDEX($E$9:$E$158,MATCH(V29,$D$9:$D$158,0))="","",INDEX($E$9:$E$158,MATCH(V29,$D$9:$D$158,0))),""))</f>
        <v/>
      </c>
      <c r="Z29" s="14">
        <f>IF(AND(T29&lt;&gt;"",W29&lt;&gt;"",E29&lt;&gt;""),IF(W29=E29,1,0),0)</f>
        <v>0</v>
      </c>
      <c r="AA29" s="14">
        <f>IF(AND(U29&lt;&gt;"",X29&lt;&gt;"",E29&lt;&gt;""),IF(X29=E29,1,0),0)</f>
        <v>0</v>
      </c>
      <c r="AB29" s="14">
        <f>IF(AND(V29&lt;&gt;"",Y29&lt;&gt;"",E29&lt;&gt;""),IF(Y29=E29,1,0),0)</f>
        <v>0</v>
      </c>
      <c r="AC29" s="14" t="str">
        <f>IF(OR(T29="",E29=""),"",T29&amp;"|"&amp;E29)</f>
        <v/>
      </c>
      <c r="AD29" s="14" t="str">
        <f>IF(OR(U29="",E29=""),"",U29&amp;"|"&amp;E29)</f>
        <v/>
      </c>
      <c r="AE29" s="14" t="str">
        <f>IF(OR(V29="",E29=""),"",V29&amp;"|"&amp;E29)</f>
        <v/>
      </c>
      <c r="AF29" s="14">
        <f>IF(OR(D29="",E29=""),0,COUNTIF($AC$9:$AC$158,D29&amp;"|"&amp;E29)+COUNTIF($AD$9:$AD$158,D29&amp;"|"&amp;E29)+COUNTIF($AE$9:$AE$158,D29&amp;"|"&amp;E29))</f>
        <v>0</v>
      </c>
      <c r="AG29" s="14">
        <f>Z29+AA29+AB29+AF29</f>
        <v>0</v>
      </c>
      <c r="AH29" s="14" t="str">
        <f>IF(OR(D29="",E29=""),"",IFERROR(MATCH(D29&amp;"|"&amp;E29,$AC$9:$AC$158,0),""))</f>
        <v/>
      </c>
      <c r="AI29" s="14" t="str">
        <f>IF(OR(D29="",E29=""),"",IFERROR(MATCH(D29&amp;"|"&amp;E29,$AD$9:$AD$158,0),""))</f>
        <v/>
      </c>
      <c r="AJ29" s="14" t="str">
        <f>IF(OR(D29="",E29=""),"",IFERROR(MATCH(D29&amp;"|"&amp;E29,$AE$9:$AE$158,0),""))</f>
        <v/>
      </c>
      <c r="AK29" s="14" t="str">
        <f>IF(Z29=1,IFERROR(INDEX($F$9:$F$158,MATCH(T29,$D$9:$D$158,0)),"")&amp;"、","")&amp;IF(AA29=1,IFERROR(INDEX($F$9:$F$158,MATCH(U29,$D$9:$D$158,0)),"")&amp;"、","")&amp;IF(AB29=1,IFERROR(INDEX($F$9:$F$158,MATCH(V29,$D$9:$D$158,0)),"")&amp;"、","")</f>
        <v/>
      </c>
      <c r="AL29" s="14" t="str">
        <f>IF(OR(AH29=""),"",IF(OR(INDEX($D$9:$D$158,AH29)=T29,INDEX($D$9:$D$158,AH29)=U29,INDEX($D$9:$D$158,AH29)=V29),"",INDEX($F$9:$F$158,AH29)&amp;"、"))&amp;IF(OR(AI29="",AI29=AH29),"",IF(OR(INDEX($D$9:$D$158,AI29)=T29,INDEX($D$9:$D$158,AI29)=U29,INDEX($D$9:$D$158,AI29)=V29),"",INDEX($F$9:$F$158,AI29)&amp;"、"))&amp;IF(OR(AJ29="",AJ29=AH29,AJ29=AI29),"",IF(OR(INDEX($D$9:$D$158,AJ29)=T29,INDEX($D$9:$D$158,AJ29)=U29,INDEX($D$9:$D$158,AJ29)=V29),"",INDEX($F$9:$F$158,AJ29)&amp;"、"))</f>
        <v/>
      </c>
      <c r="AM29" s="14" t="str">
        <f>IF(T29="","",IFERROR(INDEX('①名簿入力'!$C$4:$C$153,MATCH(T29,'①名簿入力'!$A$4:$A$153,0)),"?")&amp;IF(W29="","","("&amp;W29&amp;"組)"))</f>
        <v/>
      </c>
      <c r="AN29" s="14" t="str">
        <f>IF(U29="","",IFERROR(INDEX('①名簿入力'!$C$4:$C$153,MATCH(U29,'①名簿入力'!$A$4:$A$153,0)),"?")&amp;IF(X29="","","("&amp;X29&amp;"組)"))</f>
        <v/>
      </c>
      <c r="AO29" s="14" t="str">
        <f>IF(V29="","",IFERROR(INDEX('①名簿入力'!$C$4:$C$153,MATCH(V29,'①名簿入力'!$A$4:$A$153,0)),"?")&amp;IF(Y29="","","("&amp;Y29&amp;"組)"))</f>
        <v/>
      </c>
      <c r="AP29" s="14">
        <f>IF(G29="男",1,IF(G29="女",2,3))</f>
        <v>2</v>
      </c>
      <c r="AQ29" s="14">
        <f>IF(OR(S29="",E29=""),"",IFERROR(IF('③クラス一覧'!$AD$6="番号順",0,AP29*1000000000)+D29,""))</f>
        <v>2000002121</v>
      </c>
      <c r="AR29" s="14">
        <f>IF(AQ29="","",COUNTIFS($E$9:$E$158,E29,$AQ$9:$AQ$158,"&lt;"&amp;AQ29)+1)</f>
        <v>22</v>
      </c>
      <c r="AS29" s="14" t="str">
        <f>IF(AR29="","",E29&amp;"-"&amp;AR29)</f>
        <v>1-22</v>
      </c>
      <c r="AT29" s="14">
        <f>IF(S29="","",IF(INDEX('①名簿入力'!$F$4:$F$153,S29)="","",INDEX('①名簿入力'!$F$4:$F$153,S29)))</f>
        <v>49</v>
      </c>
      <c r="AU29" s="14">
        <f>IF(S29="","",IF(INDEX('①名簿入力'!$G$4:$G$153,S29)="","",INDEX('①名簿入力'!$G$4:$G$153,S29)))</f>
        <v>47</v>
      </c>
      <c r="AV29" s="14">
        <f>IF(S29="","",IF(INDEX('①名簿入力'!$H$4:$H$153,S29)="","",INDEX('①名簿入力'!$H$4:$H$153,S29)))</f>
        <v>57</v>
      </c>
      <c r="AW29" s="14">
        <f>IF(S29="","",IF(INDEX('①名簿入力'!$I$4:$I$153,S29)="","",INDEX('①名簿入力'!$I$4:$I$153,S29)))</f>
        <v>65</v>
      </c>
      <c r="AX29" s="14">
        <f>IF(S29="","",IF(INDEX('①名簿入力'!$J$4:$J$153,S29)="","",INDEX('①名簿入力'!$J$4:$J$153,S29)))</f>
        <v>65</v>
      </c>
    </row>
    <row r="30">
      <c r="A30" s="23">
        <f>IF('①名簿入力'!A25="","",'①名簿入力'!A25)</f>
        <v>2122</v>
      </c>
      <c r="B30" s="23">
        <f>IF(A30="","",'①名簿入力'!U25)</f>
        <v>1</v>
      </c>
      <c r="D30" s="8" t="n">
        <v>2122</v>
      </c>
      <c r="E30" s="24" t="n">
        <v>1</v>
      </c>
      <c r="F30" s="25" t="str">
        <f>IF(D30="","",IF(S30="","（名簿にない番号）",INDEX('①名簿入力'!$C$4:$C$153,S30)&amp;""))</f>
        <v>中村　楓</v>
      </c>
      <c r="G30" s="13" t="str">
        <f>IF(S30="","",INDEX('①名簿入力'!$E$4:$E$153,S30)&amp;"")</f>
        <v>女</v>
      </c>
      <c r="H30" s="13">
        <f>IF(S30="","",IF(INDEX('①名簿入力'!$B$4:$B$153,S30)="","",INDEX('①名簿入力'!$B$4:$B$153,S30)))</f>
        <v>1</v>
      </c>
      <c r="I30" s="10">
        <f>IF(S30="","",IF(INDEX('①名簿入力'!$K$4:$K$153,S30)="","",INDEX('①名簿入力'!$K$4:$K$153,S30)))</f>
        <v>50.2</v>
      </c>
      <c r="J30" s="10">
        <f>IF(S30="","",IF(INDEX('①名簿入力'!$L$4:$L$153,S30)="","",INDEX('①名簿入力'!$L$4:$L$153,S30)))</f>
        <v>9.3</v>
      </c>
      <c r="K30" s="13" t="str">
        <f>IF(S30="","",IF(INDEX('①名簿入力'!$Y$4:$Y$153,S30)=1,"〇",""))</f>
        <v/>
      </c>
      <c r="L30" s="13" t="str">
        <f>IF(S30="","",IF(INDEX('①名簿入力'!$Z$4:$Z$153,S30)=1,"〇",""))</f>
        <v/>
      </c>
      <c r="M30" s="13" t="str">
        <f>IF(S30="","",IF(INDEX('①名簿入力'!$AA$4:$AA$153,S30)=1,"〇",""))</f>
        <v/>
      </c>
      <c r="N30" s="13" t="str">
        <f>IF(S30="","",IF(INDEX('①名簿入力'!$AB$4:$AB$153,S30)=1,"〇",""))</f>
        <v/>
      </c>
      <c r="O30" s="25" t="str">
        <f>AM30&amp;IF(AND(AM30&lt;&gt;"",AN30&lt;&gt;""),"、","")&amp;AN30&amp;IF(AND(AM30&amp;AN30&lt;&gt;"",AO30&lt;&gt;""),"、","")&amp;AO30</f>
        <v/>
      </c>
      <c r="P30" s="25" t="str">
        <f>IF(AG30=0,"",IF(AK30&amp;AL30="","⚠",LEFT(AK30&amp;AL30,LEN(AK30&amp;AL30)-1)))</f>
        <v/>
      </c>
      <c r="Q30" s="25" t="str">
        <f>IF(S30="","",INDEX('①名簿入力'!$T$4:$T$153,S30)&amp;"")</f>
        <v/>
      </c>
      <c r="S30" s="14">
        <f>IF(D30="","",IFERROR(MATCH(D30,'①名簿入力'!$A$4:$A$153,0),""))</f>
        <v>22</v>
      </c>
      <c r="T30" s="14" t="str">
        <f>IF(S30="","",IF(INDEX('①名簿入力'!$AG$4:$AG$153,S30)=D30,"",INDEX('①名簿入力'!$AG$4:$AG$153,S30)))</f>
        <v/>
      </c>
      <c r="U30" s="14" t="str">
        <f>IF(S30="","",IF(INDEX('①名簿入力'!$AH$4:$AH$153,S30)=D30,"",INDEX('①名簿入力'!$AH$4:$AH$153,S30)))</f>
        <v/>
      </c>
      <c r="V30" s="14" t="str">
        <f>IF(S30="","",IF(INDEX('①名簿入力'!$AI$4:$AI$153,S30)=D30,"",INDEX('①名簿入力'!$AI$4:$AI$153,S30)))</f>
        <v/>
      </c>
      <c r="W30" s="14" t="str">
        <f>IF(T30="","",IFERROR(IF(INDEX($E$9:$E$158,MATCH(T30,$D$9:$D$158,0))="","",INDEX($E$9:$E$158,MATCH(T30,$D$9:$D$158,0))),""))</f>
        <v/>
      </c>
      <c r="X30" s="14" t="str">
        <f>IF(U30="","",IFERROR(IF(INDEX($E$9:$E$158,MATCH(U30,$D$9:$D$158,0))="","",INDEX($E$9:$E$158,MATCH(U30,$D$9:$D$158,0))),""))</f>
        <v/>
      </c>
      <c r="Y30" s="14" t="str">
        <f>IF(V30="","",IFERROR(IF(INDEX($E$9:$E$158,MATCH(V30,$D$9:$D$158,0))="","",INDEX($E$9:$E$158,MATCH(V30,$D$9:$D$158,0))),""))</f>
        <v/>
      </c>
      <c r="Z30" s="14">
        <f>IF(AND(T30&lt;&gt;"",W30&lt;&gt;"",E30&lt;&gt;""),IF(W30=E30,1,0),0)</f>
        <v>0</v>
      </c>
      <c r="AA30" s="14">
        <f>IF(AND(U30&lt;&gt;"",X30&lt;&gt;"",E30&lt;&gt;""),IF(X30=E30,1,0),0)</f>
        <v>0</v>
      </c>
      <c r="AB30" s="14">
        <f>IF(AND(V30&lt;&gt;"",Y30&lt;&gt;"",E30&lt;&gt;""),IF(Y30=E30,1,0),0)</f>
        <v>0</v>
      </c>
      <c r="AC30" s="14" t="str">
        <f>IF(OR(T30="",E30=""),"",T30&amp;"|"&amp;E30)</f>
        <v/>
      </c>
      <c r="AD30" s="14" t="str">
        <f>IF(OR(U30="",E30=""),"",U30&amp;"|"&amp;E30)</f>
        <v/>
      </c>
      <c r="AE30" s="14" t="str">
        <f>IF(OR(V30="",E30=""),"",V30&amp;"|"&amp;E30)</f>
        <v/>
      </c>
      <c r="AF30" s="14">
        <f>IF(OR(D30="",E30=""),0,COUNTIF($AC$9:$AC$158,D30&amp;"|"&amp;E30)+COUNTIF($AD$9:$AD$158,D30&amp;"|"&amp;E30)+COUNTIF($AE$9:$AE$158,D30&amp;"|"&amp;E30))</f>
        <v>0</v>
      </c>
      <c r="AG30" s="14">
        <f>Z30+AA30+AB30+AF30</f>
        <v>0</v>
      </c>
      <c r="AH30" s="14" t="str">
        <f>IF(OR(D30="",E30=""),"",IFERROR(MATCH(D30&amp;"|"&amp;E30,$AC$9:$AC$158,0),""))</f>
        <v/>
      </c>
      <c r="AI30" s="14" t="str">
        <f>IF(OR(D30="",E30=""),"",IFERROR(MATCH(D30&amp;"|"&amp;E30,$AD$9:$AD$158,0),""))</f>
        <v/>
      </c>
      <c r="AJ30" s="14" t="str">
        <f>IF(OR(D30="",E30=""),"",IFERROR(MATCH(D30&amp;"|"&amp;E30,$AE$9:$AE$158,0),""))</f>
        <v/>
      </c>
      <c r="AK30" s="14" t="str">
        <f>IF(Z30=1,IFERROR(INDEX($F$9:$F$158,MATCH(T30,$D$9:$D$158,0)),"")&amp;"、","")&amp;IF(AA30=1,IFERROR(INDEX($F$9:$F$158,MATCH(U30,$D$9:$D$158,0)),"")&amp;"、","")&amp;IF(AB30=1,IFERROR(INDEX($F$9:$F$158,MATCH(V30,$D$9:$D$158,0)),"")&amp;"、","")</f>
        <v/>
      </c>
      <c r="AL30" s="14" t="str">
        <f>IF(OR(AH30=""),"",IF(OR(INDEX($D$9:$D$158,AH30)=T30,INDEX($D$9:$D$158,AH30)=U30,INDEX($D$9:$D$158,AH30)=V30),"",INDEX($F$9:$F$158,AH30)&amp;"、"))&amp;IF(OR(AI30="",AI30=AH30),"",IF(OR(INDEX($D$9:$D$158,AI30)=T30,INDEX($D$9:$D$158,AI30)=U30,INDEX($D$9:$D$158,AI30)=V30),"",INDEX($F$9:$F$158,AI30)&amp;"、"))&amp;IF(OR(AJ30="",AJ30=AH30,AJ30=AI30),"",IF(OR(INDEX($D$9:$D$158,AJ30)=T30,INDEX($D$9:$D$158,AJ30)=U30,INDEX($D$9:$D$158,AJ30)=V30),"",INDEX($F$9:$F$158,AJ30)&amp;"、"))</f>
        <v/>
      </c>
      <c r="AM30" s="14" t="str">
        <f>IF(T30="","",IFERROR(INDEX('①名簿入力'!$C$4:$C$153,MATCH(T30,'①名簿入力'!$A$4:$A$153,0)),"?")&amp;IF(W30="","","("&amp;W30&amp;"組)"))</f>
        <v/>
      </c>
      <c r="AN30" s="14" t="str">
        <f>IF(U30="","",IFERROR(INDEX('①名簿入力'!$C$4:$C$153,MATCH(U30,'①名簿入力'!$A$4:$A$153,0)),"?")&amp;IF(X30="","","("&amp;X30&amp;"組)"))</f>
        <v/>
      </c>
      <c r="AO30" s="14" t="str">
        <f>IF(V30="","",IFERROR(INDEX('①名簿入力'!$C$4:$C$153,MATCH(V30,'①名簿入力'!$A$4:$A$153,0)),"?")&amp;IF(Y30="","","("&amp;Y30&amp;"組)"))</f>
        <v/>
      </c>
      <c r="AP30" s="14">
        <f>IF(G30="男",1,IF(G30="女",2,3))</f>
        <v>2</v>
      </c>
      <c r="AQ30" s="14">
        <f>IF(OR(S30="",E30=""),"",IFERROR(IF('③クラス一覧'!$AD$6="番号順",0,AP30*1000000000)+D30,""))</f>
        <v>2000002122</v>
      </c>
      <c r="AR30" s="14">
        <f>IF(AQ30="","",COUNTIFS($E$9:$E$158,E30,$AQ$9:$AQ$158,"&lt;"&amp;AQ30)+1)</f>
        <v>23</v>
      </c>
      <c r="AS30" s="14" t="str">
        <f>IF(AR30="","",E30&amp;"-"&amp;AR30)</f>
        <v>1-23</v>
      </c>
      <c r="AT30" s="14">
        <f>IF(S30="","",IF(INDEX('①名簿入力'!$F$4:$F$153,S30)="","",INDEX('①名簿入力'!$F$4:$F$153,S30)))</f>
        <v>38</v>
      </c>
      <c r="AU30" s="14">
        <f>IF(S30="","",IF(INDEX('①名簿入力'!$G$4:$G$153,S30)="","",INDEX('①名簿入力'!$G$4:$G$153,S30)))</f>
        <v>54</v>
      </c>
      <c r="AV30" s="14">
        <f>IF(S30="","",IF(INDEX('①名簿入力'!$H$4:$H$153,S30)="","",INDEX('①名簿入力'!$H$4:$H$153,S30)))</f>
        <v>64</v>
      </c>
      <c r="AW30" s="14">
        <f>IF(S30="","",IF(INDEX('①名簿入力'!$I$4:$I$153,S30)="","",INDEX('①名簿入力'!$I$4:$I$153,S30)))</f>
        <v>54</v>
      </c>
      <c r="AX30" s="14">
        <f>IF(S30="","",IF(INDEX('①名簿入力'!$J$4:$J$153,S30)="","",INDEX('①名簿入力'!$J$4:$J$153,S30)))</f>
        <v>41</v>
      </c>
    </row>
    <row r="31">
      <c r="A31" s="23">
        <f>IF('①名簿入力'!A26="","",'①名簿入力'!A26)</f>
        <v>2123</v>
      </c>
      <c r="B31" s="23">
        <f>IF(A31="","",'①名簿入力'!U26)</f>
        <v>2</v>
      </c>
      <c r="D31" s="8" t="n">
        <v>2123</v>
      </c>
      <c r="E31" s="24" t="n">
        <v>2</v>
      </c>
      <c r="F31" s="25" t="str">
        <f>IF(D31="","",IF(S31="","（名簿にない番号）",INDEX('①名簿入力'!$C$4:$C$153,S31)&amp;""))</f>
        <v>原田　杏</v>
      </c>
      <c r="G31" s="13" t="str">
        <f>IF(S31="","",INDEX('①名簿入力'!$E$4:$E$153,S31)&amp;"")</f>
        <v>女</v>
      </c>
      <c r="H31" s="13">
        <f>IF(S31="","",IF(INDEX('①名簿入力'!$B$4:$B$153,S31)="","",INDEX('①名簿入力'!$B$4:$B$153,S31)))</f>
        <v>1</v>
      </c>
      <c r="I31" s="10">
        <f>IF(S31="","",IF(INDEX('①名簿入力'!$K$4:$K$153,S31)="","",INDEX('①名簿入力'!$K$4:$K$153,S31)))</f>
        <v>60.4</v>
      </c>
      <c r="J31" s="10">
        <f>IF(S31="","",IF(INDEX('①名簿入力'!$L$4:$L$153,S31)="","",INDEX('①名簿入力'!$L$4:$L$153,S31)))</f>
        <v>9</v>
      </c>
      <c r="K31" s="13" t="str">
        <f>IF(S31="","",IF(INDEX('①名簿入力'!$Y$4:$Y$153,S31)=1,"〇",""))</f>
        <v/>
      </c>
      <c r="L31" s="13" t="str">
        <f>IF(S31="","",IF(INDEX('①名簿入力'!$Z$4:$Z$153,S31)=1,"〇",""))</f>
        <v>〇</v>
      </c>
      <c r="M31" s="13" t="str">
        <f>IF(S31="","",IF(INDEX('①名簿入力'!$AA$4:$AA$153,S31)=1,"〇",""))</f>
        <v/>
      </c>
      <c r="N31" s="13" t="str">
        <f>IF(S31="","",IF(INDEX('①名簿入力'!$AB$4:$AB$153,S31)=1,"〇",""))</f>
        <v/>
      </c>
      <c r="O31" s="25" t="str">
        <f>AM31&amp;IF(AND(AM31&lt;&gt;"",AN31&lt;&gt;""),"、","")&amp;AN31&amp;IF(AND(AM31&amp;AN31&lt;&gt;"",AO31&lt;&gt;""),"、","")&amp;AO31</f>
        <v/>
      </c>
      <c r="P31" s="25" t="str">
        <f>IF(AG31=0,"",IF(AK31&amp;AL31="","⚠",LEFT(AK31&amp;AL31,LEN(AK31&amp;AL31)-1)))</f>
        <v/>
      </c>
      <c r="Q31" s="25" t="str">
        <f>IF(S31="","",INDEX('①名簿入力'!$T$4:$T$153,S31)&amp;"")</f>
        <v/>
      </c>
      <c r="S31" s="14">
        <f>IF(D31="","",IFERROR(MATCH(D31,'①名簿入力'!$A$4:$A$153,0),""))</f>
        <v>23</v>
      </c>
      <c r="T31" s="14" t="str">
        <f>IF(S31="","",IF(INDEX('①名簿入力'!$AG$4:$AG$153,S31)=D31,"",INDEX('①名簿入力'!$AG$4:$AG$153,S31)))</f>
        <v/>
      </c>
      <c r="U31" s="14" t="str">
        <f>IF(S31="","",IF(INDEX('①名簿入力'!$AH$4:$AH$153,S31)=D31,"",INDEX('①名簿入力'!$AH$4:$AH$153,S31)))</f>
        <v/>
      </c>
      <c r="V31" s="14" t="str">
        <f>IF(S31="","",IF(INDEX('①名簿入力'!$AI$4:$AI$153,S31)=D31,"",INDEX('①名簿入力'!$AI$4:$AI$153,S31)))</f>
        <v/>
      </c>
      <c r="W31" s="14" t="str">
        <f>IF(T31="","",IFERROR(IF(INDEX($E$9:$E$158,MATCH(T31,$D$9:$D$158,0))="","",INDEX($E$9:$E$158,MATCH(T31,$D$9:$D$158,0))),""))</f>
        <v/>
      </c>
      <c r="X31" s="14" t="str">
        <f>IF(U31="","",IFERROR(IF(INDEX($E$9:$E$158,MATCH(U31,$D$9:$D$158,0))="","",INDEX($E$9:$E$158,MATCH(U31,$D$9:$D$158,0))),""))</f>
        <v/>
      </c>
      <c r="Y31" s="14" t="str">
        <f>IF(V31="","",IFERROR(IF(INDEX($E$9:$E$158,MATCH(V31,$D$9:$D$158,0))="","",INDEX($E$9:$E$158,MATCH(V31,$D$9:$D$158,0))),""))</f>
        <v/>
      </c>
      <c r="Z31" s="14">
        <f>IF(AND(T31&lt;&gt;"",W31&lt;&gt;"",E31&lt;&gt;""),IF(W31=E31,1,0),0)</f>
        <v>0</v>
      </c>
      <c r="AA31" s="14">
        <f>IF(AND(U31&lt;&gt;"",X31&lt;&gt;"",E31&lt;&gt;""),IF(X31=E31,1,0),0)</f>
        <v>0</v>
      </c>
      <c r="AB31" s="14">
        <f>IF(AND(V31&lt;&gt;"",Y31&lt;&gt;"",E31&lt;&gt;""),IF(Y31=E31,1,0),0)</f>
        <v>0</v>
      </c>
      <c r="AC31" s="14" t="str">
        <f>IF(OR(T31="",E31=""),"",T31&amp;"|"&amp;E31)</f>
        <v/>
      </c>
      <c r="AD31" s="14" t="str">
        <f>IF(OR(U31="",E31=""),"",U31&amp;"|"&amp;E31)</f>
        <v/>
      </c>
      <c r="AE31" s="14" t="str">
        <f>IF(OR(V31="",E31=""),"",V31&amp;"|"&amp;E31)</f>
        <v/>
      </c>
      <c r="AF31" s="14">
        <f>IF(OR(D31="",E31=""),0,COUNTIF($AC$9:$AC$158,D31&amp;"|"&amp;E31)+COUNTIF($AD$9:$AD$158,D31&amp;"|"&amp;E31)+COUNTIF($AE$9:$AE$158,D31&amp;"|"&amp;E31))</f>
        <v>0</v>
      </c>
      <c r="AG31" s="14">
        <f>Z31+AA31+AB31+AF31</f>
        <v>0</v>
      </c>
      <c r="AH31" s="14" t="str">
        <f>IF(OR(D31="",E31=""),"",IFERROR(MATCH(D31&amp;"|"&amp;E31,$AC$9:$AC$158,0),""))</f>
        <v/>
      </c>
      <c r="AI31" s="14" t="str">
        <f>IF(OR(D31="",E31=""),"",IFERROR(MATCH(D31&amp;"|"&amp;E31,$AD$9:$AD$158,0),""))</f>
        <v/>
      </c>
      <c r="AJ31" s="14" t="str">
        <f>IF(OR(D31="",E31=""),"",IFERROR(MATCH(D31&amp;"|"&amp;E31,$AE$9:$AE$158,0),""))</f>
        <v/>
      </c>
      <c r="AK31" s="14" t="str">
        <f>IF(Z31=1,IFERROR(INDEX($F$9:$F$158,MATCH(T31,$D$9:$D$158,0)),"")&amp;"、","")&amp;IF(AA31=1,IFERROR(INDEX($F$9:$F$158,MATCH(U31,$D$9:$D$158,0)),"")&amp;"、","")&amp;IF(AB31=1,IFERROR(INDEX($F$9:$F$158,MATCH(V31,$D$9:$D$158,0)),"")&amp;"、","")</f>
        <v/>
      </c>
      <c r="AL31" s="14" t="str">
        <f>IF(OR(AH31=""),"",IF(OR(INDEX($D$9:$D$158,AH31)=T31,INDEX($D$9:$D$158,AH31)=U31,INDEX($D$9:$D$158,AH31)=V31),"",INDEX($F$9:$F$158,AH31)&amp;"、"))&amp;IF(OR(AI31="",AI31=AH31),"",IF(OR(INDEX($D$9:$D$158,AI31)=T31,INDEX($D$9:$D$158,AI31)=U31,INDEX($D$9:$D$158,AI31)=V31),"",INDEX($F$9:$F$158,AI31)&amp;"、"))&amp;IF(OR(AJ31="",AJ31=AH31,AJ31=AI31),"",IF(OR(INDEX($D$9:$D$158,AJ31)=T31,INDEX($D$9:$D$158,AJ31)=U31,INDEX($D$9:$D$158,AJ31)=V31),"",INDEX($F$9:$F$158,AJ31)&amp;"、"))</f>
        <v/>
      </c>
      <c r="AM31" s="14" t="str">
        <f>IF(T31="","",IFERROR(INDEX('①名簿入力'!$C$4:$C$153,MATCH(T31,'①名簿入力'!$A$4:$A$153,0)),"?")&amp;IF(W31="","","("&amp;W31&amp;"組)"))</f>
        <v/>
      </c>
      <c r="AN31" s="14" t="str">
        <f>IF(U31="","",IFERROR(INDEX('①名簿入力'!$C$4:$C$153,MATCH(U31,'①名簿入力'!$A$4:$A$153,0)),"?")&amp;IF(X31="","","("&amp;X31&amp;"組)"))</f>
        <v/>
      </c>
      <c r="AO31" s="14" t="str">
        <f>IF(V31="","",IFERROR(INDEX('①名簿入力'!$C$4:$C$153,MATCH(V31,'①名簿入力'!$A$4:$A$153,0)),"?")&amp;IF(Y31="","","("&amp;Y31&amp;"組)"))</f>
        <v/>
      </c>
      <c r="AP31" s="14">
        <f>IF(G31="男",1,IF(G31="女",2,3))</f>
        <v>2</v>
      </c>
      <c r="AQ31" s="14">
        <f>IF(OR(S31="",E31=""),"",IFERROR(IF('③クラス一覧'!$AD$6="番号順",0,AP31*1000000000)+D31,""))</f>
        <v>2000002123</v>
      </c>
      <c r="AR31" s="14">
        <f>IF(AQ31="","",COUNTIFS($E$9:$E$158,E31,$AQ$9:$AQ$158,"&lt;"&amp;AQ31)+1)</f>
        <v>21</v>
      </c>
      <c r="AS31" s="14" t="str">
        <f>IF(AR31="","",E31&amp;"-"&amp;AR31)</f>
        <v>2-21</v>
      </c>
      <c r="AT31" s="14">
        <f>IF(S31="","",IF(INDEX('①名簿入力'!$F$4:$F$153,S31)="","",INDEX('①名簿入力'!$F$4:$F$153,S31)))</f>
        <v>53</v>
      </c>
      <c r="AU31" s="14">
        <f>IF(S31="","",IF(INDEX('①名簿入力'!$G$4:$G$153,S31)="","",INDEX('①名簿入力'!$G$4:$G$153,S31)))</f>
        <v>59</v>
      </c>
      <c r="AV31" s="14">
        <f>IF(S31="","",IF(INDEX('①名簿入力'!$H$4:$H$153,S31)="","",INDEX('①名簿入力'!$H$4:$H$153,S31)))</f>
        <v>55</v>
      </c>
      <c r="AW31" s="14">
        <f>IF(S31="","",IF(INDEX('①名簿入力'!$I$4:$I$153,S31)="","",INDEX('①名簿入力'!$I$4:$I$153,S31)))</f>
        <v>73</v>
      </c>
      <c r="AX31" s="14">
        <f>IF(S31="","",IF(INDEX('①名簿入力'!$J$4:$J$153,S31)="","",INDEX('①名簿入力'!$J$4:$J$153,S31)))</f>
        <v>62</v>
      </c>
    </row>
    <row r="32">
      <c r="A32" s="23">
        <f>IF('①名簿入力'!A27="","",'①名簿入力'!A27)</f>
        <v>2124</v>
      </c>
      <c r="B32" s="23">
        <f>IF(A32="","",'①名簿入力'!U27)</f>
        <v>2</v>
      </c>
      <c r="D32" s="8" t="n">
        <v>2124</v>
      </c>
      <c r="E32" s="24" t="n">
        <v>2</v>
      </c>
      <c r="F32" s="25" t="str">
        <f>IF(D32="","",IF(S32="","（名簿にない番号）",INDEX('①名簿入力'!$C$4:$C$153,S32)&amp;""))</f>
        <v>前田　奏太</v>
      </c>
      <c r="G32" s="13" t="str">
        <f>IF(S32="","",INDEX('①名簿入力'!$E$4:$E$153,S32)&amp;"")</f>
        <v>男</v>
      </c>
      <c r="H32" s="13">
        <f>IF(S32="","",IF(INDEX('①名簿入力'!$B$4:$B$153,S32)="","",INDEX('①名簿入力'!$B$4:$B$153,S32)))</f>
        <v>1</v>
      </c>
      <c r="I32" s="10">
        <f>IF(S32="","",IF(INDEX('①名簿入力'!$K$4:$K$153,S32)="","",INDEX('①名簿入力'!$K$4:$K$153,S32)))</f>
        <v>75.6</v>
      </c>
      <c r="J32" s="10">
        <f>IF(S32="","",IF(INDEX('①名簿入力'!$L$4:$L$153,S32)="","",INDEX('①名簿入力'!$L$4:$L$153,S32)))</f>
        <v>8</v>
      </c>
      <c r="K32" s="13" t="str">
        <f>IF(S32="","",IF(INDEX('①名簿入力'!$Y$4:$Y$153,S32)=1,"〇",""))</f>
        <v/>
      </c>
      <c r="L32" s="13" t="str">
        <f>IF(S32="","",IF(INDEX('①名簿入力'!$Z$4:$Z$153,S32)=1,"〇",""))</f>
        <v/>
      </c>
      <c r="M32" s="13" t="str">
        <f>IF(S32="","",IF(INDEX('①名簿入力'!$AA$4:$AA$153,S32)=1,"〇",""))</f>
        <v/>
      </c>
      <c r="N32" s="13" t="str">
        <f>IF(S32="","",IF(INDEX('①名簿入力'!$AB$4:$AB$153,S32)=1,"〇",""))</f>
        <v/>
      </c>
      <c r="O32" s="25" t="str">
        <f>AM32&amp;IF(AND(AM32&lt;&gt;"",AN32&lt;&gt;""),"、","")&amp;AN32&amp;IF(AND(AM32&amp;AN32&lt;&gt;"",AO32&lt;&gt;""),"、","")&amp;AO32</f>
        <v>阿部　陽葵(3組)</v>
      </c>
      <c r="P32" s="25" t="str">
        <f>IF(AG32=0,"",IF(AK32&amp;AL32="","⚠",LEFT(AK32&amp;AL32,LEN(AK32&amp;AL32)-1)))</f>
        <v/>
      </c>
      <c r="Q32" s="25" t="str">
        <f>IF(S32="","",INDEX('①名簿入力'!$T$4:$T$153,S32)&amp;"")</f>
        <v/>
      </c>
      <c r="S32" s="14">
        <f>IF(D32="","",IFERROR(MATCH(D32,'①名簿入力'!$A$4:$A$153,0),""))</f>
        <v>24</v>
      </c>
      <c r="T32" s="14">
        <f>IF(S32="","",IF(INDEX('①名簿入力'!$AG$4:$AG$153,S32)=D32,"",INDEX('①名簿入力'!$AG$4:$AG$153,S32)))</f>
        <v>2102</v>
      </c>
      <c r="U32" s="14" t="str">
        <f>IF(S32="","",IF(INDEX('①名簿入力'!$AH$4:$AH$153,S32)=D32,"",INDEX('①名簿入力'!$AH$4:$AH$153,S32)))</f>
        <v/>
      </c>
      <c r="V32" s="14" t="str">
        <f>IF(S32="","",IF(INDEX('①名簿入力'!$AI$4:$AI$153,S32)=D32,"",INDEX('①名簿入力'!$AI$4:$AI$153,S32)))</f>
        <v/>
      </c>
      <c r="W32" s="14">
        <f>IF(T32="","",IFERROR(IF(INDEX($E$9:$E$158,MATCH(T32,$D$9:$D$158,0))="","",INDEX($E$9:$E$158,MATCH(T32,$D$9:$D$158,0))),""))</f>
        <v>3</v>
      </c>
      <c r="X32" s="14" t="str">
        <f>IF(U32="","",IFERROR(IF(INDEX($E$9:$E$158,MATCH(U32,$D$9:$D$158,0))="","",INDEX($E$9:$E$158,MATCH(U32,$D$9:$D$158,0))),""))</f>
        <v/>
      </c>
      <c r="Y32" s="14" t="str">
        <f>IF(V32="","",IFERROR(IF(INDEX($E$9:$E$158,MATCH(V32,$D$9:$D$158,0))="","",INDEX($E$9:$E$158,MATCH(V32,$D$9:$D$158,0))),""))</f>
        <v/>
      </c>
      <c r="Z32" s="14">
        <f>IF(AND(T32&lt;&gt;"",W32&lt;&gt;"",E32&lt;&gt;""),IF(W32=E32,1,0),0)</f>
        <v>0</v>
      </c>
      <c r="AA32" s="14">
        <f>IF(AND(U32&lt;&gt;"",X32&lt;&gt;"",E32&lt;&gt;""),IF(X32=E32,1,0),0)</f>
        <v>0</v>
      </c>
      <c r="AB32" s="14">
        <f>IF(AND(V32&lt;&gt;"",Y32&lt;&gt;"",E32&lt;&gt;""),IF(Y32=E32,1,0),0)</f>
        <v>0</v>
      </c>
      <c r="AC32" s="14" t="str">
        <f>IF(OR(T32="",E32=""),"",T32&amp;"|"&amp;E32)</f>
        <v>2102|2</v>
      </c>
      <c r="AD32" s="14" t="str">
        <f>IF(OR(U32="",E32=""),"",U32&amp;"|"&amp;E32)</f>
        <v/>
      </c>
      <c r="AE32" s="14" t="str">
        <f>IF(OR(V32="",E32=""),"",V32&amp;"|"&amp;E32)</f>
        <v/>
      </c>
      <c r="AF32" s="14">
        <f>IF(OR(D32="",E32=""),0,COUNTIF($AC$9:$AC$158,D32&amp;"|"&amp;E32)+COUNTIF($AD$9:$AD$158,D32&amp;"|"&amp;E32)+COUNTIF($AE$9:$AE$158,D32&amp;"|"&amp;E32))</f>
        <v>0</v>
      </c>
      <c r="AG32" s="14">
        <f>Z32+AA32+AB32+AF32</f>
        <v>0</v>
      </c>
      <c r="AH32" s="14" t="str">
        <f>IF(OR(D32="",E32=""),"",IFERROR(MATCH(D32&amp;"|"&amp;E32,$AC$9:$AC$158,0),""))</f>
        <v/>
      </c>
      <c r="AI32" s="14" t="str">
        <f>IF(OR(D32="",E32=""),"",IFERROR(MATCH(D32&amp;"|"&amp;E32,$AD$9:$AD$158,0),""))</f>
        <v/>
      </c>
      <c r="AJ32" s="14" t="str">
        <f>IF(OR(D32="",E32=""),"",IFERROR(MATCH(D32&amp;"|"&amp;E32,$AE$9:$AE$158,0),""))</f>
        <v/>
      </c>
      <c r="AK32" s="14" t="str">
        <f>IF(Z32=1,IFERROR(INDEX($F$9:$F$158,MATCH(T32,$D$9:$D$158,0)),"")&amp;"、","")&amp;IF(AA32=1,IFERROR(INDEX($F$9:$F$158,MATCH(U32,$D$9:$D$158,0)),"")&amp;"、","")&amp;IF(AB32=1,IFERROR(INDEX($F$9:$F$158,MATCH(V32,$D$9:$D$158,0)),"")&amp;"、","")</f>
        <v/>
      </c>
      <c r="AL32" s="14" t="str">
        <f>IF(OR(AH32=""),"",IF(OR(INDEX($D$9:$D$158,AH32)=T32,INDEX($D$9:$D$158,AH32)=U32,INDEX($D$9:$D$158,AH32)=V32),"",INDEX($F$9:$F$158,AH32)&amp;"、"))&amp;IF(OR(AI32="",AI32=AH32),"",IF(OR(INDEX($D$9:$D$158,AI32)=T32,INDEX($D$9:$D$158,AI32)=U32,INDEX($D$9:$D$158,AI32)=V32),"",INDEX($F$9:$F$158,AI32)&amp;"、"))&amp;IF(OR(AJ32="",AJ32=AH32,AJ32=AI32),"",IF(OR(INDEX($D$9:$D$158,AJ32)=T32,INDEX($D$9:$D$158,AJ32)=U32,INDEX($D$9:$D$158,AJ32)=V32),"",INDEX($F$9:$F$158,AJ32)&amp;"、"))</f>
        <v/>
      </c>
      <c r="AM32" s="14" t="str">
        <f>IF(T32="","",IFERROR(INDEX('①名簿入力'!$C$4:$C$153,MATCH(T32,'①名簿入力'!$A$4:$A$153,0)),"?")&amp;IF(W32="","","("&amp;W32&amp;"組)"))</f>
        <v>阿部　陽葵(3組)</v>
      </c>
      <c r="AN32" s="14" t="str">
        <f>IF(U32="","",IFERROR(INDEX('①名簿入力'!$C$4:$C$153,MATCH(U32,'①名簿入力'!$A$4:$A$153,0)),"?")&amp;IF(X32="","","("&amp;X32&amp;"組)"))</f>
        <v/>
      </c>
      <c r="AO32" s="14" t="str">
        <f>IF(V32="","",IFERROR(INDEX('①名簿入力'!$C$4:$C$153,MATCH(V32,'①名簿入力'!$A$4:$A$153,0)),"?")&amp;IF(Y32="","","("&amp;Y32&amp;"組)"))</f>
        <v/>
      </c>
      <c r="AP32" s="14">
        <f>IF(G32="男",1,IF(G32="女",2,3))</f>
        <v>1</v>
      </c>
      <c r="AQ32" s="14">
        <f>IF(OR(S32="",E32=""),"",IFERROR(IF('③クラス一覧'!$AD$6="番号順",0,AP32*1000000000)+D32,""))</f>
        <v>1000002124</v>
      </c>
      <c r="AR32" s="14">
        <f>IF(AQ32="","",COUNTIFS($E$9:$E$158,E32,$AQ$9:$AQ$158,"&lt;"&amp;AQ32)+1)</f>
        <v>4</v>
      </c>
      <c r="AS32" s="14" t="str">
        <f>IF(AR32="","",E32&amp;"-"&amp;AR32)</f>
        <v>2-4</v>
      </c>
      <c r="AT32" s="14">
        <f>IF(S32="","",IF(INDEX('①名簿入力'!$F$4:$F$153,S32)="","",INDEX('①名簿入力'!$F$4:$F$153,S32)))</f>
        <v>80</v>
      </c>
      <c r="AU32" s="14">
        <f>IF(S32="","",IF(INDEX('①名簿入力'!$G$4:$G$153,S32)="","",INDEX('①名簿入力'!$G$4:$G$153,S32)))</f>
        <v>76</v>
      </c>
      <c r="AV32" s="14">
        <f>IF(S32="","",IF(INDEX('①名簿入力'!$H$4:$H$153,S32)="","",INDEX('①名簿入力'!$H$4:$H$153,S32)))</f>
        <v>78</v>
      </c>
      <c r="AW32" s="14">
        <f>IF(S32="","",IF(INDEX('①名簿入力'!$I$4:$I$153,S32)="","",INDEX('①名簿入力'!$I$4:$I$153,S32)))</f>
        <v>73</v>
      </c>
      <c r="AX32" s="14">
        <f>IF(S32="","",IF(INDEX('①名簿入力'!$J$4:$J$153,S32)="","",INDEX('①名簿入力'!$J$4:$J$153,S32)))</f>
        <v>71</v>
      </c>
    </row>
    <row r="33">
      <c r="A33" s="23">
        <f>IF('①名簿入力'!A28="","",'①名簿入力'!A28)</f>
        <v>2125</v>
      </c>
      <c r="B33" s="23">
        <f>IF(A33="","",'①名簿入力'!U28)</f>
        <v>1</v>
      </c>
      <c r="D33" s="8" t="n">
        <v>2125</v>
      </c>
      <c r="E33" s="24" t="n">
        <v>1</v>
      </c>
      <c r="F33" s="25" t="str">
        <f>IF(D33="","",IF(S33="","（名簿にない番号）",INDEX('①名簿入力'!$C$4:$C$153,S33)&amp;""))</f>
        <v>前田　颯太</v>
      </c>
      <c r="G33" s="13" t="str">
        <f>IF(S33="","",INDEX('①名簿入力'!$E$4:$E$153,S33)&amp;"")</f>
        <v>男</v>
      </c>
      <c r="H33" s="13">
        <f>IF(S33="","",IF(INDEX('①名簿入力'!$B$4:$B$153,S33)="","",INDEX('①名簿入力'!$B$4:$B$153,S33)))</f>
        <v>1</v>
      </c>
      <c r="I33" s="10">
        <f>IF(S33="","",IF(INDEX('①名簿入力'!$K$4:$K$153,S33)="","",INDEX('①名簿入力'!$K$4:$K$153,S33)))</f>
        <v>51.4</v>
      </c>
      <c r="J33" s="10">
        <f>IF(S33="","",IF(INDEX('①名簿入力'!$L$4:$L$153,S33)="","",INDEX('①名簿入力'!$L$4:$L$153,S33)))</f>
        <v>8.1</v>
      </c>
      <c r="K33" s="13" t="str">
        <f>IF(S33="","",IF(INDEX('①名簿入力'!$Y$4:$Y$153,S33)=1,"〇",""))</f>
        <v/>
      </c>
      <c r="L33" s="13" t="str">
        <f>IF(S33="","",IF(INDEX('①名簿入力'!$Z$4:$Z$153,S33)=1,"〇",""))</f>
        <v/>
      </c>
      <c r="M33" s="13" t="str">
        <f>IF(S33="","",IF(INDEX('①名簿入力'!$AA$4:$AA$153,S33)=1,"〇",""))</f>
        <v>〇</v>
      </c>
      <c r="N33" s="13" t="str">
        <f>IF(S33="","",IF(INDEX('①名簿入力'!$AB$4:$AB$153,S33)=1,"〇",""))</f>
        <v/>
      </c>
      <c r="O33" s="25" t="str">
        <f>AM33&amp;IF(AND(AM33&lt;&gt;"",AN33&lt;&gt;""),"、","")&amp;AN33&amp;IF(AND(AM33&amp;AN33&lt;&gt;"",AO33&lt;&gt;""),"、","")&amp;AO33</f>
        <v/>
      </c>
      <c r="P33" s="25" t="str">
        <f>IF(AG33=0,"",IF(AK33&amp;AL33="","⚠",LEFT(AK33&amp;AL33,LEN(AK33&amp;AL33)-1)))</f>
        <v/>
      </c>
      <c r="Q33" s="25" t="str">
        <f>IF(S33="","",INDEX('①名簿入力'!$T$4:$T$153,S33)&amp;"")</f>
        <v/>
      </c>
      <c r="S33" s="14">
        <f>IF(D33="","",IFERROR(MATCH(D33,'①名簿入力'!$A$4:$A$153,0),""))</f>
        <v>25</v>
      </c>
      <c r="T33" s="14" t="str">
        <f>IF(S33="","",IF(INDEX('①名簿入力'!$AG$4:$AG$153,S33)=D33,"",INDEX('①名簿入力'!$AG$4:$AG$153,S33)))</f>
        <v/>
      </c>
      <c r="U33" s="14" t="str">
        <f>IF(S33="","",IF(INDEX('①名簿入力'!$AH$4:$AH$153,S33)=D33,"",INDEX('①名簿入力'!$AH$4:$AH$153,S33)))</f>
        <v/>
      </c>
      <c r="V33" s="14" t="str">
        <f>IF(S33="","",IF(INDEX('①名簿入力'!$AI$4:$AI$153,S33)=D33,"",INDEX('①名簿入力'!$AI$4:$AI$153,S33)))</f>
        <v/>
      </c>
      <c r="W33" s="14" t="str">
        <f>IF(T33="","",IFERROR(IF(INDEX($E$9:$E$158,MATCH(T33,$D$9:$D$158,0))="","",INDEX($E$9:$E$158,MATCH(T33,$D$9:$D$158,0))),""))</f>
        <v/>
      </c>
      <c r="X33" s="14" t="str">
        <f>IF(U33="","",IFERROR(IF(INDEX($E$9:$E$158,MATCH(U33,$D$9:$D$158,0))="","",INDEX($E$9:$E$158,MATCH(U33,$D$9:$D$158,0))),""))</f>
        <v/>
      </c>
      <c r="Y33" s="14" t="str">
        <f>IF(V33="","",IFERROR(IF(INDEX($E$9:$E$158,MATCH(V33,$D$9:$D$158,0))="","",INDEX($E$9:$E$158,MATCH(V33,$D$9:$D$158,0))),""))</f>
        <v/>
      </c>
      <c r="Z33" s="14">
        <f>IF(AND(T33&lt;&gt;"",W33&lt;&gt;"",E33&lt;&gt;""),IF(W33=E33,1,0),0)</f>
        <v>0</v>
      </c>
      <c r="AA33" s="14">
        <f>IF(AND(U33&lt;&gt;"",X33&lt;&gt;"",E33&lt;&gt;""),IF(X33=E33,1,0),0)</f>
        <v>0</v>
      </c>
      <c r="AB33" s="14">
        <f>IF(AND(V33&lt;&gt;"",Y33&lt;&gt;"",E33&lt;&gt;""),IF(Y33=E33,1,0),0)</f>
        <v>0</v>
      </c>
      <c r="AC33" s="14" t="str">
        <f>IF(OR(T33="",E33=""),"",T33&amp;"|"&amp;E33)</f>
        <v/>
      </c>
      <c r="AD33" s="14" t="str">
        <f>IF(OR(U33="",E33=""),"",U33&amp;"|"&amp;E33)</f>
        <v/>
      </c>
      <c r="AE33" s="14" t="str">
        <f>IF(OR(V33="",E33=""),"",V33&amp;"|"&amp;E33)</f>
        <v/>
      </c>
      <c r="AF33" s="14">
        <f>IF(OR(D33="",E33=""),0,COUNTIF($AC$9:$AC$158,D33&amp;"|"&amp;E33)+COUNTIF($AD$9:$AD$158,D33&amp;"|"&amp;E33)+COUNTIF($AE$9:$AE$158,D33&amp;"|"&amp;E33))</f>
        <v>0</v>
      </c>
      <c r="AG33" s="14">
        <f>Z33+AA33+AB33+AF33</f>
        <v>0</v>
      </c>
      <c r="AH33" s="14" t="str">
        <f>IF(OR(D33="",E33=""),"",IFERROR(MATCH(D33&amp;"|"&amp;E33,$AC$9:$AC$158,0),""))</f>
        <v/>
      </c>
      <c r="AI33" s="14" t="str">
        <f>IF(OR(D33="",E33=""),"",IFERROR(MATCH(D33&amp;"|"&amp;E33,$AD$9:$AD$158,0),""))</f>
        <v/>
      </c>
      <c r="AJ33" s="14" t="str">
        <f>IF(OR(D33="",E33=""),"",IFERROR(MATCH(D33&amp;"|"&amp;E33,$AE$9:$AE$158,0),""))</f>
        <v/>
      </c>
      <c r="AK33" s="14" t="str">
        <f>IF(Z33=1,IFERROR(INDEX($F$9:$F$158,MATCH(T33,$D$9:$D$158,0)),"")&amp;"、","")&amp;IF(AA33=1,IFERROR(INDEX($F$9:$F$158,MATCH(U33,$D$9:$D$158,0)),"")&amp;"、","")&amp;IF(AB33=1,IFERROR(INDEX($F$9:$F$158,MATCH(V33,$D$9:$D$158,0)),"")&amp;"、","")</f>
        <v/>
      </c>
      <c r="AL33" s="14" t="str">
        <f>IF(OR(AH33=""),"",IF(OR(INDEX($D$9:$D$158,AH33)=T33,INDEX($D$9:$D$158,AH33)=U33,INDEX($D$9:$D$158,AH33)=V33),"",INDEX($F$9:$F$158,AH33)&amp;"、"))&amp;IF(OR(AI33="",AI33=AH33),"",IF(OR(INDEX($D$9:$D$158,AI33)=T33,INDEX($D$9:$D$158,AI33)=U33,INDEX($D$9:$D$158,AI33)=V33),"",INDEX($F$9:$F$158,AI33)&amp;"、"))&amp;IF(OR(AJ33="",AJ33=AH33,AJ33=AI33),"",IF(OR(INDEX($D$9:$D$158,AJ33)=T33,INDEX($D$9:$D$158,AJ33)=U33,INDEX($D$9:$D$158,AJ33)=V33),"",INDEX($F$9:$F$158,AJ33)&amp;"、"))</f>
        <v/>
      </c>
      <c r="AM33" s="14" t="str">
        <f>IF(T33="","",IFERROR(INDEX('①名簿入力'!$C$4:$C$153,MATCH(T33,'①名簿入力'!$A$4:$A$153,0)),"?")&amp;IF(W33="","","("&amp;W33&amp;"組)"))</f>
        <v/>
      </c>
      <c r="AN33" s="14" t="str">
        <f>IF(U33="","",IFERROR(INDEX('①名簿入力'!$C$4:$C$153,MATCH(U33,'①名簿入力'!$A$4:$A$153,0)),"?")&amp;IF(X33="","","("&amp;X33&amp;"組)"))</f>
        <v/>
      </c>
      <c r="AO33" s="14" t="str">
        <f>IF(V33="","",IFERROR(INDEX('①名簿入力'!$C$4:$C$153,MATCH(V33,'①名簿入力'!$A$4:$A$153,0)),"?")&amp;IF(Y33="","","("&amp;Y33&amp;"組)"))</f>
        <v/>
      </c>
      <c r="AP33" s="14">
        <f>IF(G33="男",1,IF(G33="女",2,3))</f>
        <v>1</v>
      </c>
      <c r="AQ33" s="14">
        <f>IF(OR(S33="",E33=""),"",IFERROR(IF('③クラス一覧'!$AD$6="番号順",0,AP33*1000000000)+D33,""))</f>
        <v>1000002125</v>
      </c>
      <c r="AR33" s="14">
        <f>IF(AQ33="","",COUNTIFS($E$9:$E$158,E33,$AQ$9:$AQ$158,"&lt;"&amp;AQ33)+1)</f>
        <v>5</v>
      </c>
      <c r="AS33" s="14" t="str">
        <f>IF(AR33="","",E33&amp;"-"&amp;AR33)</f>
        <v>1-5</v>
      </c>
      <c r="AT33" s="14">
        <f>IF(S33="","",IF(INDEX('①名簿入力'!$F$4:$F$153,S33)="","",INDEX('①名簿入力'!$F$4:$F$153,S33)))</f>
        <v>47</v>
      </c>
      <c r="AU33" s="14">
        <f>IF(S33="","",IF(INDEX('①名簿入力'!$G$4:$G$153,S33)="","",INDEX('①名簿入力'!$G$4:$G$153,S33)))</f>
        <v>58</v>
      </c>
      <c r="AV33" s="14">
        <f>IF(S33="","",IF(INDEX('①名簿入力'!$H$4:$H$153,S33)="","",INDEX('①名簿入力'!$H$4:$H$153,S33)))</f>
        <v>46</v>
      </c>
      <c r="AW33" s="14">
        <f>IF(S33="","",IF(INDEX('①名簿入力'!$I$4:$I$153,S33)="","",INDEX('①名簿入力'!$I$4:$I$153,S33)))</f>
        <v>44</v>
      </c>
      <c r="AX33" s="14">
        <f>IF(S33="","",IF(INDEX('①名簿入力'!$J$4:$J$153,S33)="","",INDEX('①名簿入力'!$J$4:$J$153,S33)))</f>
        <v>62</v>
      </c>
    </row>
    <row r="34">
      <c r="A34" s="23">
        <f>IF('①名簿入力'!A29="","",'①名簿入力'!A29)</f>
        <v>2126</v>
      </c>
      <c r="B34" s="23">
        <f>IF(A34="","",'①名簿入力'!U29)</f>
        <v>2</v>
      </c>
      <c r="D34" s="8" t="n">
        <v>2126</v>
      </c>
      <c r="E34" s="24" t="n">
        <v>2</v>
      </c>
      <c r="F34" s="25" t="str">
        <f>IF(D34="","",IF(S34="","（名簿にない番号）",INDEX('①名簿入力'!$C$4:$C$153,S34)&amp;""))</f>
        <v>三浦　美桜</v>
      </c>
      <c r="G34" s="13" t="str">
        <f>IF(S34="","",INDEX('①名簿入力'!$E$4:$E$153,S34)&amp;"")</f>
        <v>女</v>
      </c>
      <c r="H34" s="13">
        <f>IF(S34="","",IF(INDEX('①名簿入力'!$B$4:$B$153,S34)="","",INDEX('①名簿入力'!$B$4:$B$153,S34)))</f>
        <v>1</v>
      </c>
      <c r="I34" s="10">
        <f>IF(S34="","",IF(INDEX('①名簿入力'!$K$4:$K$153,S34)="","",INDEX('①名簿入力'!$K$4:$K$153,S34)))</f>
        <v>58.2</v>
      </c>
      <c r="J34" s="10">
        <f>IF(S34="","",IF(INDEX('①名簿入力'!$L$4:$L$153,S34)="","",INDEX('①名簿入力'!$L$4:$L$153,S34)))</f>
        <v>9.7</v>
      </c>
      <c r="K34" s="13" t="str">
        <f>IF(S34="","",IF(INDEX('①名簿入力'!$Y$4:$Y$153,S34)=1,"〇",""))</f>
        <v/>
      </c>
      <c r="L34" s="13" t="str">
        <f>IF(S34="","",IF(INDEX('①名簿入力'!$Z$4:$Z$153,S34)=1,"〇",""))</f>
        <v/>
      </c>
      <c r="M34" s="13" t="str">
        <f>IF(S34="","",IF(INDEX('①名簿入力'!$AA$4:$AA$153,S34)=1,"〇",""))</f>
        <v/>
      </c>
      <c r="N34" s="13" t="str">
        <f>IF(S34="","",IF(INDEX('①名簿入力'!$AB$4:$AB$153,S34)=1,"〇",""))</f>
        <v/>
      </c>
      <c r="O34" s="25" t="str">
        <f>AM34&amp;IF(AND(AM34&lt;&gt;"",AN34&lt;&gt;""),"、","")&amp;AN34&amp;IF(AND(AM34&amp;AN34&lt;&gt;"",AO34&lt;&gt;""),"、","")&amp;AO34</f>
        <v/>
      </c>
      <c r="P34" s="25" t="str">
        <f>IF(AG34=0,"",IF(AK34&amp;AL34="","⚠",LEFT(AK34&amp;AL34,LEN(AK34&amp;AL34)-1)))</f>
        <v/>
      </c>
      <c r="Q34" s="25" t="str">
        <f>IF(S34="","",INDEX('①名簿入力'!$T$4:$T$153,S34)&amp;"")</f>
        <v/>
      </c>
      <c r="S34" s="14">
        <f>IF(D34="","",IFERROR(MATCH(D34,'①名簿入力'!$A$4:$A$153,0),""))</f>
        <v>26</v>
      </c>
      <c r="T34" s="14" t="str">
        <f>IF(S34="","",IF(INDEX('①名簿入力'!$AG$4:$AG$153,S34)=D34,"",INDEX('①名簿入力'!$AG$4:$AG$153,S34)))</f>
        <v/>
      </c>
      <c r="U34" s="14" t="str">
        <f>IF(S34="","",IF(INDEX('①名簿入力'!$AH$4:$AH$153,S34)=D34,"",INDEX('①名簿入力'!$AH$4:$AH$153,S34)))</f>
        <v/>
      </c>
      <c r="V34" s="14" t="str">
        <f>IF(S34="","",IF(INDEX('①名簿入力'!$AI$4:$AI$153,S34)=D34,"",INDEX('①名簿入力'!$AI$4:$AI$153,S34)))</f>
        <v/>
      </c>
      <c r="W34" s="14" t="str">
        <f>IF(T34="","",IFERROR(IF(INDEX($E$9:$E$158,MATCH(T34,$D$9:$D$158,0))="","",INDEX($E$9:$E$158,MATCH(T34,$D$9:$D$158,0))),""))</f>
        <v/>
      </c>
      <c r="X34" s="14" t="str">
        <f>IF(U34="","",IFERROR(IF(INDEX($E$9:$E$158,MATCH(U34,$D$9:$D$158,0))="","",INDEX($E$9:$E$158,MATCH(U34,$D$9:$D$158,0))),""))</f>
        <v/>
      </c>
      <c r="Y34" s="14" t="str">
        <f>IF(V34="","",IFERROR(IF(INDEX($E$9:$E$158,MATCH(V34,$D$9:$D$158,0))="","",INDEX($E$9:$E$158,MATCH(V34,$D$9:$D$158,0))),""))</f>
        <v/>
      </c>
      <c r="Z34" s="14">
        <f>IF(AND(T34&lt;&gt;"",W34&lt;&gt;"",E34&lt;&gt;""),IF(W34=E34,1,0),0)</f>
        <v>0</v>
      </c>
      <c r="AA34" s="14">
        <f>IF(AND(U34&lt;&gt;"",X34&lt;&gt;"",E34&lt;&gt;""),IF(X34=E34,1,0),0)</f>
        <v>0</v>
      </c>
      <c r="AB34" s="14">
        <f>IF(AND(V34&lt;&gt;"",Y34&lt;&gt;"",E34&lt;&gt;""),IF(Y34=E34,1,0),0)</f>
        <v>0</v>
      </c>
      <c r="AC34" s="14" t="str">
        <f>IF(OR(T34="",E34=""),"",T34&amp;"|"&amp;E34)</f>
        <v/>
      </c>
      <c r="AD34" s="14" t="str">
        <f>IF(OR(U34="",E34=""),"",U34&amp;"|"&amp;E34)</f>
        <v/>
      </c>
      <c r="AE34" s="14" t="str">
        <f>IF(OR(V34="",E34=""),"",V34&amp;"|"&amp;E34)</f>
        <v/>
      </c>
      <c r="AF34" s="14">
        <f>IF(OR(D34="",E34=""),0,COUNTIF($AC$9:$AC$158,D34&amp;"|"&amp;E34)+COUNTIF($AD$9:$AD$158,D34&amp;"|"&amp;E34)+COUNTIF($AE$9:$AE$158,D34&amp;"|"&amp;E34))</f>
        <v>0</v>
      </c>
      <c r="AG34" s="14">
        <f>Z34+AA34+AB34+AF34</f>
        <v>0</v>
      </c>
      <c r="AH34" s="14" t="str">
        <f>IF(OR(D34="",E34=""),"",IFERROR(MATCH(D34&amp;"|"&amp;E34,$AC$9:$AC$158,0),""))</f>
        <v/>
      </c>
      <c r="AI34" s="14" t="str">
        <f>IF(OR(D34="",E34=""),"",IFERROR(MATCH(D34&amp;"|"&amp;E34,$AD$9:$AD$158,0),""))</f>
        <v/>
      </c>
      <c r="AJ34" s="14" t="str">
        <f>IF(OR(D34="",E34=""),"",IFERROR(MATCH(D34&amp;"|"&amp;E34,$AE$9:$AE$158,0),""))</f>
        <v/>
      </c>
      <c r="AK34" s="14" t="str">
        <f>IF(Z34=1,IFERROR(INDEX($F$9:$F$158,MATCH(T34,$D$9:$D$158,0)),"")&amp;"、","")&amp;IF(AA34=1,IFERROR(INDEX($F$9:$F$158,MATCH(U34,$D$9:$D$158,0)),"")&amp;"、","")&amp;IF(AB34=1,IFERROR(INDEX($F$9:$F$158,MATCH(V34,$D$9:$D$158,0)),"")&amp;"、","")</f>
        <v/>
      </c>
      <c r="AL34" s="14" t="str">
        <f>IF(OR(AH34=""),"",IF(OR(INDEX($D$9:$D$158,AH34)=T34,INDEX($D$9:$D$158,AH34)=U34,INDEX($D$9:$D$158,AH34)=V34),"",INDEX($F$9:$F$158,AH34)&amp;"、"))&amp;IF(OR(AI34="",AI34=AH34),"",IF(OR(INDEX($D$9:$D$158,AI34)=T34,INDEX($D$9:$D$158,AI34)=U34,INDEX($D$9:$D$158,AI34)=V34),"",INDEX($F$9:$F$158,AI34)&amp;"、"))&amp;IF(OR(AJ34="",AJ34=AH34,AJ34=AI34),"",IF(OR(INDEX($D$9:$D$158,AJ34)=T34,INDEX($D$9:$D$158,AJ34)=U34,INDEX($D$9:$D$158,AJ34)=V34),"",INDEX($F$9:$F$158,AJ34)&amp;"、"))</f>
        <v/>
      </c>
      <c r="AM34" s="14" t="str">
        <f>IF(T34="","",IFERROR(INDEX('①名簿入力'!$C$4:$C$153,MATCH(T34,'①名簿入力'!$A$4:$A$153,0)),"?")&amp;IF(W34="","","("&amp;W34&amp;"組)"))</f>
        <v/>
      </c>
      <c r="AN34" s="14" t="str">
        <f>IF(U34="","",IFERROR(INDEX('①名簿入力'!$C$4:$C$153,MATCH(U34,'①名簿入力'!$A$4:$A$153,0)),"?")&amp;IF(X34="","","("&amp;X34&amp;"組)"))</f>
        <v/>
      </c>
      <c r="AO34" s="14" t="str">
        <f>IF(V34="","",IFERROR(INDEX('①名簿入力'!$C$4:$C$153,MATCH(V34,'①名簿入力'!$A$4:$A$153,0)),"?")&amp;IF(Y34="","","("&amp;Y34&amp;"組)"))</f>
        <v/>
      </c>
      <c r="AP34" s="14">
        <f>IF(G34="男",1,IF(G34="女",2,3))</f>
        <v>2</v>
      </c>
      <c r="AQ34" s="14">
        <f>IF(OR(S34="",E34=""),"",IFERROR(IF('③クラス一覧'!$AD$6="番号順",0,AP34*1000000000)+D34,""))</f>
        <v>2000002126</v>
      </c>
      <c r="AR34" s="14">
        <f>IF(AQ34="","",COUNTIFS($E$9:$E$158,E34,$AQ$9:$AQ$158,"&lt;"&amp;AQ34)+1)</f>
        <v>22</v>
      </c>
      <c r="AS34" s="14" t="str">
        <f>IF(AR34="","",E34&amp;"-"&amp;AR34)</f>
        <v>2-22</v>
      </c>
      <c r="AT34" s="14">
        <f>IF(S34="","",IF(INDEX('①名簿入力'!$F$4:$F$153,S34)="","",INDEX('①名簿入力'!$F$4:$F$153,S34)))</f>
        <v>56</v>
      </c>
      <c r="AU34" s="14">
        <f>IF(S34="","",IF(INDEX('①名簿入力'!$G$4:$G$153,S34)="","",INDEX('①名簿入力'!$G$4:$G$153,S34)))</f>
        <v>63</v>
      </c>
      <c r="AV34" s="14">
        <f>IF(S34="","",IF(INDEX('①名簿入力'!$H$4:$H$153,S34)="","",INDEX('①名簿入力'!$H$4:$H$153,S34)))</f>
        <v>55</v>
      </c>
      <c r="AW34" s="14">
        <f>IF(S34="","",IF(INDEX('①名簿入力'!$I$4:$I$153,S34)="","",INDEX('①名簿入力'!$I$4:$I$153,S34)))</f>
        <v>58</v>
      </c>
      <c r="AX34" s="14">
        <f>IF(S34="","",IF(INDEX('①名簿入力'!$J$4:$J$153,S34)="","",INDEX('①名簿入力'!$J$4:$J$153,S34)))</f>
        <v>59</v>
      </c>
    </row>
    <row r="35">
      <c r="A35" s="23">
        <f>IF('①名簿入力'!A30="","",'①名簿入力'!A30)</f>
        <v>2127</v>
      </c>
      <c r="B35" s="23">
        <f>IF(A35="","",'①名簿入力'!U30)</f>
        <v>3</v>
      </c>
      <c r="D35" s="8" t="n">
        <v>2127</v>
      </c>
      <c r="E35" s="24" t="n">
        <v>3</v>
      </c>
      <c r="F35" s="25" t="str">
        <f>IF(D35="","",IF(S35="","（名簿にない番号）",INDEX('①名簿入力'!$C$4:$C$153,S35)&amp;""))</f>
        <v>宮崎　奏太</v>
      </c>
      <c r="G35" s="13" t="str">
        <f>IF(S35="","",INDEX('①名簿入力'!$E$4:$E$153,S35)&amp;"")</f>
        <v>男</v>
      </c>
      <c r="H35" s="13">
        <f>IF(S35="","",IF(INDEX('①名簿入力'!$B$4:$B$153,S35)="","",INDEX('①名簿入力'!$B$4:$B$153,S35)))</f>
        <v>1</v>
      </c>
      <c r="I35" s="10">
        <f>IF(S35="","",IF(INDEX('①名簿入力'!$K$4:$K$153,S35)="","",INDEX('①名簿入力'!$K$4:$K$153,S35)))</f>
        <v>47.8</v>
      </c>
      <c r="J35" s="10">
        <f>IF(S35="","",IF(INDEX('①名簿入力'!$L$4:$L$153,S35)="","",INDEX('①名簿入力'!$L$4:$L$153,S35)))</f>
        <v>7.8</v>
      </c>
      <c r="K35" s="13" t="str">
        <f>IF(S35="","",IF(INDEX('①名簿入力'!$Y$4:$Y$153,S35)=1,"〇",""))</f>
        <v/>
      </c>
      <c r="L35" s="13" t="str">
        <f>IF(S35="","",IF(INDEX('①名簿入力'!$Z$4:$Z$153,S35)=1,"〇",""))</f>
        <v/>
      </c>
      <c r="M35" s="13" t="str">
        <f>IF(S35="","",IF(INDEX('①名簿入力'!$AA$4:$AA$153,S35)=1,"〇",""))</f>
        <v/>
      </c>
      <c r="N35" s="13" t="str">
        <f>IF(S35="","",IF(INDEX('①名簿入力'!$AB$4:$AB$153,S35)=1,"〇",""))</f>
        <v/>
      </c>
      <c r="O35" s="25" t="str">
        <f>AM35&amp;IF(AND(AM35&lt;&gt;"",AN35&lt;&gt;""),"、","")&amp;AN35&amp;IF(AND(AM35&amp;AN35&lt;&gt;"",AO35&lt;&gt;""),"、","")&amp;AO35</f>
        <v/>
      </c>
      <c r="P35" s="25" t="str">
        <f>IF(AG35=0,"",IF(AK35&amp;AL35="","⚠",LEFT(AK35&amp;AL35,LEN(AK35&amp;AL35)-1)))</f>
        <v/>
      </c>
      <c r="Q35" s="25" t="str">
        <f>IF(S35="","",INDEX('①名簿入力'!$T$4:$T$153,S35)&amp;"")</f>
        <v/>
      </c>
      <c r="S35" s="14">
        <f>IF(D35="","",IFERROR(MATCH(D35,'①名簿入力'!$A$4:$A$153,0),""))</f>
        <v>27</v>
      </c>
      <c r="T35" s="14" t="str">
        <f>IF(S35="","",IF(INDEX('①名簿入力'!$AG$4:$AG$153,S35)=D35,"",INDEX('①名簿入力'!$AG$4:$AG$153,S35)))</f>
        <v/>
      </c>
      <c r="U35" s="14" t="str">
        <f>IF(S35="","",IF(INDEX('①名簿入力'!$AH$4:$AH$153,S35)=D35,"",INDEX('①名簿入力'!$AH$4:$AH$153,S35)))</f>
        <v/>
      </c>
      <c r="V35" s="14" t="str">
        <f>IF(S35="","",IF(INDEX('①名簿入力'!$AI$4:$AI$153,S35)=D35,"",INDEX('①名簿入力'!$AI$4:$AI$153,S35)))</f>
        <v/>
      </c>
      <c r="W35" s="14" t="str">
        <f>IF(T35="","",IFERROR(IF(INDEX($E$9:$E$158,MATCH(T35,$D$9:$D$158,0))="","",INDEX($E$9:$E$158,MATCH(T35,$D$9:$D$158,0))),""))</f>
        <v/>
      </c>
      <c r="X35" s="14" t="str">
        <f>IF(U35="","",IFERROR(IF(INDEX($E$9:$E$158,MATCH(U35,$D$9:$D$158,0))="","",INDEX($E$9:$E$158,MATCH(U35,$D$9:$D$158,0))),""))</f>
        <v/>
      </c>
      <c r="Y35" s="14" t="str">
        <f>IF(V35="","",IFERROR(IF(INDEX($E$9:$E$158,MATCH(V35,$D$9:$D$158,0))="","",INDEX($E$9:$E$158,MATCH(V35,$D$9:$D$158,0))),""))</f>
        <v/>
      </c>
      <c r="Z35" s="14">
        <f>IF(AND(T35&lt;&gt;"",W35&lt;&gt;"",E35&lt;&gt;""),IF(W35=E35,1,0),0)</f>
        <v>0</v>
      </c>
      <c r="AA35" s="14">
        <f>IF(AND(U35&lt;&gt;"",X35&lt;&gt;"",E35&lt;&gt;""),IF(X35=E35,1,0),0)</f>
        <v>0</v>
      </c>
      <c r="AB35" s="14">
        <f>IF(AND(V35&lt;&gt;"",Y35&lt;&gt;"",E35&lt;&gt;""),IF(Y35=E35,1,0),0)</f>
        <v>0</v>
      </c>
      <c r="AC35" s="14" t="str">
        <f>IF(OR(T35="",E35=""),"",T35&amp;"|"&amp;E35)</f>
        <v/>
      </c>
      <c r="AD35" s="14" t="str">
        <f>IF(OR(U35="",E35=""),"",U35&amp;"|"&amp;E35)</f>
        <v/>
      </c>
      <c r="AE35" s="14" t="str">
        <f>IF(OR(V35="",E35=""),"",V35&amp;"|"&amp;E35)</f>
        <v/>
      </c>
      <c r="AF35" s="14">
        <f>IF(OR(D35="",E35=""),0,COUNTIF($AC$9:$AC$158,D35&amp;"|"&amp;E35)+COUNTIF($AD$9:$AD$158,D35&amp;"|"&amp;E35)+COUNTIF($AE$9:$AE$158,D35&amp;"|"&amp;E35))</f>
        <v>0</v>
      </c>
      <c r="AG35" s="14">
        <f>Z35+AA35+AB35+AF35</f>
        <v>0</v>
      </c>
      <c r="AH35" s="14" t="str">
        <f>IF(OR(D35="",E35=""),"",IFERROR(MATCH(D35&amp;"|"&amp;E35,$AC$9:$AC$158,0),""))</f>
        <v/>
      </c>
      <c r="AI35" s="14" t="str">
        <f>IF(OR(D35="",E35=""),"",IFERROR(MATCH(D35&amp;"|"&amp;E35,$AD$9:$AD$158,0),""))</f>
        <v/>
      </c>
      <c r="AJ35" s="14" t="str">
        <f>IF(OR(D35="",E35=""),"",IFERROR(MATCH(D35&amp;"|"&amp;E35,$AE$9:$AE$158,0),""))</f>
        <v/>
      </c>
      <c r="AK35" s="14" t="str">
        <f>IF(Z35=1,IFERROR(INDEX($F$9:$F$158,MATCH(T35,$D$9:$D$158,0)),"")&amp;"、","")&amp;IF(AA35=1,IFERROR(INDEX($F$9:$F$158,MATCH(U35,$D$9:$D$158,0)),"")&amp;"、","")&amp;IF(AB35=1,IFERROR(INDEX($F$9:$F$158,MATCH(V35,$D$9:$D$158,0)),"")&amp;"、","")</f>
        <v/>
      </c>
      <c r="AL35" s="14" t="str">
        <f>IF(OR(AH35=""),"",IF(OR(INDEX($D$9:$D$158,AH35)=T35,INDEX($D$9:$D$158,AH35)=U35,INDEX($D$9:$D$158,AH35)=V35),"",INDEX($F$9:$F$158,AH35)&amp;"、"))&amp;IF(OR(AI35="",AI35=AH35),"",IF(OR(INDEX($D$9:$D$158,AI35)=T35,INDEX($D$9:$D$158,AI35)=U35,INDEX($D$9:$D$158,AI35)=V35),"",INDEX($F$9:$F$158,AI35)&amp;"、"))&amp;IF(OR(AJ35="",AJ35=AH35,AJ35=AI35),"",IF(OR(INDEX($D$9:$D$158,AJ35)=T35,INDEX($D$9:$D$158,AJ35)=U35,INDEX($D$9:$D$158,AJ35)=V35),"",INDEX($F$9:$F$158,AJ35)&amp;"、"))</f>
        <v/>
      </c>
      <c r="AM35" s="14" t="str">
        <f>IF(T35="","",IFERROR(INDEX('①名簿入力'!$C$4:$C$153,MATCH(T35,'①名簿入力'!$A$4:$A$153,0)),"?")&amp;IF(W35="","","("&amp;W35&amp;"組)"))</f>
        <v/>
      </c>
      <c r="AN35" s="14" t="str">
        <f>IF(U35="","",IFERROR(INDEX('①名簿入力'!$C$4:$C$153,MATCH(U35,'①名簿入力'!$A$4:$A$153,0)),"?")&amp;IF(X35="","","("&amp;X35&amp;"組)"))</f>
        <v/>
      </c>
      <c r="AO35" s="14" t="str">
        <f>IF(V35="","",IFERROR(INDEX('①名簿入力'!$C$4:$C$153,MATCH(V35,'①名簿入力'!$A$4:$A$153,0)),"?")&amp;IF(Y35="","","("&amp;Y35&amp;"組)"))</f>
        <v/>
      </c>
      <c r="AP35" s="14">
        <f>IF(G35="男",1,IF(G35="女",2,3))</f>
        <v>1</v>
      </c>
      <c r="AQ35" s="14">
        <f>IF(OR(S35="",E35=""),"",IFERROR(IF('③クラス一覧'!$AD$6="番号順",0,AP35*1000000000)+D35,""))</f>
        <v>1000002127</v>
      </c>
      <c r="AR35" s="14">
        <f>IF(AQ35="","",COUNTIFS($E$9:$E$158,E35,$AQ$9:$AQ$158,"&lt;"&amp;AQ35)+1)</f>
        <v>5</v>
      </c>
      <c r="AS35" s="14" t="str">
        <f>IF(AR35="","",E35&amp;"-"&amp;AR35)</f>
        <v>3-5</v>
      </c>
      <c r="AT35" s="14">
        <f>IF(S35="","",IF(INDEX('①名簿入力'!$F$4:$F$153,S35)="","",INDEX('①名簿入力'!$F$4:$F$153,S35)))</f>
        <v>57</v>
      </c>
      <c r="AU35" s="14">
        <f>IF(S35="","",IF(INDEX('①名簿入力'!$G$4:$G$153,S35)="","",INDEX('①名簿入力'!$G$4:$G$153,S35)))</f>
        <v>48</v>
      </c>
      <c r="AV35" s="14">
        <f>IF(S35="","",IF(INDEX('①名簿入力'!$H$4:$H$153,S35)="","",INDEX('①名簿入力'!$H$4:$H$153,S35)))</f>
        <v>33</v>
      </c>
      <c r="AW35" s="14">
        <f>IF(S35="","",IF(INDEX('①名簿入力'!$I$4:$I$153,S35)="","",INDEX('①名簿入力'!$I$4:$I$153,S35)))</f>
        <v>61</v>
      </c>
      <c r="AX35" s="14">
        <f>IF(S35="","",IF(INDEX('①名簿入力'!$J$4:$J$153,S35)="","",INDEX('①名簿入力'!$J$4:$J$153,S35)))</f>
        <v>40</v>
      </c>
    </row>
    <row r="36">
      <c r="A36" s="23">
        <f>IF('①名簿入力'!A31="","",'①名簿入力'!A31)</f>
        <v>2128</v>
      </c>
      <c r="B36" s="23">
        <f>IF(A36="","",'①名簿入力'!U31)</f>
        <v>3</v>
      </c>
      <c r="D36" s="8" t="n">
        <v>2128</v>
      </c>
      <c r="E36" s="24" t="n">
        <v>3</v>
      </c>
      <c r="F36" s="25" t="str">
        <f>IF(D36="","",IF(S36="","（名簿にない番号）",INDEX('①名簿入力'!$C$4:$C$153,S36)&amp;""))</f>
        <v>宮崎　圭吾</v>
      </c>
      <c r="G36" s="13" t="str">
        <f>IF(S36="","",INDEX('①名簿入力'!$E$4:$E$153,S36)&amp;"")</f>
        <v>男</v>
      </c>
      <c r="H36" s="13">
        <f>IF(S36="","",IF(INDEX('①名簿入力'!$B$4:$B$153,S36)="","",INDEX('①名簿入力'!$B$4:$B$153,S36)))</f>
        <v>1</v>
      </c>
      <c r="I36" s="10">
        <f>IF(S36="","",IF(INDEX('①名簿入力'!$K$4:$K$153,S36)="","",INDEX('①名簿入力'!$K$4:$K$153,S36)))</f>
        <v>52.6</v>
      </c>
      <c r="J36" s="10">
        <f>IF(S36="","",IF(INDEX('①名簿入力'!$L$4:$L$153,S36)="","",INDEX('①名簿入力'!$L$4:$L$153,S36)))</f>
        <v>7.9</v>
      </c>
      <c r="K36" s="13" t="str">
        <f>IF(S36="","",IF(INDEX('①名簿入力'!$Y$4:$Y$153,S36)=1,"〇",""))</f>
        <v/>
      </c>
      <c r="L36" s="13" t="str">
        <f>IF(S36="","",IF(INDEX('①名簿入力'!$Z$4:$Z$153,S36)=1,"〇",""))</f>
        <v/>
      </c>
      <c r="M36" s="13" t="str">
        <f>IF(S36="","",IF(INDEX('①名簿入力'!$AA$4:$AA$153,S36)=1,"〇",""))</f>
        <v/>
      </c>
      <c r="N36" s="13" t="str">
        <f>IF(S36="","",IF(INDEX('①名簿入力'!$AB$4:$AB$153,S36)=1,"〇",""))</f>
        <v/>
      </c>
      <c r="O36" s="25" t="str">
        <f>AM36&amp;IF(AND(AM36&lt;&gt;"",AN36&lt;&gt;""),"、","")&amp;AN36&amp;IF(AND(AM36&amp;AN36&lt;&gt;"",AO36&lt;&gt;""),"、","")&amp;AO36</f>
        <v>山崎　遥(2組)</v>
      </c>
      <c r="P36" s="25" t="str">
        <f>IF(AG36=0,"",IF(AK36&amp;AL36="","⚠",LEFT(AK36&amp;AL36,LEN(AK36&amp;AL36)-1)))</f>
        <v/>
      </c>
      <c r="Q36" s="25" t="str">
        <f>IF(S36="","",INDEX('①名簿入力'!$T$4:$T$153,S36)&amp;"")</f>
        <v/>
      </c>
      <c r="S36" s="14">
        <f>IF(D36="","",IFERROR(MATCH(D36,'①名簿入力'!$A$4:$A$153,0),""))</f>
        <v>28</v>
      </c>
      <c r="T36" s="14">
        <f>IF(S36="","",IF(INDEX('①名簿入力'!$AG$4:$AG$153,S36)=D36,"",INDEX('①名簿入力'!$AG$4:$AG$153,S36)))</f>
        <v>2133</v>
      </c>
      <c r="U36" s="14" t="str">
        <f>IF(S36="","",IF(INDEX('①名簿入力'!$AH$4:$AH$153,S36)=D36,"",INDEX('①名簿入力'!$AH$4:$AH$153,S36)))</f>
        <v/>
      </c>
      <c r="V36" s="14" t="str">
        <f>IF(S36="","",IF(INDEX('①名簿入力'!$AI$4:$AI$153,S36)=D36,"",INDEX('①名簿入力'!$AI$4:$AI$153,S36)))</f>
        <v/>
      </c>
      <c r="W36" s="14">
        <f>IF(T36="","",IFERROR(IF(INDEX($E$9:$E$158,MATCH(T36,$D$9:$D$158,0))="","",INDEX($E$9:$E$158,MATCH(T36,$D$9:$D$158,0))),""))</f>
        <v>2</v>
      </c>
      <c r="X36" s="14" t="str">
        <f>IF(U36="","",IFERROR(IF(INDEX($E$9:$E$158,MATCH(U36,$D$9:$D$158,0))="","",INDEX($E$9:$E$158,MATCH(U36,$D$9:$D$158,0))),""))</f>
        <v/>
      </c>
      <c r="Y36" s="14" t="str">
        <f>IF(V36="","",IFERROR(IF(INDEX($E$9:$E$158,MATCH(V36,$D$9:$D$158,0))="","",INDEX($E$9:$E$158,MATCH(V36,$D$9:$D$158,0))),""))</f>
        <v/>
      </c>
      <c r="Z36" s="14">
        <f>IF(AND(T36&lt;&gt;"",W36&lt;&gt;"",E36&lt;&gt;""),IF(W36=E36,1,0),0)</f>
        <v>0</v>
      </c>
      <c r="AA36" s="14">
        <f>IF(AND(U36&lt;&gt;"",X36&lt;&gt;"",E36&lt;&gt;""),IF(X36=E36,1,0),0)</f>
        <v>0</v>
      </c>
      <c r="AB36" s="14">
        <f>IF(AND(V36&lt;&gt;"",Y36&lt;&gt;"",E36&lt;&gt;""),IF(Y36=E36,1,0),0)</f>
        <v>0</v>
      </c>
      <c r="AC36" s="14" t="str">
        <f>IF(OR(T36="",E36=""),"",T36&amp;"|"&amp;E36)</f>
        <v>2133|3</v>
      </c>
      <c r="AD36" s="14" t="str">
        <f>IF(OR(U36="",E36=""),"",U36&amp;"|"&amp;E36)</f>
        <v/>
      </c>
      <c r="AE36" s="14" t="str">
        <f>IF(OR(V36="",E36=""),"",V36&amp;"|"&amp;E36)</f>
        <v/>
      </c>
      <c r="AF36" s="14">
        <f>IF(OR(D36="",E36=""),0,COUNTIF($AC$9:$AC$158,D36&amp;"|"&amp;E36)+COUNTIF($AD$9:$AD$158,D36&amp;"|"&amp;E36)+COUNTIF($AE$9:$AE$158,D36&amp;"|"&amp;E36))</f>
        <v>0</v>
      </c>
      <c r="AG36" s="14">
        <f>Z36+AA36+AB36+AF36</f>
        <v>0</v>
      </c>
      <c r="AH36" s="14" t="str">
        <f>IF(OR(D36="",E36=""),"",IFERROR(MATCH(D36&amp;"|"&amp;E36,$AC$9:$AC$158,0),""))</f>
        <v/>
      </c>
      <c r="AI36" s="14" t="str">
        <f>IF(OR(D36="",E36=""),"",IFERROR(MATCH(D36&amp;"|"&amp;E36,$AD$9:$AD$158,0),""))</f>
        <v/>
      </c>
      <c r="AJ36" s="14" t="str">
        <f>IF(OR(D36="",E36=""),"",IFERROR(MATCH(D36&amp;"|"&amp;E36,$AE$9:$AE$158,0),""))</f>
        <v/>
      </c>
      <c r="AK36" s="14" t="str">
        <f>IF(Z36=1,IFERROR(INDEX($F$9:$F$158,MATCH(T36,$D$9:$D$158,0)),"")&amp;"、","")&amp;IF(AA36=1,IFERROR(INDEX($F$9:$F$158,MATCH(U36,$D$9:$D$158,0)),"")&amp;"、","")&amp;IF(AB36=1,IFERROR(INDEX($F$9:$F$158,MATCH(V36,$D$9:$D$158,0)),"")&amp;"、","")</f>
        <v/>
      </c>
      <c r="AL36" s="14" t="str">
        <f>IF(OR(AH36=""),"",IF(OR(INDEX($D$9:$D$158,AH36)=T36,INDEX($D$9:$D$158,AH36)=U36,INDEX($D$9:$D$158,AH36)=V36),"",INDEX($F$9:$F$158,AH36)&amp;"、"))&amp;IF(OR(AI36="",AI36=AH36),"",IF(OR(INDEX($D$9:$D$158,AI36)=T36,INDEX($D$9:$D$158,AI36)=U36,INDEX($D$9:$D$158,AI36)=V36),"",INDEX($F$9:$F$158,AI36)&amp;"、"))&amp;IF(OR(AJ36="",AJ36=AH36,AJ36=AI36),"",IF(OR(INDEX($D$9:$D$158,AJ36)=T36,INDEX($D$9:$D$158,AJ36)=U36,INDEX($D$9:$D$158,AJ36)=V36),"",INDEX($F$9:$F$158,AJ36)&amp;"、"))</f>
        <v/>
      </c>
      <c r="AM36" s="14" t="str">
        <f>IF(T36="","",IFERROR(INDEX('①名簿入力'!$C$4:$C$153,MATCH(T36,'①名簿入力'!$A$4:$A$153,0)),"?")&amp;IF(W36="","","("&amp;W36&amp;"組)"))</f>
        <v>山崎　遥(2組)</v>
      </c>
      <c r="AN36" s="14" t="str">
        <f>IF(U36="","",IFERROR(INDEX('①名簿入力'!$C$4:$C$153,MATCH(U36,'①名簿入力'!$A$4:$A$153,0)),"?")&amp;IF(X36="","","("&amp;X36&amp;"組)"))</f>
        <v/>
      </c>
      <c r="AO36" s="14" t="str">
        <f>IF(V36="","",IFERROR(INDEX('①名簿入力'!$C$4:$C$153,MATCH(V36,'①名簿入力'!$A$4:$A$153,0)),"?")&amp;IF(Y36="","","("&amp;Y36&amp;"組)"))</f>
        <v/>
      </c>
      <c r="AP36" s="14">
        <f>IF(G36="男",1,IF(G36="女",2,3))</f>
        <v>1</v>
      </c>
      <c r="AQ36" s="14">
        <f>IF(OR(S36="",E36=""),"",IFERROR(IF('③クラス一覧'!$AD$6="番号順",0,AP36*1000000000)+D36,""))</f>
        <v>1000002128</v>
      </c>
      <c r="AR36" s="14">
        <f>IF(AQ36="","",COUNTIFS($E$9:$E$158,E36,$AQ$9:$AQ$158,"&lt;"&amp;AQ36)+1)</f>
        <v>6</v>
      </c>
      <c r="AS36" s="14" t="str">
        <f>IF(AR36="","",E36&amp;"-"&amp;AR36)</f>
        <v>3-6</v>
      </c>
      <c r="AT36" s="14">
        <f>IF(S36="","",IF(INDEX('①名簿入力'!$F$4:$F$153,S36)="","",INDEX('①名簿入力'!$F$4:$F$153,S36)))</f>
        <v>55</v>
      </c>
      <c r="AU36" s="14">
        <f>IF(S36="","",IF(INDEX('①名簿入力'!$G$4:$G$153,S36)="","",INDEX('①名簿入力'!$G$4:$G$153,S36)))</f>
        <v>44</v>
      </c>
      <c r="AV36" s="14">
        <f>IF(S36="","",IF(INDEX('①名簿入力'!$H$4:$H$153,S36)="","",INDEX('①名簿入力'!$H$4:$H$153,S36)))</f>
        <v>57</v>
      </c>
      <c r="AW36" s="14">
        <f>IF(S36="","",IF(INDEX('①名簿入力'!$I$4:$I$153,S36)="","",INDEX('①名簿入力'!$I$4:$I$153,S36)))</f>
        <v>54</v>
      </c>
      <c r="AX36" s="14">
        <f>IF(S36="","",IF(INDEX('①名簿入力'!$J$4:$J$153,S36)="","",INDEX('①名簿入力'!$J$4:$J$153,S36)))</f>
        <v>53</v>
      </c>
    </row>
    <row r="37">
      <c r="A37" s="23">
        <f>IF('①名簿入力'!A32="","",'①名簿入力'!A32)</f>
        <v>2129</v>
      </c>
      <c r="B37" s="23">
        <f>IF(A37="","",'①名簿入力'!U32)</f>
        <v>2</v>
      </c>
      <c r="D37" s="8" t="n">
        <v>2129</v>
      </c>
      <c r="E37" s="24" t="n">
        <v>2</v>
      </c>
      <c r="F37" s="25" t="str">
        <f>IF(D37="","",IF(S37="","（名簿にない番号）",INDEX('①名簿入力'!$C$4:$C$153,S37)&amp;""))</f>
        <v>宮崎　直樹</v>
      </c>
      <c r="G37" s="13" t="str">
        <f>IF(S37="","",INDEX('①名簿入力'!$E$4:$E$153,S37)&amp;"")</f>
        <v>男</v>
      </c>
      <c r="H37" s="13">
        <f>IF(S37="","",IF(INDEX('①名簿入力'!$B$4:$B$153,S37)="","",INDEX('①名簿入力'!$B$4:$B$153,S37)))</f>
        <v>1</v>
      </c>
      <c r="I37" s="10">
        <f>IF(S37="","",IF(INDEX('①名簿入力'!$K$4:$K$153,S37)="","",INDEX('①名簿入力'!$K$4:$K$153,S37)))</f>
        <v>52.8</v>
      </c>
      <c r="J37" s="10">
        <f>IF(S37="","",IF(INDEX('①名簿入力'!$L$4:$L$153,S37)="","",INDEX('①名簿入力'!$L$4:$L$153,S37)))</f>
        <v>7.5</v>
      </c>
      <c r="K37" s="13" t="str">
        <f>IF(S37="","",IF(INDEX('①名簿入力'!$Y$4:$Y$153,S37)=1,"〇",""))</f>
        <v/>
      </c>
      <c r="L37" s="13" t="str">
        <f>IF(S37="","",IF(INDEX('①名簿入力'!$Z$4:$Z$153,S37)=1,"〇",""))</f>
        <v/>
      </c>
      <c r="M37" s="13" t="str">
        <f>IF(S37="","",IF(INDEX('①名簿入力'!$AA$4:$AA$153,S37)=1,"〇",""))</f>
        <v/>
      </c>
      <c r="N37" s="13" t="str">
        <f>IF(S37="","",IF(INDEX('①名簿入力'!$AB$4:$AB$153,S37)=1,"〇",""))</f>
        <v/>
      </c>
      <c r="O37" s="25" t="str">
        <f>AM37&amp;IF(AND(AM37&lt;&gt;"",AN37&lt;&gt;""),"、","")&amp;AN37&amp;IF(AND(AM37&amp;AN37&lt;&gt;"",AO37&lt;&gt;""),"、","")&amp;AO37</f>
        <v/>
      </c>
      <c r="P37" s="25" t="str">
        <f>IF(AG37=0,"",IF(AK37&amp;AL37="","⚠",LEFT(AK37&amp;AL37,LEN(AK37&amp;AL37)-1)))</f>
        <v/>
      </c>
      <c r="Q37" s="25" t="str">
        <f>IF(S37="","",INDEX('①名簿入力'!$T$4:$T$153,S37)&amp;"")</f>
        <v>生徒会</v>
      </c>
      <c r="S37" s="14">
        <f>IF(D37="","",IFERROR(MATCH(D37,'①名簿入力'!$A$4:$A$153,0),""))</f>
        <v>29</v>
      </c>
      <c r="T37" s="14" t="str">
        <f>IF(S37="","",IF(INDEX('①名簿入力'!$AG$4:$AG$153,S37)=D37,"",INDEX('①名簿入力'!$AG$4:$AG$153,S37)))</f>
        <v/>
      </c>
      <c r="U37" s="14" t="str">
        <f>IF(S37="","",IF(INDEX('①名簿入力'!$AH$4:$AH$153,S37)=D37,"",INDEX('①名簿入力'!$AH$4:$AH$153,S37)))</f>
        <v/>
      </c>
      <c r="V37" s="14" t="str">
        <f>IF(S37="","",IF(INDEX('①名簿入力'!$AI$4:$AI$153,S37)=D37,"",INDEX('①名簿入力'!$AI$4:$AI$153,S37)))</f>
        <v/>
      </c>
      <c r="W37" s="14" t="str">
        <f>IF(T37="","",IFERROR(IF(INDEX($E$9:$E$158,MATCH(T37,$D$9:$D$158,0))="","",INDEX($E$9:$E$158,MATCH(T37,$D$9:$D$158,0))),""))</f>
        <v/>
      </c>
      <c r="X37" s="14" t="str">
        <f>IF(U37="","",IFERROR(IF(INDEX($E$9:$E$158,MATCH(U37,$D$9:$D$158,0))="","",INDEX($E$9:$E$158,MATCH(U37,$D$9:$D$158,0))),""))</f>
        <v/>
      </c>
      <c r="Y37" s="14" t="str">
        <f>IF(V37="","",IFERROR(IF(INDEX($E$9:$E$158,MATCH(V37,$D$9:$D$158,0))="","",INDEX($E$9:$E$158,MATCH(V37,$D$9:$D$158,0))),""))</f>
        <v/>
      </c>
      <c r="Z37" s="14">
        <f>IF(AND(T37&lt;&gt;"",W37&lt;&gt;"",E37&lt;&gt;""),IF(W37=E37,1,0),0)</f>
        <v>0</v>
      </c>
      <c r="AA37" s="14">
        <f>IF(AND(U37&lt;&gt;"",X37&lt;&gt;"",E37&lt;&gt;""),IF(X37=E37,1,0),0)</f>
        <v>0</v>
      </c>
      <c r="AB37" s="14">
        <f>IF(AND(V37&lt;&gt;"",Y37&lt;&gt;"",E37&lt;&gt;""),IF(Y37=E37,1,0),0)</f>
        <v>0</v>
      </c>
      <c r="AC37" s="14" t="str">
        <f>IF(OR(T37="",E37=""),"",T37&amp;"|"&amp;E37)</f>
        <v/>
      </c>
      <c r="AD37" s="14" t="str">
        <f>IF(OR(U37="",E37=""),"",U37&amp;"|"&amp;E37)</f>
        <v/>
      </c>
      <c r="AE37" s="14" t="str">
        <f>IF(OR(V37="",E37=""),"",V37&amp;"|"&amp;E37)</f>
        <v/>
      </c>
      <c r="AF37" s="14">
        <f>IF(OR(D37="",E37=""),0,COUNTIF($AC$9:$AC$158,D37&amp;"|"&amp;E37)+COUNTIF($AD$9:$AD$158,D37&amp;"|"&amp;E37)+COUNTIF($AE$9:$AE$158,D37&amp;"|"&amp;E37))</f>
        <v>0</v>
      </c>
      <c r="AG37" s="14">
        <f>Z37+AA37+AB37+AF37</f>
        <v>0</v>
      </c>
      <c r="AH37" s="14" t="str">
        <f>IF(OR(D37="",E37=""),"",IFERROR(MATCH(D37&amp;"|"&amp;E37,$AC$9:$AC$158,0),""))</f>
        <v/>
      </c>
      <c r="AI37" s="14" t="str">
        <f>IF(OR(D37="",E37=""),"",IFERROR(MATCH(D37&amp;"|"&amp;E37,$AD$9:$AD$158,0),""))</f>
        <v/>
      </c>
      <c r="AJ37" s="14" t="str">
        <f>IF(OR(D37="",E37=""),"",IFERROR(MATCH(D37&amp;"|"&amp;E37,$AE$9:$AE$158,0),""))</f>
        <v/>
      </c>
      <c r="AK37" s="14" t="str">
        <f>IF(Z37=1,IFERROR(INDEX($F$9:$F$158,MATCH(T37,$D$9:$D$158,0)),"")&amp;"、","")&amp;IF(AA37=1,IFERROR(INDEX($F$9:$F$158,MATCH(U37,$D$9:$D$158,0)),"")&amp;"、","")&amp;IF(AB37=1,IFERROR(INDEX($F$9:$F$158,MATCH(V37,$D$9:$D$158,0)),"")&amp;"、","")</f>
        <v/>
      </c>
      <c r="AL37" s="14" t="str">
        <f>IF(OR(AH37=""),"",IF(OR(INDEX($D$9:$D$158,AH37)=T37,INDEX($D$9:$D$158,AH37)=U37,INDEX($D$9:$D$158,AH37)=V37),"",INDEX($F$9:$F$158,AH37)&amp;"、"))&amp;IF(OR(AI37="",AI37=AH37),"",IF(OR(INDEX($D$9:$D$158,AI37)=T37,INDEX($D$9:$D$158,AI37)=U37,INDEX($D$9:$D$158,AI37)=V37),"",INDEX($F$9:$F$158,AI37)&amp;"、"))&amp;IF(OR(AJ37="",AJ37=AH37,AJ37=AI37),"",IF(OR(INDEX($D$9:$D$158,AJ37)=T37,INDEX($D$9:$D$158,AJ37)=U37,INDEX($D$9:$D$158,AJ37)=V37),"",INDEX($F$9:$F$158,AJ37)&amp;"、"))</f>
        <v/>
      </c>
      <c r="AM37" s="14" t="str">
        <f>IF(T37="","",IFERROR(INDEX('①名簿入力'!$C$4:$C$153,MATCH(T37,'①名簿入力'!$A$4:$A$153,0)),"?")&amp;IF(W37="","","("&amp;W37&amp;"組)"))</f>
        <v/>
      </c>
      <c r="AN37" s="14" t="str">
        <f>IF(U37="","",IFERROR(INDEX('①名簿入力'!$C$4:$C$153,MATCH(U37,'①名簿入力'!$A$4:$A$153,0)),"?")&amp;IF(X37="","","("&amp;X37&amp;"組)"))</f>
        <v/>
      </c>
      <c r="AO37" s="14" t="str">
        <f>IF(V37="","",IFERROR(INDEX('①名簿入力'!$C$4:$C$153,MATCH(V37,'①名簿入力'!$A$4:$A$153,0)),"?")&amp;IF(Y37="","","("&amp;Y37&amp;"組)"))</f>
        <v/>
      </c>
      <c r="AP37" s="14">
        <f>IF(G37="男",1,IF(G37="女",2,3))</f>
        <v>1</v>
      </c>
      <c r="AQ37" s="14">
        <f>IF(OR(S37="",E37=""),"",IFERROR(IF('③クラス一覧'!$AD$6="番号順",0,AP37*1000000000)+D37,""))</f>
        <v>1000002129</v>
      </c>
      <c r="AR37" s="14">
        <f>IF(AQ37="","",COUNTIFS($E$9:$E$158,E37,$AQ$9:$AQ$158,"&lt;"&amp;AQ37)+1)</f>
        <v>5</v>
      </c>
      <c r="AS37" s="14" t="str">
        <f>IF(AR37="","",E37&amp;"-"&amp;AR37)</f>
        <v>2-5</v>
      </c>
      <c r="AT37" s="14">
        <f>IF(S37="","",IF(INDEX('①名簿入力'!$F$4:$F$153,S37)="","",INDEX('①名簿入力'!$F$4:$F$153,S37)))</f>
        <v>47</v>
      </c>
      <c r="AU37" s="14">
        <f>IF(S37="","",IF(INDEX('①名簿入力'!$G$4:$G$153,S37)="","",INDEX('①名簿入力'!$G$4:$G$153,S37)))</f>
        <v>43</v>
      </c>
      <c r="AV37" s="14">
        <f>IF(S37="","",IF(INDEX('①名簿入力'!$H$4:$H$153,S37)="","",INDEX('①名簿入力'!$H$4:$H$153,S37)))</f>
        <v>50</v>
      </c>
      <c r="AW37" s="14">
        <f>IF(S37="","",IF(INDEX('①名簿入力'!$I$4:$I$153,S37)="","",INDEX('①名簿入力'!$I$4:$I$153,S37)))</f>
        <v>59</v>
      </c>
      <c r="AX37" s="14">
        <f>IF(S37="","",IF(INDEX('①名簿入力'!$J$4:$J$153,S37)="","",INDEX('①名簿入力'!$J$4:$J$153,S37)))</f>
        <v>65</v>
      </c>
    </row>
    <row r="38">
      <c r="A38" s="23">
        <f>IF('①名簿入力'!A33="","",'①名簿入力'!A33)</f>
        <v>2130</v>
      </c>
      <c r="B38" s="23">
        <f>IF(A38="","",'①名簿入力'!U33)</f>
        <v>3</v>
      </c>
      <c r="D38" s="8" t="n">
        <v>2130</v>
      </c>
      <c r="E38" s="24" t="n">
        <v>3</v>
      </c>
      <c r="F38" s="25" t="str">
        <f>IF(D38="","",IF(S38="","（名簿にない番号）",INDEX('①名簿入力'!$C$4:$C$153,S38)&amp;""))</f>
        <v>森　愛莉</v>
      </c>
      <c r="G38" s="13" t="str">
        <f>IF(S38="","",INDEX('①名簿入力'!$E$4:$E$153,S38)&amp;"")</f>
        <v>女</v>
      </c>
      <c r="H38" s="13">
        <f>IF(S38="","",IF(INDEX('①名簿入力'!$B$4:$B$153,S38)="","",INDEX('①名簿入力'!$B$4:$B$153,S38)))</f>
        <v>1</v>
      </c>
      <c r="I38" s="10">
        <f>IF(S38="","",IF(INDEX('①名簿入力'!$K$4:$K$153,S38)="","",INDEX('①名簿入力'!$K$4:$K$153,S38)))</f>
        <v>63.4</v>
      </c>
      <c r="J38" s="10">
        <f>IF(S38="","",IF(INDEX('①名簿入力'!$L$4:$L$153,S38)="","",INDEX('①名簿入力'!$L$4:$L$153,S38)))</f>
        <v>8.6</v>
      </c>
      <c r="K38" s="13" t="str">
        <f>IF(S38="","",IF(INDEX('①名簿入力'!$Y$4:$Y$153,S38)=1,"〇",""))</f>
        <v/>
      </c>
      <c r="L38" s="13" t="str">
        <f>IF(S38="","",IF(INDEX('①名簿入力'!$Z$4:$Z$153,S38)=1,"〇",""))</f>
        <v/>
      </c>
      <c r="M38" s="13" t="str">
        <f>IF(S38="","",IF(INDEX('①名簿入力'!$AA$4:$AA$153,S38)=1,"〇",""))</f>
        <v/>
      </c>
      <c r="N38" s="13" t="str">
        <f>IF(S38="","",IF(INDEX('①名簿入力'!$AB$4:$AB$153,S38)=1,"〇",""))</f>
        <v/>
      </c>
      <c r="O38" s="25" t="str">
        <f>AM38&amp;IF(AND(AM38&lt;&gt;"",AN38&lt;&gt;""),"、","")&amp;AN38&amp;IF(AND(AM38&amp;AN38&lt;&gt;"",AO38&lt;&gt;""),"、","")&amp;AO38</f>
        <v>原田　杏(2組)</v>
      </c>
      <c r="P38" s="25" t="str">
        <f>IF(AG38=0,"",IF(AK38&amp;AL38="","⚠",LEFT(AK38&amp;AL38,LEN(AK38&amp;AL38)-1)))</f>
        <v/>
      </c>
      <c r="Q38" s="25" t="str">
        <f>IF(S38="","",INDEX('①名簿入力'!$T$4:$T$153,S38)&amp;"")</f>
        <v/>
      </c>
      <c r="S38" s="14">
        <f>IF(D38="","",IFERROR(MATCH(D38,'①名簿入力'!$A$4:$A$153,0),""))</f>
        <v>30</v>
      </c>
      <c r="T38" s="14">
        <f>IF(S38="","",IF(INDEX('①名簿入力'!$AG$4:$AG$153,S38)=D38,"",INDEX('①名簿入力'!$AG$4:$AG$153,S38)))</f>
        <v>2123</v>
      </c>
      <c r="U38" s="14" t="str">
        <f>IF(S38="","",IF(INDEX('①名簿入力'!$AH$4:$AH$153,S38)=D38,"",INDEX('①名簿入力'!$AH$4:$AH$153,S38)))</f>
        <v/>
      </c>
      <c r="V38" s="14" t="str">
        <f>IF(S38="","",IF(INDEX('①名簿入力'!$AI$4:$AI$153,S38)=D38,"",INDEX('①名簿入力'!$AI$4:$AI$153,S38)))</f>
        <v/>
      </c>
      <c r="W38" s="14">
        <f>IF(T38="","",IFERROR(IF(INDEX($E$9:$E$158,MATCH(T38,$D$9:$D$158,0))="","",INDEX($E$9:$E$158,MATCH(T38,$D$9:$D$158,0))),""))</f>
        <v>2</v>
      </c>
      <c r="X38" s="14" t="str">
        <f>IF(U38="","",IFERROR(IF(INDEX($E$9:$E$158,MATCH(U38,$D$9:$D$158,0))="","",INDEX($E$9:$E$158,MATCH(U38,$D$9:$D$158,0))),""))</f>
        <v/>
      </c>
      <c r="Y38" s="14" t="str">
        <f>IF(V38="","",IFERROR(IF(INDEX($E$9:$E$158,MATCH(V38,$D$9:$D$158,0))="","",INDEX($E$9:$E$158,MATCH(V38,$D$9:$D$158,0))),""))</f>
        <v/>
      </c>
      <c r="Z38" s="14">
        <f>IF(AND(T38&lt;&gt;"",W38&lt;&gt;"",E38&lt;&gt;""),IF(W38=E38,1,0),0)</f>
        <v>0</v>
      </c>
      <c r="AA38" s="14">
        <f>IF(AND(U38&lt;&gt;"",X38&lt;&gt;"",E38&lt;&gt;""),IF(X38=E38,1,0),0)</f>
        <v>0</v>
      </c>
      <c r="AB38" s="14">
        <f>IF(AND(V38&lt;&gt;"",Y38&lt;&gt;"",E38&lt;&gt;""),IF(Y38=E38,1,0),0)</f>
        <v>0</v>
      </c>
      <c r="AC38" s="14" t="str">
        <f>IF(OR(T38="",E38=""),"",T38&amp;"|"&amp;E38)</f>
        <v>2123|3</v>
      </c>
      <c r="AD38" s="14" t="str">
        <f>IF(OR(U38="",E38=""),"",U38&amp;"|"&amp;E38)</f>
        <v/>
      </c>
      <c r="AE38" s="14" t="str">
        <f>IF(OR(V38="",E38=""),"",V38&amp;"|"&amp;E38)</f>
        <v/>
      </c>
      <c r="AF38" s="14">
        <f>IF(OR(D38="",E38=""),0,COUNTIF($AC$9:$AC$158,D38&amp;"|"&amp;E38)+COUNTIF($AD$9:$AD$158,D38&amp;"|"&amp;E38)+COUNTIF($AE$9:$AE$158,D38&amp;"|"&amp;E38))</f>
        <v>0</v>
      </c>
      <c r="AG38" s="14">
        <f>Z38+AA38+AB38+AF38</f>
        <v>0</v>
      </c>
      <c r="AH38" s="14" t="str">
        <f>IF(OR(D38="",E38=""),"",IFERROR(MATCH(D38&amp;"|"&amp;E38,$AC$9:$AC$158,0),""))</f>
        <v/>
      </c>
      <c r="AI38" s="14" t="str">
        <f>IF(OR(D38="",E38=""),"",IFERROR(MATCH(D38&amp;"|"&amp;E38,$AD$9:$AD$158,0),""))</f>
        <v/>
      </c>
      <c r="AJ38" s="14" t="str">
        <f>IF(OR(D38="",E38=""),"",IFERROR(MATCH(D38&amp;"|"&amp;E38,$AE$9:$AE$158,0),""))</f>
        <v/>
      </c>
      <c r="AK38" s="14" t="str">
        <f>IF(Z38=1,IFERROR(INDEX($F$9:$F$158,MATCH(T38,$D$9:$D$158,0)),"")&amp;"、","")&amp;IF(AA38=1,IFERROR(INDEX($F$9:$F$158,MATCH(U38,$D$9:$D$158,0)),"")&amp;"、","")&amp;IF(AB38=1,IFERROR(INDEX($F$9:$F$158,MATCH(V38,$D$9:$D$158,0)),"")&amp;"、","")</f>
        <v/>
      </c>
      <c r="AL38" s="14" t="str">
        <f>IF(OR(AH38=""),"",IF(OR(INDEX($D$9:$D$158,AH38)=T38,INDEX($D$9:$D$158,AH38)=U38,INDEX($D$9:$D$158,AH38)=V38),"",INDEX($F$9:$F$158,AH38)&amp;"、"))&amp;IF(OR(AI38="",AI38=AH38),"",IF(OR(INDEX($D$9:$D$158,AI38)=T38,INDEX($D$9:$D$158,AI38)=U38,INDEX($D$9:$D$158,AI38)=V38),"",INDEX($F$9:$F$158,AI38)&amp;"、"))&amp;IF(OR(AJ38="",AJ38=AH38,AJ38=AI38),"",IF(OR(INDEX($D$9:$D$158,AJ38)=T38,INDEX($D$9:$D$158,AJ38)=U38,INDEX($D$9:$D$158,AJ38)=V38),"",INDEX($F$9:$F$158,AJ38)&amp;"、"))</f>
        <v/>
      </c>
      <c r="AM38" s="14" t="str">
        <f>IF(T38="","",IFERROR(INDEX('①名簿入力'!$C$4:$C$153,MATCH(T38,'①名簿入力'!$A$4:$A$153,0)),"?")&amp;IF(W38="","","("&amp;W38&amp;"組)"))</f>
        <v>原田　杏(2組)</v>
      </c>
      <c r="AN38" s="14" t="str">
        <f>IF(U38="","",IFERROR(INDEX('①名簿入力'!$C$4:$C$153,MATCH(U38,'①名簿入力'!$A$4:$A$153,0)),"?")&amp;IF(X38="","","("&amp;X38&amp;"組)"))</f>
        <v/>
      </c>
      <c r="AO38" s="14" t="str">
        <f>IF(V38="","",IFERROR(INDEX('①名簿入力'!$C$4:$C$153,MATCH(V38,'①名簿入力'!$A$4:$A$153,0)),"?")&amp;IF(Y38="","","("&amp;Y38&amp;"組)"))</f>
        <v/>
      </c>
      <c r="AP38" s="14">
        <f>IF(G38="男",1,IF(G38="女",2,3))</f>
        <v>2</v>
      </c>
      <c r="AQ38" s="14">
        <f>IF(OR(S38="",E38=""),"",IFERROR(IF('③クラス一覧'!$AD$6="番号順",0,AP38*1000000000)+D38,""))</f>
        <v>2000002130</v>
      </c>
      <c r="AR38" s="14">
        <f>IF(AQ38="","",COUNTIFS($E$9:$E$158,E38,$AQ$9:$AQ$158,"&lt;"&amp;AQ38)+1)</f>
        <v>23</v>
      </c>
      <c r="AS38" s="14" t="str">
        <f>IF(AR38="","",E38&amp;"-"&amp;AR38)</f>
        <v>3-23</v>
      </c>
      <c r="AT38" s="14">
        <f>IF(S38="","",IF(INDEX('①名簿入力'!$F$4:$F$153,S38)="","",INDEX('①名簿入力'!$F$4:$F$153,S38)))</f>
        <v>66</v>
      </c>
      <c r="AU38" s="14">
        <f>IF(S38="","",IF(INDEX('①名簿入力'!$G$4:$G$153,S38)="","",INDEX('①名簿入力'!$G$4:$G$153,S38)))</f>
        <v>53</v>
      </c>
      <c r="AV38" s="14">
        <f>IF(S38="","",IF(INDEX('①名簿入力'!$H$4:$H$153,S38)="","",INDEX('①名簿入力'!$H$4:$H$153,S38)))</f>
        <v>63</v>
      </c>
      <c r="AW38" s="14">
        <f>IF(S38="","",IF(INDEX('①名簿入力'!$I$4:$I$153,S38)="","",INDEX('①名簿入力'!$I$4:$I$153,S38)))</f>
        <v>72</v>
      </c>
      <c r="AX38" s="14">
        <f>IF(S38="","",IF(INDEX('①名簿入力'!$J$4:$J$153,S38)="","",INDEX('①名簿入力'!$J$4:$J$153,S38)))</f>
        <v>63</v>
      </c>
    </row>
    <row r="39">
      <c r="A39" s="23">
        <f>IF('①名簿入力'!A34="","",'①名簿入力'!A34)</f>
        <v>2131</v>
      </c>
      <c r="B39" s="23">
        <f>IF(A39="","",'①名簿入力'!U34)</f>
        <v>1</v>
      </c>
      <c r="D39" s="8" t="n">
        <v>2131</v>
      </c>
      <c r="E39" s="24" t="n">
        <v>1</v>
      </c>
      <c r="F39" s="25" t="str">
        <f>IF(D39="","",IF(S39="","（名簿にない番号）",INDEX('①名簿入力'!$C$4:$C$153,S39)&amp;""))</f>
        <v>森田　杏</v>
      </c>
      <c r="G39" s="13" t="str">
        <f>IF(S39="","",INDEX('①名簿入力'!$E$4:$E$153,S39)&amp;"")</f>
        <v>女</v>
      </c>
      <c r="H39" s="13">
        <f>IF(S39="","",IF(INDEX('①名簿入力'!$B$4:$B$153,S39)="","",INDEX('①名簿入力'!$B$4:$B$153,S39)))</f>
        <v>1</v>
      </c>
      <c r="I39" s="10">
        <f>IF(S39="","",IF(INDEX('①名簿入力'!$K$4:$K$153,S39)="","",INDEX('①名簿入力'!$K$4:$K$153,S39)))</f>
        <v>62.2</v>
      </c>
      <c r="J39" s="10">
        <f>IF(S39="","",IF(INDEX('①名簿入力'!$L$4:$L$153,S39)="","",INDEX('①名簿入力'!$L$4:$L$153,S39)))</f>
        <v>9.6</v>
      </c>
      <c r="K39" s="13" t="str">
        <f>IF(S39="","",IF(INDEX('①名簿入力'!$Y$4:$Y$153,S39)=1,"〇",""))</f>
        <v/>
      </c>
      <c r="L39" s="13" t="str">
        <f>IF(S39="","",IF(INDEX('①名簿入力'!$Z$4:$Z$153,S39)=1,"〇",""))</f>
        <v/>
      </c>
      <c r="M39" s="13" t="str">
        <f>IF(S39="","",IF(INDEX('①名簿入力'!$AA$4:$AA$153,S39)=1,"〇",""))</f>
        <v/>
      </c>
      <c r="N39" s="13" t="str">
        <f>IF(S39="","",IF(INDEX('①名簿入力'!$AB$4:$AB$153,S39)=1,"〇",""))</f>
        <v/>
      </c>
      <c r="O39" s="25" t="str">
        <f>AM39&amp;IF(AND(AM39&lt;&gt;"",AN39&lt;&gt;""),"、","")&amp;AN39&amp;IF(AND(AM39&amp;AN39&lt;&gt;"",AO39&lt;&gt;""),"、","")&amp;AO39</f>
        <v/>
      </c>
      <c r="P39" s="25" t="str">
        <f>IF(AG39=0,"",IF(AK39&amp;AL39="","⚠",LEFT(AK39&amp;AL39,LEN(AK39&amp;AL39)-1)))</f>
        <v/>
      </c>
      <c r="Q39" s="25" t="str">
        <f>IF(S39="","",INDEX('①名簿入力'!$T$4:$T$153,S39)&amp;"")</f>
        <v/>
      </c>
      <c r="S39" s="14">
        <f>IF(D39="","",IFERROR(MATCH(D39,'①名簿入力'!$A$4:$A$153,0),""))</f>
        <v>31</v>
      </c>
      <c r="T39" s="14" t="str">
        <f>IF(S39="","",IF(INDEX('①名簿入力'!$AG$4:$AG$153,S39)=D39,"",INDEX('①名簿入力'!$AG$4:$AG$153,S39)))</f>
        <v/>
      </c>
      <c r="U39" s="14" t="str">
        <f>IF(S39="","",IF(INDEX('①名簿入力'!$AH$4:$AH$153,S39)=D39,"",INDEX('①名簿入力'!$AH$4:$AH$153,S39)))</f>
        <v/>
      </c>
      <c r="V39" s="14" t="str">
        <f>IF(S39="","",IF(INDEX('①名簿入力'!$AI$4:$AI$153,S39)=D39,"",INDEX('①名簿入力'!$AI$4:$AI$153,S39)))</f>
        <v/>
      </c>
      <c r="W39" s="14" t="str">
        <f>IF(T39="","",IFERROR(IF(INDEX($E$9:$E$158,MATCH(T39,$D$9:$D$158,0))="","",INDEX($E$9:$E$158,MATCH(T39,$D$9:$D$158,0))),""))</f>
        <v/>
      </c>
      <c r="X39" s="14" t="str">
        <f>IF(U39="","",IFERROR(IF(INDEX($E$9:$E$158,MATCH(U39,$D$9:$D$158,0))="","",INDEX($E$9:$E$158,MATCH(U39,$D$9:$D$158,0))),""))</f>
        <v/>
      </c>
      <c r="Y39" s="14" t="str">
        <f>IF(V39="","",IFERROR(IF(INDEX($E$9:$E$158,MATCH(V39,$D$9:$D$158,0))="","",INDEX($E$9:$E$158,MATCH(V39,$D$9:$D$158,0))),""))</f>
        <v/>
      </c>
      <c r="Z39" s="14">
        <f>IF(AND(T39&lt;&gt;"",W39&lt;&gt;"",E39&lt;&gt;""),IF(W39=E39,1,0),0)</f>
        <v>0</v>
      </c>
      <c r="AA39" s="14">
        <f>IF(AND(U39&lt;&gt;"",X39&lt;&gt;"",E39&lt;&gt;""),IF(X39=E39,1,0),0)</f>
        <v>0</v>
      </c>
      <c r="AB39" s="14">
        <f>IF(AND(V39&lt;&gt;"",Y39&lt;&gt;"",E39&lt;&gt;""),IF(Y39=E39,1,0),0)</f>
        <v>0</v>
      </c>
      <c r="AC39" s="14" t="str">
        <f>IF(OR(T39="",E39=""),"",T39&amp;"|"&amp;E39)</f>
        <v/>
      </c>
      <c r="AD39" s="14" t="str">
        <f>IF(OR(U39="",E39=""),"",U39&amp;"|"&amp;E39)</f>
        <v/>
      </c>
      <c r="AE39" s="14" t="str">
        <f>IF(OR(V39="",E39=""),"",V39&amp;"|"&amp;E39)</f>
        <v/>
      </c>
      <c r="AF39" s="14">
        <f>IF(OR(D39="",E39=""),0,COUNTIF($AC$9:$AC$158,D39&amp;"|"&amp;E39)+COUNTIF($AD$9:$AD$158,D39&amp;"|"&amp;E39)+COUNTIF($AE$9:$AE$158,D39&amp;"|"&amp;E39))</f>
        <v>0</v>
      </c>
      <c r="AG39" s="14">
        <f>Z39+AA39+AB39+AF39</f>
        <v>0</v>
      </c>
      <c r="AH39" s="14" t="str">
        <f>IF(OR(D39="",E39=""),"",IFERROR(MATCH(D39&amp;"|"&amp;E39,$AC$9:$AC$158,0),""))</f>
        <v/>
      </c>
      <c r="AI39" s="14" t="str">
        <f>IF(OR(D39="",E39=""),"",IFERROR(MATCH(D39&amp;"|"&amp;E39,$AD$9:$AD$158,0),""))</f>
        <v/>
      </c>
      <c r="AJ39" s="14" t="str">
        <f>IF(OR(D39="",E39=""),"",IFERROR(MATCH(D39&amp;"|"&amp;E39,$AE$9:$AE$158,0),""))</f>
        <v/>
      </c>
      <c r="AK39" s="14" t="str">
        <f>IF(Z39=1,IFERROR(INDEX($F$9:$F$158,MATCH(T39,$D$9:$D$158,0)),"")&amp;"、","")&amp;IF(AA39=1,IFERROR(INDEX($F$9:$F$158,MATCH(U39,$D$9:$D$158,0)),"")&amp;"、","")&amp;IF(AB39=1,IFERROR(INDEX($F$9:$F$158,MATCH(V39,$D$9:$D$158,0)),"")&amp;"、","")</f>
        <v/>
      </c>
      <c r="AL39" s="14" t="str">
        <f>IF(OR(AH39=""),"",IF(OR(INDEX($D$9:$D$158,AH39)=T39,INDEX($D$9:$D$158,AH39)=U39,INDEX($D$9:$D$158,AH39)=V39),"",INDEX($F$9:$F$158,AH39)&amp;"、"))&amp;IF(OR(AI39="",AI39=AH39),"",IF(OR(INDEX($D$9:$D$158,AI39)=T39,INDEX($D$9:$D$158,AI39)=U39,INDEX($D$9:$D$158,AI39)=V39),"",INDEX($F$9:$F$158,AI39)&amp;"、"))&amp;IF(OR(AJ39="",AJ39=AH39,AJ39=AI39),"",IF(OR(INDEX($D$9:$D$158,AJ39)=T39,INDEX($D$9:$D$158,AJ39)=U39,INDEX($D$9:$D$158,AJ39)=V39),"",INDEX($F$9:$F$158,AJ39)&amp;"、"))</f>
        <v/>
      </c>
      <c r="AM39" s="14" t="str">
        <f>IF(T39="","",IFERROR(INDEX('①名簿入力'!$C$4:$C$153,MATCH(T39,'①名簿入力'!$A$4:$A$153,0)),"?")&amp;IF(W39="","","("&amp;W39&amp;"組)"))</f>
        <v/>
      </c>
      <c r="AN39" s="14" t="str">
        <f>IF(U39="","",IFERROR(INDEX('①名簿入力'!$C$4:$C$153,MATCH(U39,'①名簿入力'!$A$4:$A$153,0)),"?")&amp;IF(X39="","","("&amp;X39&amp;"組)"))</f>
        <v/>
      </c>
      <c r="AO39" s="14" t="str">
        <f>IF(V39="","",IFERROR(INDEX('①名簿入力'!$C$4:$C$153,MATCH(V39,'①名簿入力'!$A$4:$A$153,0)),"?")&amp;IF(Y39="","","("&amp;Y39&amp;"組)"))</f>
        <v/>
      </c>
      <c r="AP39" s="14">
        <f>IF(G39="男",1,IF(G39="女",2,3))</f>
        <v>2</v>
      </c>
      <c r="AQ39" s="14">
        <f>IF(OR(S39="",E39=""),"",IFERROR(IF('③クラス一覧'!$AD$6="番号順",0,AP39*1000000000)+D39,""))</f>
        <v>2000002131</v>
      </c>
      <c r="AR39" s="14">
        <f>IF(AQ39="","",COUNTIFS($E$9:$E$158,E39,$AQ$9:$AQ$158,"&lt;"&amp;AQ39)+1)</f>
        <v>24</v>
      </c>
      <c r="AS39" s="14" t="str">
        <f>IF(AR39="","",E39&amp;"-"&amp;AR39)</f>
        <v>1-24</v>
      </c>
      <c r="AT39" s="14">
        <f>IF(S39="","",IF(INDEX('①名簿入力'!$F$4:$F$153,S39)="","",INDEX('①名簿入力'!$F$4:$F$153,S39)))</f>
        <v>55</v>
      </c>
      <c r="AU39" s="14">
        <f>IF(S39="","",IF(INDEX('①名簿入力'!$G$4:$G$153,S39)="","",INDEX('①名簿入力'!$G$4:$G$153,S39)))</f>
        <v>55</v>
      </c>
      <c r="AV39" s="14">
        <f>IF(S39="","",IF(INDEX('①名簿入力'!$H$4:$H$153,S39)="","",INDEX('①名簿入力'!$H$4:$H$153,S39)))</f>
        <v>62</v>
      </c>
      <c r="AW39" s="14">
        <f>IF(S39="","",IF(INDEX('①名簿入力'!$I$4:$I$153,S39)="","",INDEX('①名簿入力'!$I$4:$I$153,S39)))</f>
        <v>54</v>
      </c>
      <c r="AX39" s="14">
        <f>IF(S39="","",IF(INDEX('①名簿入力'!$J$4:$J$153,S39)="","",INDEX('①名簿入力'!$J$4:$J$153,S39)))</f>
        <v>85</v>
      </c>
    </row>
    <row r="40">
      <c r="A40" s="23">
        <f>IF('①名簿入力'!A35="","",'①名簿入力'!A35)</f>
        <v>2132</v>
      </c>
      <c r="B40" s="23">
        <f>IF(A40="","",'①名簿入力'!U35)</f>
        <v>2</v>
      </c>
      <c r="D40" s="8" t="n">
        <v>2132</v>
      </c>
      <c r="E40" s="24" t="n">
        <v>2</v>
      </c>
      <c r="F40" s="25" t="str">
        <f>IF(D40="","",IF(S40="","（名簿にない番号）",INDEX('①名簿入力'!$C$4:$C$153,S40)&amp;""))</f>
        <v>森田　心春</v>
      </c>
      <c r="G40" s="13" t="str">
        <f>IF(S40="","",INDEX('①名簿入力'!$E$4:$E$153,S40)&amp;"")</f>
        <v>女</v>
      </c>
      <c r="H40" s="13">
        <f>IF(S40="","",IF(INDEX('①名簿入力'!$B$4:$B$153,S40)="","",INDEX('①名簿入力'!$B$4:$B$153,S40)))</f>
        <v>1</v>
      </c>
      <c r="I40" s="10">
        <f>IF(S40="","",IF(INDEX('①名簿入力'!$K$4:$K$153,S40)="","",INDEX('①名簿入力'!$K$4:$K$153,S40)))</f>
        <v>72.8</v>
      </c>
      <c r="J40" s="10">
        <f>IF(S40="","",IF(INDEX('①名簿入力'!$L$4:$L$153,S40)="","",INDEX('①名簿入力'!$L$4:$L$153,S40)))</f>
        <v>8</v>
      </c>
      <c r="K40" s="13" t="str">
        <f>IF(S40="","",IF(INDEX('①名簿入力'!$Y$4:$Y$153,S40)=1,"〇",""))</f>
        <v/>
      </c>
      <c r="L40" s="13" t="str">
        <f>IF(S40="","",IF(INDEX('①名簿入力'!$Z$4:$Z$153,S40)=1,"〇",""))</f>
        <v>〇</v>
      </c>
      <c r="M40" s="13" t="str">
        <f>IF(S40="","",IF(INDEX('①名簿入力'!$AA$4:$AA$153,S40)=1,"〇",""))</f>
        <v/>
      </c>
      <c r="N40" s="13" t="str">
        <f>IF(S40="","",IF(INDEX('①名簿入力'!$AB$4:$AB$153,S40)=1,"〇",""))</f>
        <v/>
      </c>
      <c r="O40" s="25" t="str">
        <f>AM40&amp;IF(AND(AM40&lt;&gt;"",AN40&lt;&gt;""),"、","")&amp;AN40&amp;IF(AND(AM40&amp;AN40&lt;&gt;"",AO40&lt;&gt;""),"、","")&amp;AO40</f>
        <v/>
      </c>
      <c r="P40" s="25" t="str">
        <f>IF(AG40=0,"",IF(AK40&amp;AL40="","⚠",LEFT(AK40&amp;AL40,LEN(AK40&amp;AL40)-1)))</f>
        <v/>
      </c>
      <c r="Q40" s="25" t="str">
        <f>IF(S40="","",INDEX('①名簿入力'!$T$4:$T$153,S40)&amp;"")</f>
        <v/>
      </c>
      <c r="S40" s="14">
        <f>IF(D40="","",IFERROR(MATCH(D40,'①名簿入力'!$A$4:$A$153,0),""))</f>
        <v>32</v>
      </c>
      <c r="T40" s="14" t="str">
        <f>IF(S40="","",IF(INDEX('①名簿入力'!$AG$4:$AG$153,S40)=D40,"",INDEX('①名簿入力'!$AG$4:$AG$153,S40)))</f>
        <v/>
      </c>
      <c r="U40" s="14" t="str">
        <f>IF(S40="","",IF(INDEX('①名簿入力'!$AH$4:$AH$153,S40)=D40,"",INDEX('①名簿入力'!$AH$4:$AH$153,S40)))</f>
        <v/>
      </c>
      <c r="V40" s="14" t="str">
        <f>IF(S40="","",IF(INDEX('①名簿入力'!$AI$4:$AI$153,S40)=D40,"",INDEX('①名簿入力'!$AI$4:$AI$153,S40)))</f>
        <v/>
      </c>
      <c r="W40" s="14" t="str">
        <f>IF(T40="","",IFERROR(IF(INDEX($E$9:$E$158,MATCH(T40,$D$9:$D$158,0))="","",INDEX($E$9:$E$158,MATCH(T40,$D$9:$D$158,0))),""))</f>
        <v/>
      </c>
      <c r="X40" s="14" t="str">
        <f>IF(U40="","",IFERROR(IF(INDEX($E$9:$E$158,MATCH(U40,$D$9:$D$158,0))="","",INDEX($E$9:$E$158,MATCH(U40,$D$9:$D$158,0))),""))</f>
        <v/>
      </c>
      <c r="Y40" s="14" t="str">
        <f>IF(V40="","",IFERROR(IF(INDEX($E$9:$E$158,MATCH(V40,$D$9:$D$158,0))="","",INDEX($E$9:$E$158,MATCH(V40,$D$9:$D$158,0))),""))</f>
        <v/>
      </c>
      <c r="Z40" s="14">
        <f>IF(AND(T40&lt;&gt;"",W40&lt;&gt;"",E40&lt;&gt;""),IF(W40=E40,1,0),0)</f>
        <v>0</v>
      </c>
      <c r="AA40" s="14">
        <f>IF(AND(U40&lt;&gt;"",X40&lt;&gt;"",E40&lt;&gt;""),IF(X40=E40,1,0),0)</f>
        <v>0</v>
      </c>
      <c r="AB40" s="14">
        <f>IF(AND(V40&lt;&gt;"",Y40&lt;&gt;"",E40&lt;&gt;""),IF(Y40=E40,1,0),0)</f>
        <v>0</v>
      </c>
      <c r="AC40" s="14" t="str">
        <f>IF(OR(T40="",E40=""),"",T40&amp;"|"&amp;E40)</f>
        <v/>
      </c>
      <c r="AD40" s="14" t="str">
        <f>IF(OR(U40="",E40=""),"",U40&amp;"|"&amp;E40)</f>
        <v/>
      </c>
      <c r="AE40" s="14" t="str">
        <f>IF(OR(V40="",E40=""),"",V40&amp;"|"&amp;E40)</f>
        <v/>
      </c>
      <c r="AF40" s="14">
        <f>IF(OR(D40="",E40=""),0,COUNTIF($AC$9:$AC$158,D40&amp;"|"&amp;E40)+COUNTIF($AD$9:$AD$158,D40&amp;"|"&amp;E40)+COUNTIF($AE$9:$AE$158,D40&amp;"|"&amp;E40))</f>
        <v>0</v>
      </c>
      <c r="AG40" s="14">
        <f>Z40+AA40+AB40+AF40</f>
        <v>0</v>
      </c>
      <c r="AH40" s="14" t="str">
        <f>IF(OR(D40="",E40=""),"",IFERROR(MATCH(D40&amp;"|"&amp;E40,$AC$9:$AC$158,0),""))</f>
        <v/>
      </c>
      <c r="AI40" s="14" t="str">
        <f>IF(OR(D40="",E40=""),"",IFERROR(MATCH(D40&amp;"|"&amp;E40,$AD$9:$AD$158,0),""))</f>
        <v/>
      </c>
      <c r="AJ40" s="14" t="str">
        <f>IF(OR(D40="",E40=""),"",IFERROR(MATCH(D40&amp;"|"&amp;E40,$AE$9:$AE$158,0),""))</f>
        <v/>
      </c>
      <c r="AK40" s="14" t="str">
        <f>IF(Z40=1,IFERROR(INDEX($F$9:$F$158,MATCH(T40,$D$9:$D$158,0)),"")&amp;"、","")&amp;IF(AA40=1,IFERROR(INDEX($F$9:$F$158,MATCH(U40,$D$9:$D$158,0)),"")&amp;"、","")&amp;IF(AB40=1,IFERROR(INDEX($F$9:$F$158,MATCH(V40,$D$9:$D$158,0)),"")&amp;"、","")</f>
        <v/>
      </c>
      <c r="AL40" s="14" t="str">
        <f>IF(OR(AH40=""),"",IF(OR(INDEX($D$9:$D$158,AH40)=T40,INDEX($D$9:$D$158,AH40)=U40,INDEX($D$9:$D$158,AH40)=V40),"",INDEX($F$9:$F$158,AH40)&amp;"、"))&amp;IF(OR(AI40="",AI40=AH40),"",IF(OR(INDEX($D$9:$D$158,AI40)=T40,INDEX($D$9:$D$158,AI40)=U40,INDEX($D$9:$D$158,AI40)=V40),"",INDEX($F$9:$F$158,AI40)&amp;"、"))&amp;IF(OR(AJ40="",AJ40=AH40,AJ40=AI40),"",IF(OR(INDEX($D$9:$D$158,AJ40)=T40,INDEX($D$9:$D$158,AJ40)=U40,INDEX($D$9:$D$158,AJ40)=V40),"",INDEX($F$9:$F$158,AJ40)&amp;"、"))</f>
        <v/>
      </c>
      <c r="AM40" s="14" t="str">
        <f>IF(T40="","",IFERROR(INDEX('①名簿入力'!$C$4:$C$153,MATCH(T40,'①名簿入力'!$A$4:$A$153,0)),"?")&amp;IF(W40="","","("&amp;W40&amp;"組)"))</f>
        <v/>
      </c>
      <c r="AN40" s="14" t="str">
        <f>IF(U40="","",IFERROR(INDEX('①名簿入力'!$C$4:$C$153,MATCH(U40,'①名簿入力'!$A$4:$A$153,0)),"?")&amp;IF(X40="","","("&amp;X40&amp;"組)"))</f>
        <v/>
      </c>
      <c r="AO40" s="14" t="str">
        <f>IF(V40="","",IFERROR(INDEX('①名簿入力'!$C$4:$C$153,MATCH(V40,'①名簿入力'!$A$4:$A$153,0)),"?")&amp;IF(Y40="","","("&amp;Y40&amp;"組)"))</f>
        <v/>
      </c>
      <c r="AP40" s="14">
        <f>IF(G40="男",1,IF(G40="女",2,3))</f>
        <v>2</v>
      </c>
      <c r="AQ40" s="14">
        <f>IF(OR(S40="",E40=""),"",IFERROR(IF('③クラス一覧'!$AD$6="番号順",0,AP40*1000000000)+D40,""))</f>
        <v>2000002132</v>
      </c>
      <c r="AR40" s="14">
        <f>IF(AQ40="","",COUNTIFS($E$9:$E$158,E40,$AQ$9:$AQ$158,"&lt;"&amp;AQ40)+1)</f>
        <v>23</v>
      </c>
      <c r="AS40" s="14" t="str">
        <f>IF(AR40="","",E40&amp;"-"&amp;AR40)</f>
        <v>2-23</v>
      </c>
      <c r="AT40" s="14">
        <f>IF(S40="","",IF(INDEX('①名簿入力'!$F$4:$F$153,S40)="","",INDEX('①名簿入力'!$F$4:$F$153,S40)))</f>
        <v>66</v>
      </c>
      <c r="AU40" s="14">
        <f>IF(S40="","",IF(INDEX('①名簿入力'!$G$4:$G$153,S40)="","",INDEX('①名簿入力'!$G$4:$G$153,S40)))</f>
        <v>76</v>
      </c>
      <c r="AV40" s="14">
        <f>IF(S40="","",IF(INDEX('①名簿入力'!$H$4:$H$153,S40)="","",INDEX('①名簿入力'!$H$4:$H$153,S40)))</f>
        <v>69</v>
      </c>
      <c r="AW40" s="14">
        <f>IF(S40="","",IF(INDEX('①名簿入力'!$I$4:$I$153,S40)="","",INDEX('①名簿入力'!$I$4:$I$153,S40)))</f>
        <v>74</v>
      </c>
      <c r="AX40" s="14">
        <f>IF(S40="","",IF(INDEX('①名簿入力'!$J$4:$J$153,S40)="","",INDEX('①名簿入力'!$J$4:$J$153,S40)))</f>
        <v>79</v>
      </c>
    </row>
    <row r="41">
      <c r="A41" s="23">
        <f>IF('①名簿入力'!A36="","",'①名簿入力'!A36)</f>
        <v>2133</v>
      </c>
      <c r="B41" s="23">
        <f>IF(A41="","",'①名簿入力'!U36)</f>
        <v>2</v>
      </c>
      <c r="D41" s="8" t="n">
        <v>2133</v>
      </c>
      <c r="E41" s="24" t="n">
        <v>2</v>
      </c>
      <c r="F41" s="25" t="str">
        <f>IF(D41="","",IF(S41="","（名簿にない番号）",INDEX('①名簿入力'!$C$4:$C$153,S41)&amp;""))</f>
        <v>山崎　遥</v>
      </c>
      <c r="G41" s="13" t="str">
        <f>IF(S41="","",INDEX('①名簿入力'!$E$4:$E$153,S41)&amp;"")</f>
        <v>女</v>
      </c>
      <c r="H41" s="13">
        <f>IF(S41="","",IF(INDEX('①名簿入力'!$B$4:$B$153,S41)="","",INDEX('①名簿入力'!$B$4:$B$153,S41)))</f>
        <v>1</v>
      </c>
      <c r="I41" s="10">
        <f>IF(S41="","",IF(INDEX('①名簿入力'!$K$4:$K$153,S41)="","",INDEX('①名簿入力'!$K$4:$K$153,S41)))</f>
        <v>49.4</v>
      </c>
      <c r="J41" s="10">
        <f>IF(S41="","",IF(INDEX('①名簿入力'!$L$4:$L$153,S41)="","",INDEX('①名簿入力'!$L$4:$L$153,S41)))</f>
        <v>8.7</v>
      </c>
      <c r="K41" s="13" t="str">
        <f>IF(S41="","",IF(INDEX('①名簿入力'!$Y$4:$Y$153,S41)=1,"〇",""))</f>
        <v/>
      </c>
      <c r="L41" s="13" t="str">
        <f>IF(S41="","",IF(INDEX('①名簿入力'!$Z$4:$Z$153,S41)=1,"〇",""))</f>
        <v/>
      </c>
      <c r="M41" s="13" t="str">
        <f>IF(S41="","",IF(INDEX('①名簿入力'!$AA$4:$AA$153,S41)=1,"〇",""))</f>
        <v/>
      </c>
      <c r="N41" s="13" t="str">
        <f>IF(S41="","",IF(INDEX('①名簿入力'!$AB$4:$AB$153,S41)=1,"〇",""))</f>
        <v/>
      </c>
      <c r="O41" s="25" t="str">
        <f>AM41&amp;IF(AND(AM41&lt;&gt;"",AN41&lt;&gt;""),"、","")&amp;AN41&amp;IF(AND(AM41&amp;AN41&lt;&gt;"",AO41&lt;&gt;""),"、","")&amp;AO41</f>
        <v/>
      </c>
      <c r="P41" s="25" t="str">
        <f>IF(AG41=0,"",IF(AK41&amp;AL41="","⚠",LEFT(AK41&amp;AL41,LEN(AK41&amp;AL41)-1)))</f>
        <v/>
      </c>
      <c r="Q41" s="25" t="str">
        <f>IF(S41="","",INDEX('①名簿入力'!$T$4:$T$153,S41)&amp;"")</f>
        <v/>
      </c>
      <c r="S41" s="14">
        <f>IF(D41="","",IFERROR(MATCH(D41,'①名簿入力'!$A$4:$A$153,0),""))</f>
        <v>33</v>
      </c>
      <c r="T41" s="14" t="str">
        <f>IF(S41="","",IF(INDEX('①名簿入力'!$AG$4:$AG$153,S41)=D41,"",INDEX('①名簿入力'!$AG$4:$AG$153,S41)))</f>
        <v/>
      </c>
      <c r="U41" s="14" t="str">
        <f>IF(S41="","",IF(INDEX('①名簿入力'!$AH$4:$AH$153,S41)=D41,"",INDEX('①名簿入力'!$AH$4:$AH$153,S41)))</f>
        <v/>
      </c>
      <c r="V41" s="14" t="str">
        <f>IF(S41="","",IF(INDEX('①名簿入力'!$AI$4:$AI$153,S41)=D41,"",INDEX('①名簿入力'!$AI$4:$AI$153,S41)))</f>
        <v/>
      </c>
      <c r="W41" s="14" t="str">
        <f>IF(T41="","",IFERROR(IF(INDEX($E$9:$E$158,MATCH(T41,$D$9:$D$158,0))="","",INDEX($E$9:$E$158,MATCH(T41,$D$9:$D$158,0))),""))</f>
        <v/>
      </c>
      <c r="X41" s="14" t="str">
        <f>IF(U41="","",IFERROR(IF(INDEX($E$9:$E$158,MATCH(U41,$D$9:$D$158,0))="","",INDEX($E$9:$E$158,MATCH(U41,$D$9:$D$158,0))),""))</f>
        <v/>
      </c>
      <c r="Y41" s="14" t="str">
        <f>IF(V41="","",IFERROR(IF(INDEX($E$9:$E$158,MATCH(V41,$D$9:$D$158,0))="","",INDEX($E$9:$E$158,MATCH(V41,$D$9:$D$158,0))),""))</f>
        <v/>
      </c>
      <c r="Z41" s="14">
        <f>IF(AND(T41&lt;&gt;"",W41&lt;&gt;"",E41&lt;&gt;""),IF(W41=E41,1,0),0)</f>
        <v>0</v>
      </c>
      <c r="AA41" s="14">
        <f>IF(AND(U41&lt;&gt;"",X41&lt;&gt;"",E41&lt;&gt;""),IF(X41=E41,1,0),0)</f>
        <v>0</v>
      </c>
      <c r="AB41" s="14">
        <f>IF(AND(V41&lt;&gt;"",Y41&lt;&gt;"",E41&lt;&gt;""),IF(Y41=E41,1,0),0)</f>
        <v>0</v>
      </c>
      <c r="AC41" s="14" t="str">
        <f>IF(OR(T41="",E41=""),"",T41&amp;"|"&amp;E41)</f>
        <v/>
      </c>
      <c r="AD41" s="14" t="str">
        <f>IF(OR(U41="",E41=""),"",U41&amp;"|"&amp;E41)</f>
        <v/>
      </c>
      <c r="AE41" s="14" t="str">
        <f>IF(OR(V41="",E41=""),"",V41&amp;"|"&amp;E41)</f>
        <v/>
      </c>
      <c r="AF41" s="14">
        <f>IF(OR(D41="",E41=""),0,COUNTIF($AC$9:$AC$158,D41&amp;"|"&amp;E41)+COUNTIF($AD$9:$AD$158,D41&amp;"|"&amp;E41)+COUNTIF($AE$9:$AE$158,D41&amp;"|"&amp;E41))</f>
        <v>0</v>
      </c>
      <c r="AG41" s="14">
        <f>Z41+AA41+AB41+AF41</f>
        <v>0</v>
      </c>
      <c r="AH41" s="14" t="str">
        <f>IF(OR(D41="",E41=""),"",IFERROR(MATCH(D41&amp;"|"&amp;E41,$AC$9:$AC$158,0),""))</f>
        <v/>
      </c>
      <c r="AI41" s="14" t="str">
        <f>IF(OR(D41="",E41=""),"",IFERROR(MATCH(D41&amp;"|"&amp;E41,$AD$9:$AD$158,0),""))</f>
        <v/>
      </c>
      <c r="AJ41" s="14" t="str">
        <f>IF(OR(D41="",E41=""),"",IFERROR(MATCH(D41&amp;"|"&amp;E41,$AE$9:$AE$158,0),""))</f>
        <v/>
      </c>
      <c r="AK41" s="14" t="str">
        <f>IF(Z41=1,IFERROR(INDEX($F$9:$F$158,MATCH(T41,$D$9:$D$158,0)),"")&amp;"、","")&amp;IF(AA41=1,IFERROR(INDEX($F$9:$F$158,MATCH(U41,$D$9:$D$158,0)),"")&amp;"、","")&amp;IF(AB41=1,IFERROR(INDEX($F$9:$F$158,MATCH(V41,$D$9:$D$158,0)),"")&amp;"、","")</f>
        <v/>
      </c>
      <c r="AL41" s="14" t="str">
        <f>IF(OR(AH41=""),"",IF(OR(INDEX($D$9:$D$158,AH41)=T41,INDEX($D$9:$D$158,AH41)=U41,INDEX($D$9:$D$158,AH41)=V41),"",INDEX($F$9:$F$158,AH41)&amp;"、"))&amp;IF(OR(AI41="",AI41=AH41),"",IF(OR(INDEX($D$9:$D$158,AI41)=T41,INDEX($D$9:$D$158,AI41)=U41,INDEX($D$9:$D$158,AI41)=V41),"",INDEX($F$9:$F$158,AI41)&amp;"、"))&amp;IF(OR(AJ41="",AJ41=AH41,AJ41=AI41),"",IF(OR(INDEX($D$9:$D$158,AJ41)=T41,INDEX($D$9:$D$158,AJ41)=U41,INDEX($D$9:$D$158,AJ41)=V41),"",INDEX($F$9:$F$158,AJ41)&amp;"、"))</f>
        <v/>
      </c>
      <c r="AM41" s="14" t="str">
        <f>IF(T41="","",IFERROR(INDEX('①名簿入力'!$C$4:$C$153,MATCH(T41,'①名簿入力'!$A$4:$A$153,0)),"?")&amp;IF(W41="","","("&amp;W41&amp;"組)"))</f>
        <v/>
      </c>
      <c r="AN41" s="14" t="str">
        <f>IF(U41="","",IFERROR(INDEX('①名簿入力'!$C$4:$C$153,MATCH(U41,'①名簿入力'!$A$4:$A$153,0)),"?")&amp;IF(X41="","","("&amp;X41&amp;"組)"))</f>
        <v/>
      </c>
      <c r="AO41" s="14" t="str">
        <f>IF(V41="","",IFERROR(INDEX('①名簿入力'!$C$4:$C$153,MATCH(V41,'①名簿入力'!$A$4:$A$153,0)),"?")&amp;IF(Y41="","","("&amp;Y41&amp;"組)"))</f>
        <v/>
      </c>
      <c r="AP41" s="14">
        <f>IF(G41="男",1,IF(G41="女",2,3))</f>
        <v>2</v>
      </c>
      <c r="AQ41" s="14">
        <f>IF(OR(S41="",E41=""),"",IFERROR(IF('③クラス一覧'!$AD$6="番号順",0,AP41*1000000000)+D41,""))</f>
        <v>2000002133</v>
      </c>
      <c r="AR41" s="14">
        <f>IF(AQ41="","",COUNTIFS($E$9:$E$158,E41,$AQ$9:$AQ$158,"&lt;"&amp;AQ41)+1)</f>
        <v>24</v>
      </c>
      <c r="AS41" s="14" t="str">
        <f>IF(AR41="","",E41&amp;"-"&amp;AR41)</f>
        <v>2-24</v>
      </c>
      <c r="AT41" s="14">
        <f>IF(S41="","",IF(INDEX('①名簿入力'!$F$4:$F$153,S41)="","",INDEX('①名簿入力'!$F$4:$F$153,S41)))</f>
        <v>41</v>
      </c>
      <c r="AU41" s="14">
        <f>IF(S41="","",IF(INDEX('①名簿入力'!$G$4:$G$153,S41)="","",INDEX('①名簿入力'!$G$4:$G$153,S41)))</f>
        <v>50</v>
      </c>
      <c r="AV41" s="14">
        <f>IF(S41="","",IF(INDEX('①名簿入力'!$H$4:$H$153,S41)="","",INDEX('①名簿入力'!$H$4:$H$153,S41)))</f>
        <v>45</v>
      </c>
      <c r="AW41" s="14">
        <f>IF(S41="","",IF(INDEX('①名簿入力'!$I$4:$I$153,S41)="","",INDEX('①名簿入力'!$I$4:$I$153,S41)))</f>
        <v>61</v>
      </c>
      <c r="AX41" s="14">
        <f>IF(S41="","",IF(INDEX('①名簿入力'!$J$4:$J$153,S41)="","",INDEX('①名簿入力'!$J$4:$J$153,S41)))</f>
        <v>50</v>
      </c>
    </row>
    <row r="42">
      <c r="A42" s="23">
        <f>IF('①名簿入力'!A37="","",'①名簿入力'!A37)</f>
        <v>2134</v>
      </c>
      <c r="B42" s="23">
        <f>IF(A42="","",'①名簿入力'!U37)</f>
        <v>2</v>
      </c>
      <c r="D42" s="8" t="n">
        <v>2134</v>
      </c>
      <c r="E42" s="24" t="n">
        <v>2</v>
      </c>
      <c r="F42" s="25" t="str">
        <f>IF(D42="","",IF(S42="","（名簿にない番号）",INDEX('①名簿入力'!$C$4:$C$153,S42)&amp;""))</f>
        <v>山下　律</v>
      </c>
      <c r="G42" s="13" t="str">
        <f>IF(S42="","",INDEX('①名簿入力'!$E$4:$E$153,S42)&amp;"")</f>
        <v>男</v>
      </c>
      <c r="H42" s="13">
        <f>IF(S42="","",IF(INDEX('①名簿入力'!$B$4:$B$153,S42)="","",INDEX('①名簿入力'!$B$4:$B$153,S42)))</f>
        <v>1</v>
      </c>
      <c r="I42" s="10">
        <f>IF(S42="","",IF(INDEX('①名簿入力'!$K$4:$K$153,S42)="","",INDEX('①名簿入力'!$K$4:$K$153,S42)))</f>
        <v>83.6</v>
      </c>
      <c r="J42" s="10">
        <f>IF(S42="","",IF(INDEX('①名簿入力'!$L$4:$L$153,S42)="","",INDEX('①名簿入力'!$L$4:$L$153,S42)))</f>
        <v>7</v>
      </c>
      <c r="K42" s="13" t="str">
        <f>IF(S42="","",IF(INDEX('①名簿入力'!$Y$4:$Y$153,S42)=1,"〇",""))</f>
        <v>〇</v>
      </c>
      <c r="L42" s="13" t="str">
        <f>IF(S42="","",IF(INDEX('①名簿入力'!$Z$4:$Z$153,S42)=1,"〇",""))</f>
        <v/>
      </c>
      <c r="M42" s="13" t="str">
        <f>IF(S42="","",IF(INDEX('①名簿入力'!$AA$4:$AA$153,S42)=1,"〇",""))</f>
        <v/>
      </c>
      <c r="N42" s="13" t="str">
        <f>IF(S42="","",IF(INDEX('①名簿入力'!$AB$4:$AB$153,S42)=1,"〇",""))</f>
        <v/>
      </c>
      <c r="O42" s="25" t="str">
        <f>AM42&amp;IF(AND(AM42&lt;&gt;"",AN42&lt;&gt;""),"、","")&amp;AN42&amp;IF(AND(AM42&amp;AN42&lt;&gt;"",AO42&lt;&gt;""),"、","")&amp;AO42</f>
        <v/>
      </c>
      <c r="P42" s="25" t="str">
        <f>IF(AG42=0,"",IF(AK42&amp;AL42="","⚠",LEFT(AK42&amp;AL42,LEN(AK42&amp;AL42)-1)))</f>
        <v/>
      </c>
      <c r="Q42" s="25" t="str">
        <f>IF(S42="","",INDEX('①名簿入力'!$T$4:$T$153,S42)&amp;"")</f>
        <v/>
      </c>
      <c r="S42" s="14">
        <f>IF(D42="","",IFERROR(MATCH(D42,'①名簿入力'!$A$4:$A$153,0),""))</f>
        <v>34</v>
      </c>
      <c r="T42" s="14" t="str">
        <f>IF(S42="","",IF(INDEX('①名簿入力'!$AG$4:$AG$153,S42)=D42,"",INDEX('①名簿入力'!$AG$4:$AG$153,S42)))</f>
        <v/>
      </c>
      <c r="U42" s="14" t="str">
        <f>IF(S42="","",IF(INDEX('①名簿入力'!$AH$4:$AH$153,S42)=D42,"",INDEX('①名簿入力'!$AH$4:$AH$153,S42)))</f>
        <v/>
      </c>
      <c r="V42" s="14" t="str">
        <f>IF(S42="","",IF(INDEX('①名簿入力'!$AI$4:$AI$153,S42)=D42,"",INDEX('①名簿入力'!$AI$4:$AI$153,S42)))</f>
        <v/>
      </c>
      <c r="W42" s="14" t="str">
        <f>IF(T42="","",IFERROR(IF(INDEX($E$9:$E$158,MATCH(T42,$D$9:$D$158,0))="","",INDEX($E$9:$E$158,MATCH(T42,$D$9:$D$158,0))),""))</f>
        <v/>
      </c>
      <c r="X42" s="14" t="str">
        <f>IF(U42="","",IFERROR(IF(INDEX($E$9:$E$158,MATCH(U42,$D$9:$D$158,0))="","",INDEX($E$9:$E$158,MATCH(U42,$D$9:$D$158,0))),""))</f>
        <v/>
      </c>
      <c r="Y42" s="14" t="str">
        <f>IF(V42="","",IFERROR(IF(INDEX($E$9:$E$158,MATCH(V42,$D$9:$D$158,0))="","",INDEX($E$9:$E$158,MATCH(V42,$D$9:$D$158,0))),""))</f>
        <v/>
      </c>
      <c r="Z42" s="14">
        <f>IF(AND(T42&lt;&gt;"",W42&lt;&gt;"",E42&lt;&gt;""),IF(W42=E42,1,0),0)</f>
        <v>0</v>
      </c>
      <c r="AA42" s="14">
        <f>IF(AND(U42&lt;&gt;"",X42&lt;&gt;"",E42&lt;&gt;""),IF(X42=E42,1,0),0)</f>
        <v>0</v>
      </c>
      <c r="AB42" s="14">
        <f>IF(AND(V42&lt;&gt;"",Y42&lt;&gt;"",E42&lt;&gt;""),IF(Y42=E42,1,0),0)</f>
        <v>0</v>
      </c>
      <c r="AC42" s="14" t="str">
        <f>IF(OR(T42="",E42=""),"",T42&amp;"|"&amp;E42)</f>
        <v/>
      </c>
      <c r="AD42" s="14" t="str">
        <f>IF(OR(U42="",E42=""),"",U42&amp;"|"&amp;E42)</f>
        <v/>
      </c>
      <c r="AE42" s="14" t="str">
        <f>IF(OR(V42="",E42=""),"",V42&amp;"|"&amp;E42)</f>
        <v/>
      </c>
      <c r="AF42" s="14">
        <f>IF(OR(D42="",E42=""),0,COUNTIF($AC$9:$AC$158,D42&amp;"|"&amp;E42)+COUNTIF($AD$9:$AD$158,D42&amp;"|"&amp;E42)+COUNTIF($AE$9:$AE$158,D42&amp;"|"&amp;E42))</f>
        <v>0</v>
      </c>
      <c r="AG42" s="14">
        <f>Z42+AA42+AB42+AF42</f>
        <v>0</v>
      </c>
      <c r="AH42" s="14" t="str">
        <f>IF(OR(D42="",E42=""),"",IFERROR(MATCH(D42&amp;"|"&amp;E42,$AC$9:$AC$158,0),""))</f>
        <v/>
      </c>
      <c r="AI42" s="14" t="str">
        <f>IF(OR(D42="",E42=""),"",IFERROR(MATCH(D42&amp;"|"&amp;E42,$AD$9:$AD$158,0),""))</f>
        <v/>
      </c>
      <c r="AJ42" s="14" t="str">
        <f>IF(OR(D42="",E42=""),"",IFERROR(MATCH(D42&amp;"|"&amp;E42,$AE$9:$AE$158,0),""))</f>
        <v/>
      </c>
      <c r="AK42" s="14" t="str">
        <f>IF(Z42=1,IFERROR(INDEX($F$9:$F$158,MATCH(T42,$D$9:$D$158,0)),"")&amp;"、","")&amp;IF(AA42=1,IFERROR(INDEX($F$9:$F$158,MATCH(U42,$D$9:$D$158,0)),"")&amp;"、","")&amp;IF(AB42=1,IFERROR(INDEX($F$9:$F$158,MATCH(V42,$D$9:$D$158,0)),"")&amp;"、","")</f>
        <v/>
      </c>
      <c r="AL42" s="14" t="str">
        <f>IF(OR(AH42=""),"",IF(OR(INDEX($D$9:$D$158,AH42)=T42,INDEX($D$9:$D$158,AH42)=U42,INDEX($D$9:$D$158,AH42)=V42),"",INDEX($F$9:$F$158,AH42)&amp;"、"))&amp;IF(OR(AI42="",AI42=AH42),"",IF(OR(INDEX($D$9:$D$158,AI42)=T42,INDEX($D$9:$D$158,AI42)=U42,INDEX($D$9:$D$158,AI42)=V42),"",INDEX($F$9:$F$158,AI42)&amp;"、"))&amp;IF(OR(AJ42="",AJ42=AH42,AJ42=AI42),"",IF(OR(INDEX($D$9:$D$158,AJ42)=T42,INDEX($D$9:$D$158,AJ42)=U42,INDEX($D$9:$D$158,AJ42)=V42),"",INDEX($F$9:$F$158,AJ42)&amp;"、"))</f>
        <v/>
      </c>
      <c r="AM42" s="14" t="str">
        <f>IF(T42="","",IFERROR(INDEX('①名簿入力'!$C$4:$C$153,MATCH(T42,'①名簿入力'!$A$4:$A$153,0)),"?")&amp;IF(W42="","","("&amp;W42&amp;"組)"))</f>
        <v/>
      </c>
      <c r="AN42" s="14" t="str">
        <f>IF(U42="","",IFERROR(INDEX('①名簿入力'!$C$4:$C$153,MATCH(U42,'①名簿入力'!$A$4:$A$153,0)),"?")&amp;IF(X42="","","("&amp;X42&amp;"組)"))</f>
        <v/>
      </c>
      <c r="AO42" s="14" t="str">
        <f>IF(V42="","",IFERROR(INDEX('①名簿入力'!$C$4:$C$153,MATCH(V42,'①名簿入力'!$A$4:$A$153,0)),"?")&amp;IF(Y42="","","("&amp;Y42&amp;"組)"))</f>
        <v/>
      </c>
      <c r="AP42" s="14">
        <f>IF(G42="男",1,IF(G42="女",2,3))</f>
        <v>1</v>
      </c>
      <c r="AQ42" s="14">
        <f>IF(OR(S42="",E42=""),"",IFERROR(IF('③クラス一覧'!$AD$6="番号順",0,AP42*1000000000)+D42,""))</f>
        <v>1000002134</v>
      </c>
      <c r="AR42" s="14">
        <f>IF(AQ42="","",COUNTIFS($E$9:$E$158,E42,$AQ$9:$AQ$158,"&lt;"&amp;AQ42)+1)</f>
        <v>6</v>
      </c>
      <c r="AS42" s="14" t="str">
        <f>IF(AR42="","",E42&amp;"-"&amp;AR42)</f>
        <v>2-6</v>
      </c>
      <c r="AT42" s="14">
        <f>IF(S42="","",IF(INDEX('①名簿入力'!$F$4:$F$153,S42)="","",INDEX('①名簿入力'!$F$4:$F$153,S42)))</f>
        <v>87</v>
      </c>
      <c r="AU42" s="14">
        <f>IF(S42="","",IF(INDEX('①名簿入力'!$G$4:$G$153,S42)="","",INDEX('①名簿入力'!$G$4:$G$153,S42)))</f>
        <v>94</v>
      </c>
      <c r="AV42" s="14">
        <f>IF(S42="","",IF(INDEX('①名簿入力'!$H$4:$H$153,S42)="","",INDEX('①名簿入力'!$H$4:$H$153,S42)))</f>
        <v>74</v>
      </c>
      <c r="AW42" s="14">
        <f>IF(S42="","",IF(INDEX('①名簿入力'!$I$4:$I$153,S42)="","",INDEX('①名簿入力'!$I$4:$I$153,S42)))</f>
        <v>87</v>
      </c>
      <c r="AX42" s="14">
        <f>IF(S42="","",IF(INDEX('①名簿入力'!$J$4:$J$153,S42)="","",INDEX('①名簿入力'!$J$4:$J$153,S42)))</f>
        <v>76</v>
      </c>
    </row>
    <row r="43">
      <c r="A43" s="23">
        <f>IF('①名簿入力'!A38="","",'①名簿入力'!A38)</f>
        <v>2135</v>
      </c>
      <c r="B43" s="23">
        <f>IF(A43="","",'①名簿入力'!U38)</f>
        <v>1</v>
      </c>
      <c r="D43" s="8" t="n">
        <v>2135</v>
      </c>
      <c r="E43" s="24" t="n">
        <v>1</v>
      </c>
      <c r="F43" s="25" t="str">
        <f>IF(D43="","",IF(S43="","（名簿にない番号）",INDEX('①名簿入力'!$C$4:$C$153,S43)&amp;""))</f>
        <v>渡辺　圭吾</v>
      </c>
      <c r="G43" s="13" t="str">
        <f>IF(S43="","",INDEX('①名簿入力'!$E$4:$E$153,S43)&amp;"")</f>
        <v>男</v>
      </c>
      <c r="H43" s="13">
        <f>IF(S43="","",IF(INDEX('①名簿入力'!$B$4:$B$153,S43)="","",INDEX('①名簿入力'!$B$4:$B$153,S43)))</f>
        <v>1</v>
      </c>
      <c r="I43" s="10">
        <f>IF(S43="","",IF(INDEX('①名簿入力'!$K$4:$K$153,S43)="","",INDEX('①名簿入力'!$K$4:$K$153,S43)))</f>
        <v>52.2</v>
      </c>
      <c r="J43" s="10">
        <f>IF(S43="","",IF(INDEX('①名簿入力'!$L$4:$L$153,S43)="","",INDEX('①名簿入力'!$L$4:$L$153,S43)))</f>
        <v>6.8</v>
      </c>
      <c r="K43" s="13" t="str">
        <f>IF(S43="","",IF(INDEX('①名簿入力'!$Y$4:$Y$153,S43)=1,"〇",""))</f>
        <v/>
      </c>
      <c r="L43" s="13" t="str">
        <f>IF(S43="","",IF(INDEX('①名簿入力'!$Z$4:$Z$153,S43)=1,"〇",""))</f>
        <v/>
      </c>
      <c r="M43" s="13" t="str">
        <f>IF(S43="","",IF(INDEX('①名簿入力'!$AA$4:$AA$153,S43)=1,"〇",""))</f>
        <v/>
      </c>
      <c r="N43" s="13" t="str">
        <f>IF(S43="","",IF(INDEX('①名簿入力'!$AB$4:$AB$153,S43)=1,"〇",""))</f>
        <v/>
      </c>
      <c r="O43" s="25" t="str">
        <f>AM43&amp;IF(AND(AM43&lt;&gt;"",AN43&lt;&gt;""),"、","")&amp;AN43&amp;IF(AND(AM43&amp;AN43&lt;&gt;"",AO43&lt;&gt;""),"、","")&amp;AO43</f>
        <v/>
      </c>
      <c r="P43" s="25" t="str">
        <f>IF(AG43=0,"",IF(AK43&amp;AL43="","⚠",LEFT(AK43&amp;AL43,LEN(AK43&amp;AL43)-1)))</f>
        <v/>
      </c>
      <c r="Q43" s="25" t="str">
        <f>IF(S43="","",INDEX('①名簿入力'!$T$4:$T$153,S43)&amp;"")</f>
        <v/>
      </c>
      <c r="S43" s="14">
        <f>IF(D43="","",IFERROR(MATCH(D43,'①名簿入力'!$A$4:$A$153,0),""))</f>
        <v>35</v>
      </c>
      <c r="T43" s="14" t="str">
        <f>IF(S43="","",IF(INDEX('①名簿入力'!$AG$4:$AG$153,S43)=D43,"",INDEX('①名簿入力'!$AG$4:$AG$153,S43)))</f>
        <v/>
      </c>
      <c r="U43" s="14" t="str">
        <f>IF(S43="","",IF(INDEX('①名簿入力'!$AH$4:$AH$153,S43)=D43,"",INDEX('①名簿入力'!$AH$4:$AH$153,S43)))</f>
        <v/>
      </c>
      <c r="V43" s="14" t="str">
        <f>IF(S43="","",IF(INDEX('①名簿入力'!$AI$4:$AI$153,S43)=D43,"",INDEX('①名簿入力'!$AI$4:$AI$153,S43)))</f>
        <v/>
      </c>
      <c r="W43" s="14" t="str">
        <f>IF(T43="","",IFERROR(IF(INDEX($E$9:$E$158,MATCH(T43,$D$9:$D$158,0))="","",INDEX($E$9:$E$158,MATCH(T43,$D$9:$D$158,0))),""))</f>
        <v/>
      </c>
      <c r="X43" s="14" t="str">
        <f>IF(U43="","",IFERROR(IF(INDEX($E$9:$E$158,MATCH(U43,$D$9:$D$158,0))="","",INDEX($E$9:$E$158,MATCH(U43,$D$9:$D$158,0))),""))</f>
        <v/>
      </c>
      <c r="Y43" s="14" t="str">
        <f>IF(V43="","",IFERROR(IF(INDEX($E$9:$E$158,MATCH(V43,$D$9:$D$158,0))="","",INDEX($E$9:$E$158,MATCH(V43,$D$9:$D$158,0))),""))</f>
        <v/>
      </c>
      <c r="Z43" s="14">
        <f>IF(AND(T43&lt;&gt;"",W43&lt;&gt;"",E43&lt;&gt;""),IF(W43=E43,1,0),0)</f>
        <v>0</v>
      </c>
      <c r="AA43" s="14">
        <f>IF(AND(U43&lt;&gt;"",X43&lt;&gt;"",E43&lt;&gt;""),IF(X43=E43,1,0),0)</f>
        <v>0</v>
      </c>
      <c r="AB43" s="14">
        <f>IF(AND(V43&lt;&gt;"",Y43&lt;&gt;"",E43&lt;&gt;""),IF(Y43=E43,1,0),0)</f>
        <v>0</v>
      </c>
      <c r="AC43" s="14" t="str">
        <f>IF(OR(T43="",E43=""),"",T43&amp;"|"&amp;E43)</f>
        <v/>
      </c>
      <c r="AD43" s="14" t="str">
        <f>IF(OR(U43="",E43=""),"",U43&amp;"|"&amp;E43)</f>
        <v/>
      </c>
      <c r="AE43" s="14" t="str">
        <f>IF(OR(V43="",E43=""),"",V43&amp;"|"&amp;E43)</f>
        <v/>
      </c>
      <c r="AF43" s="14">
        <f>IF(OR(D43="",E43=""),0,COUNTIF($AC$9:$AC$158,D43&amp;"|"&amp;E43)+COUNTIF($AD$9:$AD$158,D43&amp;"|"&amp;E43)+COUNTIF($AE$9:$AE$158,D43&amp;"|"&amp;E43))</f>
        <v>0</v>
      </c>
      <c r="AG43" s="14">
        <f>Z43+AA43+AB43+AF43</f>
        <v>0</v>
      </c>
      <c r="AH43" s="14" t="str">
        <f>IF(OR(D43="",E43=""),"",IFERROR(MATCH(D43&amp;"|"&amp;E43,$AC$9:$AC$158,0),""))</f>
        <v/>
      </c>
      <c r="AI43" s="14" t="str">
        <f>IF(OR(D43="",E43=""),"",IFERROR(MATCH(D43&amp;"|"&amp;E43,$AD$9:$AD$158,0),""))</f>
        <v/>
      </c>
      <c r="AJ43" s="14" t="str">
        <f>IF(OR(D43="",E43=""),"",IFERROR(MATCH(D43&amp;"|"&amp;E43,$AE$9:$AE$158,0),""))</f>
        <v/>
      </c>
      <c r="AK43" s="14" t="str">
        <f>IF(Z43=1,IFERROR(INDEX($F$9:$F$158,MATCH(T43,$D$9:$D$158,0)),"")&amp;"、","")&amp;IF(AA43=1,IFERROR(INDEX($F$9:$F$158,MATCH(U43,$D$9:$D$158,0)),"")&amp;"、","")&amp;IF(AB43=1,IFERROR(INDEX($F$9:$F$158,MATCH(V43,$D$9:$D$158,0)),"")&amp;"、","")</f>
        <v/>
      </c>
      <c r="AL43" s="14" t="str">
        <f>IF(OR(AH43=""),"",IF(OR(INDEX($D$9:$D$158,AH43)=T43,INDEX($D$9:$D$158,AH43)=U43,INDEX($D$9:$D$158,AH43)=V43),"",INDEX($F$9:$F$158,AH43)&amp;"、"))&amp;IF(OR(AI43="",AI43=AH43),"",IF(OR(INDEX($D$9:$D$158,AI43)=T43,INDEX($D$9:$D$158,AI43)=U43,INDEX($D$9:$D$158,AI43)=V43),"",INDEX($F$9:$F$158,AI43)&amp;"、"))&amp;IF(OR(AJ43="",AJ43=AH43,AJ43=AI43),"",IF(OR(INDEX($D$9:$D$158,AJ43)=T43,INDEX($D$9:$D$158,AJ43)=U43,INDEX($D$9:$D$158,AJ43)=V43),"",INDEX($F$9:$F$158,AJ43)&amp;"、"))</f>
        <v/>
      </c>
      <c r="AM43" s="14" t="str">
        <f>IF(T43="","",IFERROR(INDEX('①名簿入力'!$C$4:$C$153,MATCH(T43,'①名簿入力'!$A$4:$A$153,0)),"?")&amp;IF(W43="","","("&amp;W43&amp;"組)"))</f>
        <v/>
      </c>
      <c r="AN43" s="14" t="str">
        <f>IF(U43="","",IFERROR(INDEX('①名簿入力'!$C$4:$C$153,MATCH(U43,'①名簿入力'!$A$4:$A$153,0)),"?")&amp;IF(X43="","","("&amp;X43&amp;"組)"))</f>
        <v/>
      </c>
      <c r="AO43" s="14" t="str">
        <f>IF(V43="","",IFERROR(INDEX('①名簿入力'!$C$4:$C$153,MATCH(V43,'①名簿入力'!$A$4:$A$153,0)),"?")&amp;IF(Y43="","","("&amp;Y43&amp;"組)"))</f>
        <v/>
      </c>
      <c r="AP43" s="14">
        <f>IF(G43="男",1,IF(G43="女",2,3))</f>
        <v>1</v>
      </c>
      <c r="AQ43" s="14">
        <f>IF(OR(S43="",E43=""),"",IFERROR(IF('③クラス一覧'!$AD$6="番号順",0,AP43*1000000000)+D43,""))</f>
        <v>1000002135</v>
      </c>
      <c r="AR43" s="14">
        <f>IF(AQ43="","",COUNTIFS($E$9:$E$158,E43,$AQ$9:$AQ$158,"&lt;"&amp;AQ43)+1)</f>
        <v>6</v>
      </c>
      <c r="AS43" s="14" t="str">
        <f>IF(AR43="","",E43&amp;"-"&amp;AR43)</f>
        <v>1-6</v>
      </c>
      <c r="AT43" s="14">
        <f>IF(S43="","",IF(INDEX('①名簿入力'!$F$4:$F$153,S43)="","",INDEX('①名簿入力'!$F$4:$F$153,S43)))</f>
        <v>49</v>
      </c>
      <c r="AU43" s="14">
        <f>IF(S43="","",IF(INDEX('①名簿入力'!$G$4:$G$153,S43)="","",INDEX('①名簿入力'!$G$4:$G$153,S43)))</f>
        <v>52</v>
      </c>
      <c r="AV43" s="14">
        <f>IF(S43="","",IF(INDEX('①名簿入力'!$H$4:$H$153,S43)="","",INDEX('①名簿入力'!$H$4:$H$153,S43)))</f>
        <v>43</v>
      </c>
      <c r="AW43" s="14">
        <f>IF(S43="","",IF(INDEX('①名簿入力'!$I$4:$I$153,S43)="","",INDEX('①名簿入力'!$I$4:$I$153,S43)))</f>
        <v>65</v>
      </c>
      <c r="AX43" s="14">
        <f>IF(S43="","",IF(INDEX('①名簿入力'!$J$4:$J$153,S43)="","",INDEX('①名簿入力'!$J$4:$J$153,S43)))</f>
        <v>52</v>
      </c>
    </row>
    <row r="44">
      <c r="A44" s="23">
        <f>IF('①名簿入力'!A39="","",'①名簿入力'!A39)</f>
        <v>2201</v>
      </c>
      <c r="B44" s="23">
        <f>IF(A44="","",'①名簿入力'!U39)</f>
        <v>2</v>
      </c>
      <c r="D44" s="8" t="n">
        <v>2201</v>
      </c>
      <c r="E44" s="24" t="n">
        <v>2</v>
      </c>
      <c r="F44" s="25" t="str">
        <f>IF(D44="","",IF(S44="","（名簿にない番号）",INDEX('①名簿入力'!$C$4:$C$153,S44)&amp;""))</f>
        <v>石井　凛</v>
      </c>
      <c r="G44" s="13" t="str">
        <f>IF(S44="","",INDEX('①名簿入力'!$E$4:$E$153,S44)&amp;"")</f>
        <v>女</v>
      </c>
      <c r="H44" s="13">
        <f>IF(S44="","",IF(INDEX('①名簿入力'!$B$4:$B$153,S44)="","",INDEX('①名簿入力'!$B$4:$B$153,S44)))</f>
        <v>2</v>
      </c>
      <c r="I44" s="10">
        <f>IF(S44="","",IF(INDEX('①名簿入力'!$K$4:$K$153,S44)="","",INDEX('①名簿入力'!$K$4:$K$153,S44)))</f>
        <v>54.6</v>
      </c>
      <c r="J44" s="10">
        <f>IF(S44="","",IF(INDEX('①名簿入力'!$L$4:$L$153,S44)="","",INDEX('①名簿入力'!$L$4:$L$153,S44)))</f>
        <v>8.5</v>
      </c>
      <c r="K44" s="13" t="str">
        <f>IF(S44="","",IF(INDEX('①名簿入力'!$Y$4:$Y$153,S44)=1,"〇",""))</f>
        <v/>
      </c>
      <c r="L44" s="13" t="str">
        <f>IF(S44="","",IF(INDEX('①名簿入力'!$Z$4:$Z$153,S44)=1,"〇",""))</f>
        <v/>
      </c>
      <c r="M44" s="13" t="str">
        <f>IF(S44="","",IF(INDEX('①名簿入力'!$AA$4:$AA$153,S44)=1,"〇",""))</f>
        <v/>
      </c>
      <c r="N44" s="13" t="str">
        <f>IF(S44="","",IF(INDEX('①名簿入力'!$AB$4:$AB$153,S44)=1,"〇",""))</f>
        <v/>
      </c>
      <c r="O44" s="25" t="str">
        <f>AM44&amp;IF(AND(AM44&lt;&gt;"",AN44&lt;&gt;""),"、","")&amp;AN44&amp;IF(AND(AM44&amp;AN44&lt;&gt;"",AO44&lt;&gt;""),"、","")&amp;AO44</f>
        <v/>
      </c>
      <c r="P44" s="25" t="str">
        <f>IF(AG44=0,"",IF(AK44&amp;AL44="","⚠",LEFT(AK44&amp;AL44,LEN(AK44&amp;AL44)-1)))</f>
        <v/>
      </c>
      <c r="Q44" s="25" t="str">
        <f>IF(S44="","",INDEX('①名簿入力'!$T$4:$T$153,S44)&amp;"")</f>
        <v/>
      </c>
      <c r="S44" s="14">
        <f>IF(D44="","",IFERROR(MATCH(D44,'①名簿入力'!$A$4:$A$153,0),""))</f>
        <v>36</v>
      </c>
      <c r="T44" s="14" t="str">
        <f>IF(S44="","",IF(INDEX('①名簿入力'!$AG$4:$AG$153,S44)=D44,"",INDEX('①名簿入力'!$AG$4:$AG$153,S44)))</f>
        <v/>
      </c>
      <c r="U44" s="14" t="str">
        <f>IF(S44="","",IF(INDEX('①名簿入力'!$AH$4:$AH$153,S44)=D44,"",INDEX('①名簿入力'!$AH$4:$AH$153,S44)))</f>
        <v/>
      </c>
      <c r="V44" s="14" t="str">
        <f>IF(S44="","",IF(INDEX('①名簿入力'!$AI$4:$AI$153,S44)=D44,"",INDEX('①名簿入力'!$AI$4:$AI$153,S44)))</f>
        <v/>
      </c>
      <c r="W44" s="14" t="str">
        <f>IF(T44="","",IFERROR(IF(INDEX($E$9:$E$158,MATCH(T44,$D$9:$D$158,0))="","",INDEX($E$9:$E$158,MATCH(T44,$D$9:$D$158,0))),""))</f>
        <v/>
      </c>
      <c r="X44" s="14" t="str">
        <f>IF(U44="","",IFERROR(IF(INDEX($E$9:$E$158,MATCH(U44,$D$9:$D$158,0))="","",INDEX($E$9:$E$158,MATCH(U44,$D$9:$D$158,0))),""))</f>
        <v/>
      </c>
      <c r="Y44" s="14" t="str">
        <f>IF(V44="","",IFERROR(IF(INDEX($E$9:$E$158,MATCH(V44,$D$9:$D$158,0))="","",INDEX($E$9:$E$158,MATCH(V44,$D$9:$D$158,0))),""))</f>
        <v/>
      </c>
      <c r="Z44" s="14">
        <f>IF(AND(T44&lt;&gt;"",W44&lt;&gt;"",E44&lt;&gt;""),IF(W44=E44,1,0),0)</f>
        <v>0</v>
      </c>
      <c r="AA44" s="14">
        <f>IF(AND(U44&lt;&gt;"",X44&lt;&gt;"",E44&lt;&gt;""),IF(X44=E44,1,0),0)</f>
        <v>0</v>
      </c>
      <c r="AB44" s="14">
        <f>IF(AND(V44&lt;&gt;"",Y44&lt;&gt;"",E44&lt;&gt;""),IF(Y44=E44,1,0),0)</f>
        <v>0</v>
      </c>
      <c r="AC44" s="14" t="str">
        <f>IF(OR(T44="",E44=""),"",T44&amp;"|"&amp;E44)</f>
        <v/>
      </c>
      <c r="AD44" s="14" t="str">
        <f>IF(OR(U44="",E44=""),"",U44&amp;"|"&amp;E44)</f>
        <v/>
      </c>
      <c r="AE44" s="14" t="str">
        <f>IF(OR(V44="",E44=""),"",V44&amp;"|"&amp;E44)</f>
        <v/>
      </c>
      <c r="AF44" s="14">
        <f>IF(OR(D44="",E44=""),0,COUNTIF($AC$9:$AC$158,D44&amp;"|"&amp;E44)+COUNTIF($AD$9:$AD$158,D44&amp;"|"&amp;E44)+COUNTIF($AE$9:$AE$158,D44&amp;"|"&amp;E44))</f>
        <v>0</v>
      </c>
      <c r="AG44" s="14">
        <f>Z44+AA44+AB44+AF44</f>
        <v>0</v>
      </c>
      <c r="AH44" s="14" t="str">
        <f>IF(OR(D44="",E44=""),"",IFERROR(MATCH(D44&amp;"|"&amp;E44,$AC$9:$AC$158,0),""))</f>
        <v/>
      </c>
      <c r="AI44" s="14" t="str">
        <f>IF(OR(D44="",E44=""),"",IFERROR(MATCH(D44&amp;"|"&amp;E44,$AD$9:$AD$158,0),""))</f>
        <v/>
      </c>
      <c r="AJ44" s="14" t="str">
        <f>IF(OR(D44="",E44=""),"",IFERROR(MATCH(D44&amp;"|"&amp;E44,$AE$9:$AE$158,0),""))</f>
        <v/>
      </c>
      <c r="AK44" s="14" t="str">
        <f>IF(Z44=1,IFERROR(INDEX($F$9:$F$158,MATCH(T44,$D$9:$D$158,0)),"")&amp;"、","")&amp;IF(AA44=1,IFERROR(INDEX($F$9:$F$158,MATCH(U44,$D$9:$D$158,0)),"")&amp;"、","")&amp;IF(AB44=1,IFERROR(INDEX($F$9:$F$158,MATCH(V44,$D$9:$D$158,0)),"")&amp;"、","")</f>
        <v/>
      </c>
      <c r="AL44" s="14" t="str">
        <f>IF(OR(AH44=""),"",IF(OR(INDEX($D$9:$D$158,AH44)=T44,INDEX($D$9:$D$158,AH44)=U44,INDEX($D$9:$D$158,AH44)=V44),"",INDEX($F$9:$F$158,AH44)&amp;"、"))&amp;IF(OR(AI44="",AI44=AH44),"",IF(OR(INDEX($D$9:$D$158,AI44)=T44,INDEX($D$9:$D$158,AI44)=U44,INDEX($D$9:$D$158,AI44)=V44),"",INDEX($F$9:$F$158,AI44)&amp;"、"))&amp;IF(OR(AJ44="",AJ44=AH44,AJ44=AI44),"",IF(OR(INDEX($D$9:$D$158,AJ44)=T44,INDEX($D$9:$D$158,AJ44)=U44,INDEX($D$9:$D$158,AJ44)=V44),"",INDEX($F$9:$F$158,AJ44)&amp;"、"))</f>
        <v/>
      </c>
      <c r="AM44" s="14" t="str">
        <f>IF(T44="","",IFERROR(INDEX('①名簿入力'!$C$4:$C$153,MATCH(T44,'①名簿入力'!$A$4:$A$153,0)),"?")&amp;IF(W44="","","("&amp;W44&amp;"組)"))</f>
        <v/>
      </c>
      <c r="AN44" s="14" t="str">
        <f>IF(U44="","",IFERROR(INDEX('①名簿入力'!$C$4:$C$153,MATCH(U44,'①名簿入力'!$A$4:$A$153,0)),"?")&amp;IF(X44="","","("&amp;X44&amp;"組)"))</f>
        <v/>
      </c>
      <c r="AO44" s="14" t="str">
        <f>IF(V44="","",IFERROR(INDEX('①名簿入力'!$C$4:$C$153,MATCH(V44,'①名簿入力'!$A$4:$A$153,0)),"?")&amp;IF(Y44="","","("&amp;Y44&amp;"組)"))</f>
        <v/>
      </c>
      <c r="AP44" s="14">
        <f>IF(G44="男",1,IF(G44="女",2,3))</f>
        <v>2</v>
      </c>
      <c r="AQ44" s="14">
        <f>IF(OR(S44="",E44=""),"",IFERROR(IF('③クラス一覧'!$AD$6="番号順",0,AP44*1000000000)+D44,""))</f>
        <v>2000002201</v>
      </c>
      <c r="AR44" s="14">
        <f>IF(AQ44="","",COUNTIFS($E$9:$E$158,E44,$AQ$9:$AQ$158,"&lt;"&amp;AQ44)+1)</f>
        <v>25</v>
      </c>
      <c r="AS44" s="14" t="str">
        <f>IF(AR44="","",E44&amp;"-"&amp;AR44)</f>
        <v>2-25</v>
      </c>
      <c r="AT44" s="14">
        <f>IF(S44="","",IF(INDEX('①名簿入力'!$F$4:$F$153,S44)="","",INDEX('①名簿入力'!$F$4:$F$153,S44)))</f>
        <v>54</v>
      </c>
      <c r="AU44" s="14">
        <f>IF(S44="","",IF(INDEX('①名簿入力'!$G$4:$G$153,S44)="","",INDEX('①名簿入力'!$G$4:$G$153,S44)))</f>
        <v>49</v>
      </c>
      <c r="AV44" s="14">
        <f>IF(S44="","",IF(INDEX('①名簿入力'!$H$4:$H$153,S44)="","",INDEX('①名簿入力'!$H$4:$H$153,S44)))</f>
        <v>58</v>
      </c>
      <c r="AW44" s="14">
        <f>IF(S44="","",IF(INDEX('①名簿入力'!$I$4:$I$153,S44)="","",INDEX('①名簿入力'!$I$4:$I$153,S44)))</f>
        <v>63</v>
      </c>
      <c r="AX44" s="14">
        <f>IF(S44="","",IF(INDEX('①名簿入力'!$J$4:$J$153,S44)="","",INDEX('①名簿入力'!$J$4:$J$153,S44)))</f>
        <v>49</v>
      </c>
    </row>
    <row r="45">
      <c r="A45" s="23">
        <f>IF('①名簿入力'!A40="","",'①名簿入力'!A40)</f>
        <v>2202</v>
      </c>
      <c r="B45" s="23">
        <f>IF(A45="","",'①名簿入力'!U40)</f>
        <v>2</v>
      </c>
      <c r="D45" s="8" t="n">
        <v>2202</v>
      </c>
      <c r="E45" s="24" t="n">
        <v>2</v>
      </c>
      <c r="F45" s="25" t="str">
        <f>IF(D45="","",IF(S45="","（名簿にない番号）",INDEX('①名簿入力'!$C$4:$C$153,S45)&amp;""))</f>
        <v>石川　紬</v>
      </c>
      <c r="G45" s="13" t="str">
        <f>IF(S45="","",INDEX('①名簿入力'!$E$4:$E$153,S45)&amp;"")</f>
        <v>女</v>
      </c>
      <c r="H45" s="13">
        <f>IF(S45="","",IF(INDEX('①名簿入力'!$B$4:$B$153,S45)="","",INDEX('①名簿入力'!$B$4:$B$153,S45)))</f>
        <v>2</v>
      </c>
      <c r="I45" s="10">
        <f>IF(S45="","",IF(INDEX('①名簿入力'!$K$4:$K$153,S45)="","",INDEX('①名簿入力'!$K$4:$K$153,S45)))</f>
        <v>42.4</v>
      </c>
      <c r="J45" s="10">
        <f>IF(S45="","",IF(INDEX('①名簿入力'!$L$4:$L$153,S45)="","",INDEX('①名簿入力'!$L$4:$L$153,S45)))</f>
        <v>8</v>
      </c>
      <c r="K45" s="13" t="str">
        <f>IF(S45="","",IF(INDEX('①名簿入力'!$Y$4:$Y$153,S45)=1,"〇",""))</f>
        <v/>
      </c>
      <c r="L45" s="13" t="str">
        <f>IF(S45="","",IF(INDEX('①名簿入力'!$Z$4:$Z$153,S45)=1,"〇",""))</f>
        <v/>
      </c>
      <c r="M45" s="13" t="str">
        <f>IF(S45="","",IF(INDEX('①名簿入力'!$AA$4:$AA$153,S45)=1,"〇",""))</f>
        <v/>
      </c>
      <c r="N45" s="13" t="str">
        <f>IF(S45="","",IF(INDEX('①名簿入力'!$AB$4:$AB$153,S45)=1,"〇",""))</f>
        <v/>
      </c>
      <c r="O45" s="25" t="str">
        <f>AM45&amp;IF(AND(AM45&lt;&gt;"",AN45&lt;&gt;""),"、","")&amp;AN45&amp;IF(AND(AM45&amp;AN45&lt;&gt;"",AO45&lt;&gt;""),"、","")&amp;AO45</f>
        <v/>
      </c>
      <c r="P45" s="25" t="str">
        <f>IF(AG45=0,"",IF(AK45&amp;AL45="","⚠",LEFT(AK45&amp;AL45,LEN(AK45&amp;AL45)-1)))</f>
        <v/>
      </c>
      <c r="Q45" s="25" t="str">
        <f>IF(S45="","",INDEX('①名簿入力'!$T$4:$T$153,S45)&amp;"")</f>
        <v/>
      </c>
      <c r="S45" s="14">
        <f>IF(D45="","",IFERROR(MATCH(D45,'①名簿入力'!$A$4:$A$153,0),""))</f>
        <v>37</v>
      </c>
      <c r="T45" s="14" t="str">
        <f>IF(S45="","",IF(INDEX('①名簿入力'!$AG$4:$AG$153,S45)=D45,"",INDEX('①名簿入力'!$AG$4:$AG$153,S45)))</f>
        <v/>
      </c>
      <c r="U45" s="14" t="str">
        <f>IF(S45="","",IF(INDEX('①名簿入力'!$AH$4:$AH$153,S45)=D45,"",INDEX('①名簿入力'!$AH$4:$AH$153,S45)))</f>
        <v/>
      </c>
      <c r="V45" s="14" t="str">
        <f>IF(S45="","",IF(INDEX('①名簿入力'!$AI$4:$AI$153,S45)=D45,"",INDEX('①名簿入力'!$AI$4:$AI$153,S45)))</f>
        <v/>
      </c>
      <c r="W45" s="14" t="str">
        <f>IF(T45="","",IFERROR(IF(INDEX($E$9:$E$158,MATCH(T45,$D$9:$D$158,0))="","",INDEX($E$9:$E$158,MATCH(T45,$D$9:$D$158,0))),""))</f>
        <v/>
      </c>
      <c r="X45" s="14" t="str">
        <f>IF(U45="","",IFERROR(IF(INDEX($E$9:$E$158,MATCH(U45,$D$9:$D$158,0))="","",INDEX($E$9:$E$158,MATCH(U45,$D$9:$D$158,0))),""))</f>
        <v/>
      </c>
      <c r="Y45" s="14" t="str">
        <f>IF(V45="","",IFERROR(IF(INDEX($E$9:$E$158,MATCH(V45,$D$9:$D$158,0))="","",INDEX($E$9:$E$158,MATCH(V45,$D$9:$D$158,0))),""))</f>
        <v/>
      </c>
      <c r="Z45" s="14">
        <f>IF(AND(T45&lt;&gt;"",W45&lt;&gt;"",E45&lt;&gt;""),IF(W45=E45,1,0),0)</f>
        <v>0</v>
      </c>
      <c r="AA45" s="14">
        <f>IF(AND(U45&lt;&gt;"",X45&lt;&gt;"",E45&lt;&gt;""),IF(X45=E45,1,0),0)</f>
        <v>0</v>
      </c>
      <c r="AB45" s="14">
        <f>IF(AND(V45&lt;&gt;"",Y45&lt;&gt;"",E45&lt;&gt;""),IF(Y45=E45,1,0),0)</f>
        <v>0</v>
      </c>
      <c r="AC45" s="14" t="str">
        <f>IF(OR(T45="",E45=""),"",T45&amp;"|"&amp;E45)</f>
        <v/>
      </c>
      <c r="AD45" s="14" t="str">
        <f>IF(OR(U45="",E45=""),"",U45&amp;"|"&amp;E45)</f>
        <v/>
      </c>
      <c r="AE45" s="14" t="str">
        <f>IF(OR(V45="",E45=""),"",V45&amp;"|"&amp;E45)</f>
        <v/>
      </c>
      <c r="AF45" s="14">
        <f>IF(OR(D45="",E45=""),0,COUNTIF($AC$9:$AC$158,D45&amp;"|"&amp;E45)+COUNTIF($AD$9:$AD$158,D45&amp;"|"&amp;E45)+COUNTIF($AE$9:$AE$158,D45&amp;"|"&amp;E45))</f>
        <v>0</v>
      </c>
      <c r="AG45" s="14">
        <f>Z45+AA45+AB45+AF45</f>
        <v>0</v>
      </c>
      <c r="AH45" s="14" t="str">
        <f>IF(OR(D45="",E45=""),"",IFERROR(MATCH(D45&amp;"|"&amp;E45,$AC$9:$AC$158,0),""))</f>
        <v/>
      </c>
      <c r="AI45" s="14" t="str">
        <f>IF(OR(D45="",E45=""),"",IFERROR(MATCH(D45&amp;"|"&amp;E45,$AD$9:$AD$158,0),""))</f>
        <v/>
      </c>
      <c r="AJ45" s="14" t="str">
        <f>IF(OR(D45="",E45=""),"",IFERROR(MATCH(D45&amp;"|"&amp;E45,$AE$9:$AE$158,0),""))</f>
        <v/>
      </c>
      <c r="AK45" s="14" t="str">
        <f>IF(Z45=1,IFERROR(INDEX($F$9:$F$158,MATCH(T45,$D$9:$D$158,0)),"")&amp;"、","")&amp;IF(AA45=1,IFERROR(INDEX($F$9:$F$158,MATCH(U45,$D$9:$D$158,0)),"")&amp;"、","")&amp;IF(AB45=1,IFERROR(INDEX($F$9:$F$158,MATCH(V45,$D$9:$D$158,0)),"")&amp;"、","")</f>
        <v/>
      </c>
      <c r="AL45" s="14" t="str">
        <f>IF(OR(AH45=""),"",IF(OR(INDEX($D$9:$D$158,AH45)=T45,INDEX($D$9:$D$158,AH45)=U45,INDEX($D$9:$D$158,AH45)=V45),"",INDEX($F$9:$F$158,AH45)&amp;"、"))&amp;IF(OR(AI45="",AI45=AH45),"",IF(OR(INDEX($D$9:$D$158,AI45)=T45,INDEX($D$9:$D$158,AI45)=U45,INDEX($D$9:$D$158,AI45)=V45),"",INDEX($F$9:$F$158,AI45)&amp;"、"))&amp;IF(OR(AJ45="",AJ45=AH45,AJ45=AI45),"",IF(OR(INDEX($D$9:$D$158,AJ45)=T45,INDEX($D$9:$D$158,AJ45)=U45,INDEX($D$9:$D$158,AJ45)=V45),"",INDEX($F$9:$F$158,AJ45)&amp;"、"))</f>
        <v/>
      </c>
      <c r="AM45" s="14" t="str">
        <f>IF(T45="","",IFERROR(INDEX('①名簿入力'!$C$4:$C$153,MATCH(T45,'①名簿入力'!$A$4:$A$153,0)),"?")&amp;IF(W45="","","("&amp;W45&amp;"組)"))</f>
        <v/>
      </c>
      <c r="AN45" s="14" t="str">
        <f>IF(U45="","",IFERROR(INDEX('①名簿入力'!$C$4:$C$153,MATCH(U45,'①名簿入力'!$A$4:$A$153,0)),"?")&amp;IF(X45="","","("&amp;X45&amp;"組)"))</f>
        <v/>
      </c>
      <c r="AO45" s="14" t="str">
        <f>IF(V45="","",IFERROR(INDEX('①名簿入力'!$C$4:$C$153,MATCH(V45,'①名簿入力'!$A$4:$A$153,0)),"?")&amp;IF(Y45="","","("&amp;Y45&amp;"組)"))</f>
        <v/>
      </c>
      <c r="AP45" s="14">
        <f>IF(G45="男",1,IF(G45="女",2,3))</f>
        <v>2</v>
      </c>
      <c r="AQ45" s="14">
        <f>IF(OR(S45="",E45=""),"",IFERROR(IF('③クラス一覧'!$AD$6="番号順",0,AP45*1000000000)+D45,""))</f>
        <v>2000002202</v>
      </c>
      <c r="AR45" s="14">
        <f>IF(AQ45="","",COUNTIFS($E$9:$E$158,E45,$AQ$9:$AQ$158,"&lt;"&amp;AQ45)+1)</f>
        <v>26</v>
      </c>
      <c r="AS45" s="14" t="str">
        <f>IF(AR45="","",E45&amp;"-"&amp;AR45)</f>
        <v>2-26</v>
      </c>
      <c r="AT45" s="14">
        <f>IF(S45="","",IF(INDEX('①名簿入力'!$F$4:$F$153,S45)="","",INDEX('①名簿入力'!$F$4:$F$153,S45)))</f>
        <v>36</v>
      </c>
      <c r="AU45" s="14">
        <f>IF(S45="","",IF(INDEX('①名簿入力'!$G$4:$G$153,S45)="","",INDEX('①名簿入力'!$G$4:$G$153,S45)))</f>
        <v>48</v>
      </c>
      <c r="AV45" s="14">
        <f>IF(S45="","",IF(INDEX('①名簿入力'!$H$4:$H$153,S45)="","",INDEX('①名簿入力'!$H$4:$H$153,S45)))</f>
        <v>49</v>
      </c>
      <c r="AW45" s="14">
        <f>IF(S45="","",IF(INDEX('①名簿入力'!$I$4:$I$153,S45)="","",INDEX('①名簿入力'!$I$4:$I$153,S45)))</f>
        <v>50</v>
      </c>
      <c r="AX45" s="14">
        <f>IF(S45="","",IF(INDEX('①名簿入力'!$J$4:$J$153,S45)="","",INDEX('①名簿入力'!$J$4:$J$153,S45)))</f>
        <v>29</v>
      </c>
    </row>
    <row r="46">
      <c r="A46" s="23">
        <f>IF('①名簿入力'!A41="","",'①名簿入力'!A41)</f>
        <v>2203</v>
      </c>
      <c r="B46" s="23">
        <f>IF(A46="","",'①名簿入力'!U41)</f>
        <v>1</v>
      </c>
      <c r="D46" s="8" t="n">
        <v>2203</v>
      </c>
      <c r="E46" s="24" t="n">
        <v>1</v>
      </c>
      <c r="F46" s="25" t="str">
        <f>IF(D46="","",IF(S46="","（名簿にない番号）",INDEX('①名簿入力'!$C$4:$C$153,S46)&amp;""))</f>
        <v>石田　心春</v>
      </c>
      <c r="G46" s="13" t="str">
        <f>IF(S46="","",INDEX('①名簿入力'!$E$4:$E$153,S46)&amp;"")</f>
        <v>女</v>
      </c>
      <c r="H46" s="13">
        <f>IF(S46="","",IF(INDEX('①名簿入力'!$B$4:$B$153,S46)="","",INDEX('①名簿入力'!$B$4:$B$153,S46)))</f>
        <v>2</v>
      </c>
      <c r="I46" s="10">
        <f>IF(S46="","",IF(INDEX('①名簿入力'!$K$4:$K$153,S46)="","",INDEX('①名簿入力'!$K$4:$K$153,S46)))</f>
        <v>74.4</v>
      </c>
      <c r="J46" s="10">
        <f>IF(S46="","",IF(INDEX('①名簿入力'!$L$4:$L$153,S46)="","",INDEX('①名簿入力'!$L$4:$L$153,S46)))</f>
        <v>8.1</v>
      </c>
      <c r="K46" s="13" t="str">
        <f>IF(S46="","",IF(INDEX('①名簿入力'!$Y$4:$Y$153,S46)=1,"〇",""))</f>
        <v>〇</v>
      </c>
      <c r="L46" s="13" t="str">
        <f>IF(S46="","",IF(INDEX('①名簿入力'!$Z$4:$Z$153,S46)=1,"〇",""))</f>
        <v/>
      </c>
      <c r="M46" s="13" t="str">
        <f>IF(S46="","",IF(INDEX('①名簿入力'!$AA$4:$AA$153,S46)=1,"〇",""))</f>
        <v/>
      </c>
      <c r="N46" s="13" t="str">
        <f>IF(S46="","",IF(INDEX('①名簿入力'!$AB$4:$AB$153,S46)=1,"〇",""))</f>
        <v/>
      </c>
      <c r="O46" s="25" t="str">
        <f>AM46&amp;IF(AND(AM46&lt;&gt;"",AN46&lt;&gt;""),"、","")&amp;AN46&amp;IF(AND(AM46&amp;AN46&lt;&gt;"",AO46&lt;&gt;""),"、","")&amp;AO46</f>
        <v/>
      </c>
      <c r="P46" s="25" t="str">
        <f>IF(AG46=0,"",IF(AK46&amp;AL46="","⚠",LEFT(AK46&amp;AL46,LEN(AK46&amp;AL46)-1)))</f>
        <v/>
      </c>
      <c r="Q46" s="25" t="str">
        <f>IF(S46="","",INDEX('①名簿入力'!$T$4:$T$153,S46)&amp;"")</f>
        <v/>
      </c>
      <c r="S46" s="14">
        <f>IF(D46="","",IFERROR(MATCH(D46,'①名簿入力'!$A$4:$A$153,0),""))</f>
        <v>38</v>
      </c>
      <c r="T46" s="14" t="str">
        <f>IF(S46="","",IF(INDEX('①名簿入力'!$AG$4:$AG$153,S46)=D46,"",INDEX('①名簿入力'!$AG$4:$AG$153,S46)))</f>
        <v/>
      </c>
      <c r="U46" s="14" t="str">
        <f>IF(S46="","",IF(INDEX('①名簿入力'!$AH$4:$AH$153,S46)=D46,"",INDEX('①名簿入力'!$AH$4:$AH$153,S46)))</f>
        <v/>
      </c>
      <c r="V46" s="14" t="str">
        <f>IF(S46="","",IF(INDEX('①名簿入力'!$AI$4:$AI$153,S46)=D46,"",INDEX('①名簿入力'!$AI$4:$AI$153,S46)))</f>
        <v/>
      </c>
      <c r="W46" s="14" t="str">
        <f>IF(T46="","",IFERROR(IF(INDEX($E$9:$E$158,MATCH(T46,$D$9:$D$158,0))="","",INDEX($E$9:$E$158,MATCH(T46,$D$9:$D$158,0))),""))</f>
        <v/>
      </c>
      <c r="X46" s="14" t="str">
        <f>IF(U46="","",IFERROR(IF(INDEX($E$9:$E$158,MATCH(U46,$D$9:$D$158,0))="","",INDEX($E$9:$E$158,MATCH(U46,$D$9:$D$158,0))),""))</f>
        <v/>
      </c>
      <c r="Y46" s="14" t="str">
        <f>IF(V46="","",IFERROR(IF(INDEX($E$9:$E$158,MATCH(V46,$D$9:$D$158,0))="","",INDEX($E$9:$E$158,MATCH(V46,$D$9:$D$158,0))),""))</f>
        <v/>
      </c>
      <c r="Z46" s="14">
        <f>IF(AND(T46&lt;&gt;"",W46&lt;&gt;"",E46&lt;&gt;""),IF(W46=E46,1,0),0)</f>
        <v>0</v>
      </c>
      <c r="AA46" s="14">
        <f>IF(AND(U46&lt;&gt;"",X46&lt;&gt;"",E46&lt;&gt;""),IF(X46=E46,1,0),0)</f>
        <v>0</v>
      </c>
      <c r="AB46" s="14">
        <f>IF(AND(V46&lt;&gt;"",Y46&lt;&gt;"",E46&lt;&gt;""),IF(Y46=E46,1,0),0)</f>
        <v>0</v>
      </c>
      <c r="AC46" s="14" t="str">
        <f>IF(OR(T46="",E46=""),"",T46&amp;"|"&amp;E46)</f>
        <v/>
      </c>
      <c r="AD46" s="14" t="str">
        <f>IF(OR(U46="",E46=""),"",U46&amp;"|"&amp;E46)</f>
        <v/>
      </c>
      <c r="AE46" s="14" t="str">
        <f>IF(OR(V46="",E46=""),"",V46&amp;"|"&amp;E46)</f>
        <v/>
      </c>
      <c r="AF46" s="14">
        <f>IF(OR(D46="",E46=""),0,COUNTIF($AC$9:$AC$158,D46&amp;"|"&amp;E46)+COUNTIF($AD$9:$AD$158,D46&amp;"|"&amp;E46)+COUNTIF($AE$9:$AE$158,D46&amp;"|"&amp;E46))</f>
        <v>0</v>
      </c>
      <c r="AG46" s="14">
        <f>Z46+AA46+AB46+AF46</f>
        <v>0</v>
      </c>
      <c r="AH46" s="14" t="str">
        <f>IF(OR(D46="",E46=""),"",IFERROR(MATCH(D46&amp;"|"&amp;E46,$AC$9:$AC$158,0),""))</f>
        <v/>
      </c>
      <c r="AI46" s="14" t="str">
        <f>IF(OR(D46="",E46=""),"",IFERROR(MATCH(D46&amp;"|"&amp;E46,$AD$9:$AD$158,0),""))</f>
        <v/>
      </c>
      <c r="AJ46" s="14" t="str">
        <f>IF(OR(D46="",E46=""),"",IFERROR(MATCH(D46&amp;"|"&amp;E46,$AE$9:$AE$158,0),""))</f>
        <v/>
      </c>
      <c r="AK46" s="14" t="str">
        <f>IF(Z46=1,IFERROR(INDEX($F$9:$F$158,MATCH(T46,$D$9:$D$158,0)),"")&amp;"、","")&amp;IF(AA46=1,IFERROR(INDEX($F$9:$F$158,MATCH(U46,$D$9:$D$158,0)),"")&amp;"、","")&amp;IF(AB46=1,IFERROR(INDEX($F$9:$F$158,MATCH(V46,$D$9:$D$158,0)),"")&amp;"、","")</f>
        <v/>
      </c>
      <c r="AL46" s="14" t="str">
        <f>IF(OR(AH46=""),"",IF(OR(INDEX($D$9:$D$158,AH46)=T46,INDEX($D$9:$D$158,AH46)=U46,INDEX($D$9:$D$158,AH46)=V46),"",INDEX($F$9:$F$158,AH46)&amp;"、"))&amp;IF(OR(AI46="",AI46=AH46),"",IF(OR(INDEX($D$9:$D$158,AI46)=T46,INDEX($D$9:$D$158,AI46)=U46,INDEX($D$9:$D$158,AI46)=V46),"",INDEX($F$9:$F$158,AI46)&amp;"、"))&amp;IF(OR(AJ46="",AJ46=AH46,AJ46=AI46),"",IF(OR(INDEX($D$9:$D$158,AJ46)=T46,INDEX($D$9:$D$158,AJ46)=U46,INDEX($D$9:$D$158,AJ46)=V46),"",INDEX($F$9:$F$158,AJ46)&amp;"、"))</f>
        <v/>
      </c>
      <c r="AM46" s="14" t="str">
        <f>IF(T46="","",IFERROR(INDEX('①名簿入力'!$C$4:$C$153,MATCH(T46,'①名簿入力'!$A$4:$A$153,0)),"?")&amp;IF(W46="","","("&amp;W46&amp;"組)"))</f>
        <v/>
      </c>
      <c r="AN46" s="14" t="str">
        <f>IF(U46="","",IFERROR(INDEX('①名簿入力'!$C$4:$C$153,MATCH(U46,'①名簿入力'!$A$4:$A$153,0)),"?")&amp;IF(X46="","","("&amp;X46&amp;"組)"))</f>
        <v/>
      </c>
      <c r="AO46" s="14" t="str">
        <f>IF(V46="","",IFERROR(INDEX('①名簿入力'!$C$4:$C$153,MATCH(V46,'①名簿入力'!$A$4:$A$153,0)),"?")&amp;IF(Y46="","","("&amp;Y46&amp;"組)"))</f>
        <v/>
      </c>
      <c r="AP46" s="14">
        <f>IF(G46="男",1,IF(G46="女",2,3))</f>
        <v>2</v>
      </c>
      <c r="AQ46" s="14">
        <f>IF(OR(S46="",E46=""),"",IFERROR(IF('③クラス一覧'!$AD$6="番号順",0,AP46*1000000000)+D46,""))</f>
        <v>2000002203</v>
      </c>
      <c r="AR46" s="14">
        <f>IF(AQ46="","",COUNTIFS($E$9:$E$158,E46,$AQ$9:$AQ$158,"&lt;"&amp;AQ46)+1)</f>
        <v>25</v>
      </c>
      <c r="AS46" s="14" t="str">
        <f>IF(AR46="","",E46&amp;"-"&amp;AR46)</f>
        <v>1-25</v>
      </c>
      <c r="AT46" s="14">
        <f>IF(S46="","",IF(INDEX('①名簿入力'!$F$4:$F$153,S46)="","",INDEX('①名簿入力'!$F$4:$F$153,S46)))</f>
        <v>75</v>
      </c>
      <c r="AU46" s="14">
        <f>IF(S46="","",IF(INDEX('①名簿入力'!$G$4:$G$153,S46)="","",INDEX('①名簿入力'!$G$4:$G$153,S46)))</f>
        <v>77</v>
      </c>
      <c r="AV46" s="14">
        <f>IF(S46="","",IF(INDEX('①名簿入力'!$H$4:$H$153,S46)="","",INDEX('①名簿入力'!$H$4:$H$153,S46)))</f>
        <v>72</v>
      </c>
      <c r="AW46" s="14">
        <f>IF(S46="","",IF(INDEX('①名簿入力'!$I$4:$I$153,S46)="","",INDEX('①名簿入力'!$I$4:$I$153,S46)))</f>
        <v>76</v>
      </c>
      <c r="AX46" s="14">
        <f>IF(S46="","",IF(INDEX('①名簿入力'!$J$4:$J$153,S46)="","",INDEX('①名簿入力'!$J$4:$J$153,S46)))</f>
        <v>72</v>
      </c>
    </row>
    <row r="47">
      <c r="A47" s="23">
        <f>IF('①名簿入力'!A42="","",'①名簿入力'!A42)</f>
        <v>2204</v>
      </c>
      <c r="B47" s="23">
        <f>IF(A47="","",'①名簿入力'!U42)</f>
        <v>1</v>
      </c>
      <c r="D47" s="8" t="n">
        <v>2204</v>
      </c>
      <c r="E47" s="24" t="n">
        <v>1</v>
      </c>
      <c r="F47" s="25" t="str">
        <f>IF(D47="","",IF(S47="","（名簿にない番号）",INDEX('①名簿入力'!$C$4:$C$153,S47)&amp;""))</f>
        <v>石田　直樹</v>
      </c>
      <c r="G47" s="13" t="str">
        <f>IF(S47="","",INDEX('①名簿入力'!$E$4:$E$153,S47)&amp;"")</f>
        <v>男</v>
      </c>
      <c r="H47" s="13">
        <f>IF(S47="","",IF(INDEX('①名簿入力'!$B$4:$B$153,S47)="","",INDEX('①名簿入力'!$B$4:$B$153,S47)))</f>
        <v>2</v>
      </c>
      <c r="I47" s="10">
        <f>IF(S47="","",IF(INDEX('①名簿入力'!$K$4:$K$153,S47)="","",INDEX('①名簿入力'!$K$4:$K$153,S47)))</f>
        <v>44</v>
      </c>
      <c r="J47" s="10">
        <f>IF(S47="","",IF(INDEX('①名簿入力'!$L$4:$L$153,S47)="","",INDEX('①名簿入力'!$L$4:$L$153,S47)))</f>
        <v>8</v>
      </c>
      <c r="K47" s="13" t="str">
        <f>IF(S47="","",IF(INDEX('①名簿入力'!$Y$4:$Y$153,S47)=1,"〇",""))</f>
        <v/>
      </c>
      <c r="L47" s="13" t="str">
        <f>IF(S47="","",IF(INDEX('①名簿入力'!$Z$4:$Z$153,S47)=1,"〇",""))</f>
        <v>〇</v>
      </c>
      <c r="M47" s="13" t="str">
        <f>IF(S47="","",IF(INDEX('①名簿入力'!$AA$4:$AA$153,S47)=1,"〇",""))</f>
        <v/>
      </c>
      <c r="N47" s="13" t="str">
        <f>IF(S47="","",IF(INDEX('①名簿入力'!$AB$4:$AB$153,S47)=1,"〇",""))</f>
        <v/>
      </c>
      <c r="O47" s="25" t="str">
        <f>AM47&amp;IF(AND(AM47&lt;&gt;"",AN47&lt;&gt;""),"、","")&amp;AN47&amp;IF(AND(AM47&amp;AN47&lt;&gt;"",AO47&lt;&gt;""),"、","")&amp;AO47</f>
        <v/>
      </c>
      <c r="P47" s="25" t="str">
        <f>IF(AG47=0,"",IF(AK47&amp;AL47="","⚠",LEFT(AK47&amp;AL47,LEN(AK47&amp;AL47)-1)))</f>
        <v/>
      </c>
      <c r="Q47" s="25" t="str">
        <f>IF(S47="","",INDEX('①名簿入力'!$T$4:$T$153,S47)&amp;"")</f>
        <v>生徒会</v>
      </c>
      <c r="S47" s="14">
        <f>IF(D47="","",IFERROR(MATCH(D47,'①名簿入力'!$A$4:$A$153,0),""))</f>
        <v>39</v>
      </c>
      <c r="T47" s="14" t="str">
        <f>IF(S47="","",IF(INDEX('①名簿入力'!$AG$4:$AG$153,S47)=D47,"",INDEX('①名簿入力'!$AG$4:$AG$153,S47)))</f>
        <v/>
      </c>
      <c r="U47" s="14" t="str">
        <f>IF(S47="","",IF(INDEX('①名簿入力'!$AH$4:$AH$153,S47)=D47,"",INDEX('①名簿入力'!$AH$4:$AH$153,S47)))</f>
        <v/>
      </c>
      <c r="V47" s="14" t="str">
        <f>IF(S47="","",IF(INDEX('①名簿入力'!$AI$4:$AI$153,S47)=D47,"",INDEX('①名簿入力'!$AI$4:$AI$153,S47)))</f>
        <v/>
      </c>
      <c r="W47" s="14" t="str">
        <f>IF(T47="","",IFERROR(IF(INDEX($E$9:$E$158,MATCH(T47,$D$9:$D$158,0))="","",INDEX($E$9:$E$158,MATCH(T47,$D$9:$D$158,0))),""))</f>
        <v/>
      </c>
      <c r="X47" s="14" t="str">
        <f>IF(U47="","",IFERROR(IF(INDEX($E$9:$E$158,MATCH(U47,$D$9:$D$158,0))="","",INDEX($E$9:$E$158,MATCH(U47,$D$9:$D$158,0))),""))</f>
        <v/>
      </c>
      <c r="Y47" s="14" t="str">
        <f>IF(V47="","",IFERROR(IF(INDEX($E$9:$E$158,MATCH(V47,$D$9:$D$158,0))="","",INDEX($E$9:$E$158,MATCH(V47,$D$9:$D$158,0))),""))</f>
        <v/>
      </c>
      <c r="Z47" s="14">
        <f>IF(AND(T47&lt;&gt;"",W47&lt;&gt;"",E47&lt;&gt;""),IF(W47=E47,1,0),0)</f>
        <v>0</v>
      </c>
      <c r="AA47" s="14">
        <f>IF(AND(U47&lt;&gt;"",X47&lt;&gt;"",E47&lt;&gt;""),IF(X47=E47,1,0),0)</f>
        <v>0</v>
      </c>
      <c r="AB47" s="14">
        <f>IF(AND(V47&lt;&gt;"",Y47&lt;&gt;"",E47&lt;&gt;""),IF(Y47=E47,1,0),0)</f>
        <v>0</v>
      </c>
      <c r="AC47" s="14" t="str">
        <f>IF(OR(T47="",E47=""),"",T47&amp;"|"&amp;E47)</f>
        <v/>
      </c>
      <c r="AD47" s="14" t="str">
        <f>IF(OR(U47="",E47=""),"",U47&amp;"|"&amp;E47)</f>
        <v/>
      </c>
      <c r="AE47" s="14" t="str">
        <f>IF(OR(V47="",E47=""),"",V47&amp;"|"&amp;E47)</f>
        <v/>
      </c>
      <c r="AF47" s="14">
        <f>IF(OR(D47="",E47=""),0,COUNTIF($AC$9:$AC$158,D47&amp;"|"&amp;E47)+COUNTIF($AD$9:$AD$158,D47&amp;"|"&amp;E47)+COUNTIF($AE$9:$AE$158,D47&amp;"|"&amp;E47))</f>
        <v>0</v>
      </c>
      <c r="AG47" s="14">
        <f>Z47+AA47+AB47+AF47</f>
        <v>0</v>
      </c>
      <c r="AH47" s="14" t="str">
        <f>IF(OR(D47="",E47=""),"",IFERROR(MATCH(D47&amp;"|"&amp;E47,$AC$9:$AC$158,0),""))</f>
        <v/>
      </c>
      <c r="AI47" s="14" t="str">
        <f>IF(OR(D47="",E47=""),"",IFERROR(MATCH(D47&amp;"|"&amp;E47,$AD$9:$AD$158,0),""))</f>
        <v/>
      </c>
      <c r="AJ47" s="14" t="str">
        <f>IF(OR(D47="",E47=""),"",IFERROR(MATCH(D47&amp;"|"&amp;E47,$AE$9:$AE$158,0),""))</f>
        <v/>
      </c>
      <c r="AK47" s="14" t="str">
        <f>IF(Z47=1,IFERROR(INDEX($F$9:$F$158,MATCH(T47,$D$9:$D$158,0)),"")&amp;"、","")&amp;IF(AA47=1,IFERROR(INDEX($F$9:$F$158,MATCH(U47,$D$9:$D$158,0)),"")&amp;"、","")&amp;IF(AB47=1,IFERROR(INDEX($F$9:$F$158,MATCH(V47,$D$9:$D$158,0)),"")&amp;"、","")</f>
        <v/>
      </c>
      <c r="AL47" s="14" t="str">
        <f>IF(OR(AH47=""),"",IF(OR(INDEX($D$9:$D$158,AH47)=T47,INDEX($D$9:$D$158,AH47)=U47,INDEX($D$9:$D$158,AH47)=V47),"",INDEX($F$9:$F$158,AH47)&amp;"、"))&amp;IF(OR(AI47="",AI47=AH47),"",IF(OR(INDEX($D$9:$D$158,AI47)=T47,INDEX($D$9:$D$158,AI47)=U47,INDEX($D$9:$D$158,AI47)=V47),"",INDEX($F$9:$F$158,AI47)&amp;"、"))&amp;IF(OR(AJ47="",AJ47=AH47,AJ47=AI47),"",IF(OR(INDEX($D$9:$D$158,AJ47)=T47,INDEX($D$9:$D$158,AJ47)=U47,INDEX($D$9:$D$158,AJ47)=V47),"",INDEX($F$9:$F$158,AJ47)&amp;"、"))</f>
        <v/>
      </c>
      <c r="AM47" s="14" t="str">
        <f>IF(T47="","",IFERROR(INDEX('①名簿入力'!$C$4:$C$153,MATCH(T47,'①名簿入力'!$A$4:$A$153,0)),"?")&amp;IF(W47="","","("&amp;W47&amp;"組)"))</f>
        <v/>
      </c>
      <c r="AN47" s="14" t="str">
        <f>IF(U47="","",IFERROR(INDEX('①名簿入力'!$C$4:$C$153,MATCH(U47,'①名簿入力'!$A$4:$A$153,0)),"?")&amp;IF(X47="","","("&amp;X47&amp;"組)"))</f>
        <v/>
      </c>
      <c r="AO47" s="14" t="str">
        <f>IF(V47="","",IFERROR(INDEX('①名簿入力'!$C$4:$C$153,MATCH(V47,'①名簿入力'!$A$4:$A$153,0)),"?")&amp;IF(Y47="","","("&amp;Y47&amp;"組)"))</f>
        <v/>
      </c>
      <c r="AP47" s="14">
        <f>IF(G47="男",1,IF(G47="女",2,3))</f>
        <v>1</v>
      </c>
      <c r="AQ47" s="14">
        <f>IF(OR(S47="",E47=""),"",IFERROR(IF('③クラス一覧'!$AD$6="番号順",0,AP47*1000000000)+D47,""))</f>
        <v>1000002204</v>
      </c>
      <c r="AR47" s="14">
        <f>IF(AQ47="","",COUNTIFS($E$9:$E$158,E47,$AQ$9:$AQ$158,"&lt;"&amp;AQ47)+1)</f>
        <v>7</v>
      </c>
      <c r="AS47" s="14" t="str">
        <f>IF(AR47="","",E47&amp;"-"&amp;AR47)</f>
        <v>1-7</v>
      </c>
      <c r="AT47" s="14">
        <f>IF(S47="","",IF(INDEX('①名簿入力'!$F$4:$F$153,S47)="","",INDEX('①名簿入力'!$F$4:$F$153,S47)))</f>
        <v>59</v>
      </c>
      <c r="AU47" s="14">
        <f>IF(S47="","",IF(INDEX('①名簿入力'!$G$4:$G$153,S47)="","",INDEX('①名簿入力'!$G$4:$G$153,S47)))</f>
        <v>34</v>
      </c>
      <c r="AV47" s="14">
        <f>IF(S47="","",IF(INDEX('①名簿入力'!$H$4:$H$153,S47)="","",INDEX('①名簿入力'!$H$4:$H$153,S47)))</f>
        <v>39</v>
      </c>
      <c r="AW47" s="14">
        <f>IF(S47="","",IF(INDEX('①名簿入力'!$I$4:$I$153,S47)="","",INDEX('①名簿入力'!$I$4:$I$153,S47)))</f>
        <v>54</v>
      </c>
      <c r="AX47" s="14">
        <f>IF(S47="","",IF(INDEX('①名簿入力'!$J$4:$J$153,S47)="","",INDEX('①名簿入力'!$J$4:$J$153,S47)))</f>
        <v>34</v>
      </c>
    </row>
    <row r="48">
      <c r="A48" s="23">
        <f>IF('①名簿入力'!A43="","",'①名簿入力'!A43)</f>
        <v>2205</v>
      </c>
      <c r="B48" s="23">
        <f>IF(A48="","",'①名簿入力'!U43)</f>
        <v>3</v>
      </c>
      <c r="D48" s="8" t="n">
        <v>2205</v>
      </c>
      <c r="E48" s="24" t="n">
        <v>3</v>
      </c>
      <c r="F48" s="25" t="str">
        <f>IF(D48="","",IF(S48="","（名簿にない番号）",INDEX('①名簿入力'!$C$4:$C$153,S48)&amp;""))</f>
        <v>石田　優奈</v>
      </c>
      <c r="G48" s="13" t="str">
        <f>IF(S48="","",INDEX('①名簿入力'!$E$4:$E$153,S48)&amp;"")</f>
        <v>女</v>
      </c>
      <c r="H48" s="13">
        <f>IF(S48="","",IF(INDEX('①名簿入力'!$B$4:$B$153,S48)="","",INDEX('①名簿入力'!$B$4:$B$153,S48)))</f>
        <v>2</v>
      </c>
      <c r="I48" s="10">
        <f>IF(S48="","",IF(INDEX('①名簿入力'!$K$4:$K$153,S48)="","",INDEX('①名簿入力'!$K$4:$K$153,S48)))</f>
        <v>76.2</v>
      </c>
      <c r="J48" s="10">
        <f>IF(S48="","",IF(INDEX('①名簿入力'!$L$4:$L$153,S48)="","",INDEX('①名簿入力'!$L$4:$L$153,S48)))</f>
        <v>7.8</v>
      </c>
      <c r="K48" s="13" t="str">
        <f>IF(S48="","",IF(INDEX('①名簿入力'!$Y$4:$Y$153,S48)=1,"〇",""))</f>
        <v/>
      </c>
      <c r="L48" s="13" t="str">
        <f>IF(S48="","",IF(INDEX('①名簿入力'!$Z$4:$Z$153,S48)=1,"〇",""))</f>
        <v/>
      </c>
      <c r="M48" s="13" t="str">
        <f>IF(S48="","",IF(INDEX('①名簿入力'!$AA$4:$AA$153,S48)=1,"〇",""))</f>
        <v/>
      </c>
      <c r="N48" s="13" t="str">
        <f>IF(S48="","",IF(INDEX('①名簿入力'!$AB$4:$AB$153,S48)=1,"〇",""))</f>
        <v/>
      </c>
      <c r="O48" s="25" t="str">
        <f>AM48&amp;IF(AND(AM48&lt;&gt;"",AN48&lt;&gt;""),"、","")&amp;AN48&amp;IF(AND(AM48&amp;AN48&lt;&gt;"",AO48&lt;&gt;""),"、","")&amp;AO48</f>
        <v/>
      </c>
      <c r="P48" s="25" t="str">
        <f>IF(AG48=0,"",IF(AK48&amp;AL48="","⚠",LEFT(AK48&amp;AL48,LEN(AK48&amp;AL48)-1)))</f>
        <v/>
      </c>
      <c r="Q48" s="25" t="str">
        <f>IF(S48="","",INDEX('①名簿入力'!$T$4:$T$153,S48)&amp;"")</f>
        <v>図書委員</v>
      </c>
      <c r="S48" s="14">
        <f>IF(D48="","",IFERROR(MATCH(D48,'①名簿入力'!$A$4:$A$153,0),""))</f>
        <v>40</v>
      </c>
      <c r="T48" s="14" t="str">
        <f>IF(S48="","",IF(INDEX('①名簿入力'!$AG$4:$AG$153,S48)=D48,"",INDEX('①名簿入力'!$AG$4:$AG$153,S48)))</f>
        <v/>
      </c>
      <c r="U48" s="14" t="str">
        <f>IF(S48="","",IF(INDEX('①名簿入力'!$AH$4:$AH$153,S48)=D48,"",INDEX('①名簿入力'!$AH$4:$AH$153,S48)))</f>
        <v/>
      </c>
      <c r="V48" s="14" t="str">
        <f>IF(S48="","",IF(INDEX('①名簿入力'!$AI$4:$AI$153,S48)=D48,"",INDEX('①名簿入力'!$AI$4:$AI$153,S48)))</f>
        <v/>
      </c>
      <c r="W48" s="14" t="str">
        <f>IF(T48="","",IFERROR(IF(INDEX($E$9:$E$158,MATCH(T48,$D$9:$D$158,0))="","",INDEX($E$9:$E$158,MATCH(T48,$D$9:$D$158,0))),""))</f>
        <v/>
      </c>
      <c r="X48" s="14" t="str">
        <f>IF(U48="","",IFERROR(IF(INDEX($E$9:$E$158,MATCH(U48,$D$9:$D$158,0))="","",INDEX($E$9:$E$158,MATCH(U48,$D$9:$D$158,0))),""))</f>
        <v/>
      </c>
      <c r="Y48" s="14" t="str">
        <f>IF(V48="","",IFERROR(IF(INDEX($E$9:$E$158,MATCH(V48,$D$9:$D$158,0))="","",INDEX($E$9:$E$158,MATCH(V48,$D$9:$D$158,0))),""))</f>
        <v/>
      </c>
      <c r="Z48" s="14">
        <f>IF(AND(T48&lt;&gt;"",W48&lt;&gt;"",E48&lt;&gt;""),IF(W48=E48,1,0),0)</f>
        <v>0</v>
      </c>
      <c r="AA48" s="14">
        <f>IF(AND(U48&lt;&gt;"",X48&lt;&gt;"",E48&lt;&gt;""),IF(X48=E48,1,0),0)</f>
        <v>0</v>
      </c>
      <c r="AB48" s="14">
        <f>IF(AND(V48&lt;&gt;"",Y48&lt;&gt;"",E48&lt;&gt;""),IF(Y48=E48,1,0),0)</f>
        <v>0</v>
      </c>
      <c r="AC48" s="14" t="str">
        <f>IF(OR(T48="",E48=""),"",T48&amp;"|"&amp;E48)</f>
        <v/>
      </c>
      <c r="AD48" s="14" t="str">
        <f>IF(OR(U48="",E48=""),"",U48&amp;"|"&amp;E48)</f>
        <v/>
      </c>
      <c r="AE48" s="14" t="str">
        <f>IF(OR(V48="",E48=""),"",V48&amp;"|"&amp;E48)</f>
        <v/>
      </c>
      <c r="AF48" s="14">
        <f>IF(OR(D48="",E48=""),0,COUNTIF($AC$9:$AC$158,D48&amp;"|"&amp;E48)+COUNTIF($AD$9:$AD$158,D48&amp;"|"&amp;E48)+COUNTIF($AE$9:$AE$158,D48&amp;"|"&amp;E48))</f>
        <v>0</v>
      </c>
      <c r="AG48" s="14">
        <f>Z48+AA48+AB48+AF48</f>
        <v>0</v>
      </c>
      <c r="AH48" s="14" t="str">
        <f>IF(OR(D48="",E48=""),"",IFERROR(MATCH(D48&amp;"|"&amp;E48,$AC$9:$AC$158,0),""))</f>
        <v/>
      </c>
      <c r="AI48" s="14" t="str">
        <f>IF(OR(D48="",E48=""),"",IFERROR(MATCH(D48&amp;"|"&amp;E48,$AD$9:$AD$158,0),""))</f>
        <v/>
      </c>
      <c r="AJ48" s="14" t="str">
        <f>IF(OR(D48="",E48=""),"",IFERROR(MATCH(D48&amp;"|"&amp;E48,$AE$9:$AE$158,0),""))</f>
        <v/>
      </c>
      <c r="AK48" s="14" t="str">
        <f>IF(Z48=1,IFERROR(INDEX($F$9:$F$158,MATCH(T48,$D$9:$D$158,0)),"")&amp;"、","")&amp;IF(AA48=1,IFERROR(INDEX($F$9:$F$158,MATCH(U48,$D$9:$D$158,0)),"")&amp;"、","")&amp;IF(AB48=1,IFERROR(INDEX($F$9:$F$158,MATCH(V48,$D$9:$D$158,0)),"")&amp;"、","")</f>
        <v/>
      </c>
      <c r="AL48" s="14" t="str">
        <f>IF(OR(AH48=""),"",IF(OR(INDEX($D$9:$D$158,AH48)=T48,INDEX($D$9:$D$158,AH48)=U48,INDEX($D$9:$D$158,AH48)=V48),"",INDEX($F$9:$F$158,AH48)&amp;"、"))&amp;IF(OR(AI48="",AI48=AH48),"",IF(OR(INDEX($D$9:$D$158,AI48)=T48,INDEX($D$9:$D$158,AI48)=U48,INDEX($D$9:$D$158,AI48)=V48),"",INDEX($F$9:$F$158,AI48)&amp;"、"))&amp;IF(OR(AJ48="",AJ48=AH48,AJ48=AI48),"",IF(OR(INDEX($D$9:$D$158,AJ48)=T48,INDEX($D$9:$D$158,AJ48)=U48,INDEX($D$9:$D$158,AJ48)=V48),"",INDEX($F$9:$F$158,AJ48)&amp;"、"))</f>
        <v/>
      </c>
      <c r="AM48" s="14" t="str">
        <f>IF(T48="","",IFERROR(INDEX('①名簿入力'!$C$4:$C$153,MATCH(T48,'①名簿入力'!$A$4:$A$153,0)),"?")&amp;IF(W48="","","("&amp;W48&amp;"組)"))</f>
        <v/>
      </c>
      <c r="AN48" s="14" t="str">
        <f>IF(U48="","",IFERROR(INDEX('①名簿入力'!$C$4:$C$153,MATCH(U48,'①名簿入力'!$A$4:$A$153,0)),"?")&amp;IF(X48="","","("&amp;X48&amp;"組)"))</f>
        <v/>
      </c>
      <c r="AO48" s="14" t="str">
        <f>IF(V48="","",IFERROR(INDEX('①名簿入力'!$C$4:$C$153,MATCH(V48,'①名簿入力'!$A$4:$A$153,0)),"?")&amp;IF(Y48="","","("&amp;Y48&amp;"組)"))</f>
        <v/>
      </c>
      <c r="AP48" s="14">
        <f>IF(G48="男",1,IF(G48="女",2,3))</f>
        <v>2</v>
      </c>
      <c r="AQ48" s="14">
        <f>IF(OR(S48="",E48=""),"",IFERROR(IF('③クラス一覧'!$AD$6="番号順",0,AP48*1000000000)+D48,""))</f>
        <v>2000002205</v>
      </c>
      <c r="AR48" s="14">
        <f>IF(AQ48="","",COUNTIFS($E$9:$E$158,E48,$AQ$9:$AQ$158,"&lt;"&amp;AQ48)+1)</f>
        <v>24</v>
      </c>
      <c r="AS48" s="14" t="str">
        <f>IF(AR48="","",E48&amp;"-"&amp;AR48)</f>
        <v>3-24</v>
      </c>
      <c r="AT48" s="14">
        <f>IF(S48="","",IF(INDEX('①名簿入力'!$F$4:$F$153,S48)="","",INDEX('①名簿入力'!$F$4:$F$153,S48)))</f>
        <v>91</v>
      </c>
      <c r="AU48" s="14">
        <f>IF(S48="","",IF(INDEX('①名簿入力'!$G$4:$G$153,S48)="","",INDEX('①名簿入力'!$G$4:$G$153,S48)))</f>
        <v>79</v>
      </c>
      <c r="AV48" s="14">
        <f>IF(S48="","",IF(INDEX('①名簿入力'!$H$4:$H$153,S48)="","",INDEX('①名簿入力'!$H$4:$H$153,S48)))</f>
        <v>73</v>
      </c>
      <c r="AW48" s="14">
        <f>IF(S48="","",IF(INDEX('①名簿入力'!$I$4:$I$153,S48)="","",INDEX('①名簿入力'!$I$4:$I$153,S48)))</f>
        <v>70</v>
      </c>
      <c r="AX48" s="14">
        <f>IF(S48="","",IF(INDEX('①名簿入力'!$J$4:$J$153,S48)="","",INDEX('①名簿入力'!$J$4:$J$153,S48)))</f>
        <v>68</v>
      </c>
    </row>
    <row r="49">
      <c r="A49" s="23">
        <f>IF('①名簿入力'!A44="","",'①名簿入力'!A44)</f>
        <v>2206</v>
      </c>
      <c r="B49" s="23">
        <f>IF(A49="","",'①名簿入力'!U44)</f>
        <v>3</v>
      </c>
      <c r="D49" s="8" t="n">
        <v>2206</v>
      </c>
      <c r="E49" s="24" t="n">
        <v>3</v>
      </c>
      <c r="F49" s="25" t="str">
        <f>IF(D49="","",IF(S49="","（名簿にない番号）",INDEX('①名簿入力'!$C$4:$C$153,S49)&amp;""))</f>
        <v>石田　陸</v>
      </c>
      <c r="G49" s="13" t="str">
        <f>IF(S49="","",INDEX('①名簿入力'!$E$4:$E$153,S49)&amp;"")</f>
        <v>男</v>
      </c>
      <c r="H49" s="13">
        <f>IF(S49="","",IF(INDEX('①名簿入力'!$B$4:$B$153,S49)="","",INDEX('①名簿入力'!$B$4:$B$153,S49)))</f>
        <v>2</v>
      </c>
      <c r="I49" s="10">
        <f>IF(S49="","",IF(INDEX('①名簿入力'!$K$4:$K$153,S49)="","",INDEX('①名簿入力'!$K$4:$K$153,S49)))</f>
        <v>80.2</v>
      </c>
      <c r="J49" s="10">
        <f>IF(S49="","",IF(INDEX('①名簿入力'!$L$4:$L$153,S49)="","",INDEX('①名簿入力'!$L$4:$L$153,S49)))</f>
        <v>7</v>
      </c>
      <c r="K49" s="13" t="str">
        <f>IF(S49="","",IF(INDEX('①名簿入力'!$Y$4:$Y$153,S49)=1,"〇",""))</f>
        <v/>
      </c>
      <c r="L49" s="13" t="str">
        <f>IF(S49="","",IF(INDEX('①名簿入力'!$Z$4:$Z$153,S49)=1,"〇",""))</f>
        <v/>
      </c>
      <c r="M49" s="13" t="str">
        <f>IF(S49="","",IF(INDEX('①名簿入力'!$AA$4:$AA$153,S49)=1,"〇",""))</f>
        <v>〇</v>
      </c>
      <c r="N49" s="13" t="str">
        <f>IF(S49="","",IF(INDEX('①名簿入力'!$AB$4:$AB$153,S49)=1,"〇",""))</f>
        <v/>
      </c>
      <c r="O49" s="25" t="str">
        <f>AM49&amp;IF(AND(AM49&lt;&gt;"",AN49&lt;&gt;""),"、","")&amp;AN49&amp;IF(AND(AM49&amp;AN49&lt;&gt;"",AO49&lt;&gt;""),"、","")&amp;AO49</f>
        <v/>
      </c>
      <c r="P49" s="25" t="str">
        <f>IF(AG49=0,"",IF(AK49&amp;AL49="","⚠",LEFT(AK49&amp;AL49,LEN(AK49&amp;AL49)-1)))</f>
        <v/>
      </c>
      <c r="Q49" s="25" t="str">
        <f>IF(S49="","",INDEX('①名簿入力'!$T$4:$T$153,S49)&amp;"")</f>
        <v/>
      </c>
      <c r="S49" s="14">
        <f>IF(D49="","",IFERROR(MATCH(D49,'①名簿入力'!$A$4:$A$153,0),""))</f>
        <v>41</v>
      </c>
      <c r="T49" s="14" t="str">
        <f>IF(S49="","",IF(INDEX('①名簿入力'!$AG$4:$AG$153,S49)=D49,"",INDEX('①名簿入力'!$AG$4:$AG$153,S49)))</f>
        <v/>
      </c>
      <c r="U49" s="14" t="str">
        <f>IF(S49="","",IF(INDEX('①名簿入力'!$AH$4:$AH$153,S49)=D49,"",INDEX('①名簿入力'!$AH$4:$AH$153,S49)))</f>
        <v/>
      </c>
      <c r="V49" s="14" t="str">
        <f>IF(S49="","",IF(INDEX('①名簿入力'!$AI$4:$AI$153,S49)=D49,"",INDEX('①名簿入力'!$AI$4:$AI$153,S49)))</f>
        <v/>
      </c>
      <c r="W49" s="14" t="str">
        <f>IF(T49="","",IFERROR(IF(INDEX($E$9:$E$158,MATCH(T49,$D$9:$D$158,0))="","",INDEX($E$9:$E$158,MATCH(T49,$D$9:$D$158,0))),""))</f>
        <v/>
      </c>
      <c r="X49" s="14" t="str">
        <f>IF(U49="","",IFERROR(IF(INDEX($E$9:$E$158,MATCH(U49,$D$9:$D$158,0))="","",INDEX($E$9:$E$158,MATCH(U49,$D$9:$D$158,0))),""))</f>
        <v/>
      </c>
      <c r="Y49" s="14" t="str">
        <f>IF(V49="","",IFERROR(IF(INDEX($E$9:$E$158,MATCH(V49,$D$9:$D$158,0))="","",INDEX($E$9:$E$158,MATCH(V49,$D$9:$D$158,0))),""))</f>
        <v/>
      </c>
      <c r="Z49" s="14">
        <f>IF(AND(T49&lt;&gt;"",W49&lt;&gt;"",E49&lt;&gt;""),IF(W49=E49,1,0),0)</f>
        <v>0</v>
      </c>
      <c r="AA49" s="14">
        <f>IF(AND(U49&lt;&gt;"",X49&lt;&gt;"",E49&lt;&gt;""),IF(X49=E49,1,0),0)</f>
        <v>0</v>
      </c>
      <c r="AB49" s="14">
        <f>IF(AND(V49&lt;&gt;"",Y49&lt;&gt;"",E49&lt;&gt;""),IF(Y49=E49,1,0),0)</f>
        <v>0</v>
      </c>
      <c r="AC49" s="14" t="str">
        <f>IF(OR(T49="",E49=""),"",T49&amp;"|"&amp;E49)</f>
        <v/>
      </c>
      <c r="AD49" s="14" t="str">
        <f>IF(OR(U49="",E49=""),"",U49&amp;"|"&amp;E49)</f>
        <v/>
      </c>
      <c r="AE49" s="14" t="str">
        <f>IF(OR(V49="",E49=""),"",V49&amp;"|"&amp;E49)</f>
        <v/>
      </c>
      <c r="AF49" s="14">
        <f>IF(OR(D49="",E49=""),0,COUNTIF($AC$9:$AC$158,D49&amp;"|"&amp;E49)+COUNTIF($AD$9:$AD$158,D49&amp;"|"&amp;E49)+COUNTIF($AE$9:$AE$158,D49&amp;"|"&amp;E49))</f>
        <v>0</v>
      </c>
      <c r="AG49" s="14">
        <f>Z49+AA49+AB49+AF49</f>
        <v>0</v>
      </c>
      <c r="AH49" s="14" t="str">
        <f>IF(OR(D49="",E49=""),"",IFERROR(MATCH(D49&amp;"|"&amp;E49,$AC$9:$AC$158,0),""))</f>
        <v/>
      </c>
      <c r="AI49" s="14" t="str">
        <f>IF(OR(D49="",E49=""),"",IFERROR(MATCH(D49&amp;"|"&amp;E49,$AD$9:$AD$158,0),""))</f>
        <v/>
      </c>
      <c r="AJ49" s="14" t="str">
        <f>IF(OR(D49="",E49=""),"",IFERROR(MATCH(D49&amp;"|"&amp;E49,$AE$9:$AE$158,0),""))</f>
        <v/>
      </c>
      <c r="AK49" s="14" t="str">
        <f>IF(Z49=1,IFERROR(INDEX($F$9:$F$158,MATCH(T49,$D$9:$D$158,0)),"")&amp;"、","")&amp;IF(AA49=1,IFERROR(INDEX($F$9:$F$158,MATCH(U49,$D$9:$D$158,0)),"")&amp;"、","")&amp;IF(AB49=1,IFERROR(INDEX($F$9:$F$158,MATCH(V49,$D$9:$D$158,0)),"")&amp;"、","")</f>
        <v/>
      </c>
      <c r="AL49" s="14" t="str">
        <f>IF(OR(AH49=""),"",IF(OR(INDEX($D$9:$D$158,AH49)=T49,INDEX($D$9:$D$158,AH49)=U49,INDEX($D$9:$D$158,AH49)=V49),"",INDEX($F$9:$F$158,AH49)&amp;"、"))&amp;IF(OR(AI49="",AI49=AH49),"",IF(OR(INDEX($D$9:$D$158,AI49)=T49,INDEX($D$9:$D$158,AI49)=U49,INDEX($D$9:$D$158,AI49)=V49),"",INDEX($F$9:$F$158,AI49)&amp;"、"))&amp;IF(OR(AJ49="",AJ49=AH49,AJ49=AI49),"",IF(OR(INDEX($D$9:$D$158,AJ49)=T49,INDEX($D$9:$D$158,AJ49)=U49,INDEX($D$9:$D$158,AJ49)=V49),"",INDEX($F$9:$F$158,AJ49)&amp;"、"))</f>
        <v/>
      </c>
      <c r="AM49" s="14" t="str">
        <f>IF(T49="","",IFERROR(INDEX('①名簿入力'!$C$4:$C$153,MATCH(T49,'①名簿入力'!$A$4:$A$153,0)),"?")&amp;IF(W49="","","("&amp;W49&amp;"組)"))</f>
        <v/>
      </c>
      <c r="AN49" s="14" t="str">
        <f>IF(U49="","",IFERROR(INDEX('①名簿入力'!$C$4:$C$153,MATCH(U49,'①名簿入力'!$A$4:$A$153,0)),"?")&amp;IF(X49="","","("&amp;X49&amp;"組)"))</f>
        <v/>
      </c>
      <c r="AO49" s="14" t="str">
        <f>IF(V49="","",IFERROR(INDEX('①名簿入力'!$C$4:$C$153,MATCH(V49,'①名簿入力'!$A$4:$A$153,0)),"?")&amp;IF(Y49="","","("&amp;Y49&amp;"組)"))</f>
        <v/>
      </c>
      <c r="AP49" s="14">
        <f>IF(G49="男",1,IF(G49="女",2,3))</f>
        <v>1</v>
      </c>
      <c r="AQ49" s="14">
        <f>IF(OR(S49="",E49=""),"",IFERROR(IF('③クラス一覧'!$AD$6="番号順",0,AP49*1000000000)+D49,""))</f>
        <v>1000002206</v>
      </c>
      <c r="AR49" s="14">
        <f>IF(AQ49="","",COUNTIFS($E$9:$E$158,E49,$AQ$9:$AQ$158,"&lt;"&amp;AQ49)+1)</f>
        <v>7</v>
      </c>
      <c r="AS49" s="14" t="str">
        <f>IF(AR49="","",E49&amp;"-"&amp;AR49)</f>
        <v>3-7</v>
      </c>
      <c r="AT49" s="14">
        <f>IF(S49="","",IF(INDEX('①名簿入力'!$F$4:$F$153,S49)="","",INDEX('①名簿入力'!$F$4:$F$153,S49)))</f>
        <v>88</v>
      </c>
      <c r="AU49" s="14">
        <f>IF(S49="","",IF(INDEX('①名簿入力'!$G$4:$G$153,S49)="","",INDEX('①名簿入力'!$G$4:$G$153,S49)))</f>
        <v>76</v>
      </c>
      <c r="AV49" s="14">
        <f>IF(S49="","",IF(INDEX('①名簿入力'!$H$4:$H$153,S49)="","",INDEX('①名簿入力'!$H$4:$H$153,S49)))</f>
        <v>87</v>
      </c>
      <c r="AW49" s="14">
        <f>IF(S49="","",IF(INDEX('①名簿入力'!$I$4:$I$153,S49)="","",INDEX('①名簿入力'!$I$4:$I$153,S49)))</f>
        <v>64</v>
      </c>
      <c r="AX49" s="14">
        <f>IF(S49="","",IF(INDEX('①名簿入力'!$J$4:$J$153,S49)="","",INDEX('①名簿入力'!$J$4:$J$153,S49)))</f>
        <v>86</v>
      </c>
    </row>
    <row r="50">
      <c r="A50" s="23">
        <f>IF('①名簿入力'!A45="","",'①名簿入力'!A45)</f>
        <v>2207</v>
      </c>
      <c r="B50" s="23">
        <f>IF(A50="","",'①名簿入力'!U45)</f>
        <v>1</v>
      </c>
      <c r="D50" s="8" t="n">
        <v>2207</v>
      </c>
      <c r="E50" s="24" t="n">
        <v>1</v>
      </c>
      <c r="F50" s="25" t="str">
        <f>IF(D50="","",IF(S50="","（名簿にない番号）",INDEX('①名簿入力'!$C$4:$C$153,S50)&amp;""))</f>
        <v>伊藤　美桜</v>
      </c>
      <c r="G50" s="13" t="str">
        <f>IF(S50="","",INDEX('①名簿入力'!$E$4:$E$153,S50)&amp;"")</f>
        <v>女</v>
      </c>
      <c r="H50" s="13">
        <f>IF(S50="","",IF(INDEX('①名簿入力'!$B$4:$B$153,S50)="","",INDEX('①名簿入力'!$B$4:$B$153,S50)))</f>
        <v>2</v>
      </c>
      <c r="I50" s="10">
        <f>IF(S50="","",IF(INDEX('①名簿入力'!$K$4:$K$153,S50)="","",INDEX('①名簿入力'!$K$4:$K$153,S50)))</f>
        <v>48</v>
      </c>
      <c r="J50" s="10">
        <f>IF(S50="","",IF(INDEX('①名簿入力'!$L$4:$L$153,S50)="","",INDEX('①名簿入力'!$L$4:$L$153,S50)))</f>
        <v>8.8</v>
      </c>
      <c r="K50" s="13" t="str">
        <f>IF(S50="","",IF(INDEX('①名簿入力'!$Y$4:$Y$153,S50)=1,"〇",""))</f>
        <v/>
      </c>
      <c r="L50" s="13" t="str">
        <f>IF(S50="","",IF(INDEX('①名簿入力'!$Z$4:$Z$153,S50)=1,"〇",""))</f>
        <v/>
      </c>
      <c r="M50" s="13" t="str">
        <f>IF(S50="","",IF(INDEX('①名簿入力'!$AA$4:$AA$153,S50)=1,"〇",""))</f>
        <v/>
      </c>
      <c r="N50" s="13" t="str">
        <f>IF(S50="","",IF(INDEX('①名簿入力'!$AB$4:$AB$153,S50)=1,"〇",""))</f>
        <v/>
      </c>
      <c r="O50" s="25" t="str">
        <f>AM50&amp;IF(AND(AM50&lt;&gt;"",AN50&lt;&gt;""),"、","")&amp;AN50&amp;IF(AND(AM50&amp;AN50&lt;&gt;"",AO50&lt;&gt;""),"、","")&amp;AO50</f>
        <v>吉田　陽翔(1組)</v>
      </c>
      <c r="P50" s="25" t="str">
        <f>IF(AG50=0,"",IF(AK50&amp;AL50="","⚠",LEFT(AK50&amp;AL50,LEN(AK50&amp;AL50)-1)))</f>
        <v>吉田　陽翔</v>
      </c>
      <c r="Q50" s="25" t="str">
        <f>IF(S50="","",INDEX('①名簿入力'!$T$4:$T$153,S50)&amp;"")</f>
        <v/>
      </c>
      <c r="S50" s="14">
        <f>IF(D50="","",IFERROR(MATCH(D50,'①名簿入力'!$A$4:$A$153,0),""))</f>
        <v>42</v>
      </c>
      <c r="T50" s="14" t="str">
        <f>IF(S50="","",IF(INDEX('①名簿入力'!$AG$4:$AG$153,S50)=D50,"",INDEX('①名簿入力'!$AG$4:$AG$153,S50)))</f>
        <v/>
      </c>
      <c r="U50" s="14" t="str">
        <f>IF(S50="","",IF(INDEX('①名簿入力'!$AH$4:$AH$153,S50)=D50,"",INDEX('①名簿入力'!$AH$4:$AH$153,S50)))</f>
        <v/>
      </c>
      <c r="V50" s="14">
        <f>IF(S50="","",IF(INDEX('①名簿入力'!$AI$4:$AI$153,S50)=D50,"",INDEX('①名簿入力'!$AI$4:$AI$153,S50)))</f>
        <v>2234</v>
      </c>
      <c r="W50" s="14" t="str">
        <f>IF(T50="","",IFERROR(IF(INDEX($E$9:$E$158,MATCH(T50,$D$9:$D$158,0))="","",INDEX($E$9:$E$158,MATCH(T50,$D$9:$D$158,0))),""))</f>
        <v/>
      </c>
      <c r="X50" s="14" t="str">
        <f>IF(U50="","",IFERROR(IF(INDEX($E$9:$E$158,MATCH(U50,$D$9:$D$158,0))="","",INDEX($E$9:$E$158,MATCH(U50,$D$9:$D$158,0))),""))</f>
        <v/>
      </c>
      <c r="Y50" s="14">
        <f>IF(V50="","",IFERROR(IF(INDEX($E$9:$E$158,MATCH(V50,$D$9:$D$158,0))="","",INDEX($E$9:$E$158,MATCH(V50,$D$9:$D$158,0))),""))</f>
        <v>1</v>
      </c>
      <c r="Z50" s="14">
        <f>IF(AND(T50&lt;&gt;"",W50&lt;&gt;"",E50&lt;&gt;""),IF(W50=E50,1,0),0)</f>
        <v>0</v>
      </c>
      <c r="AA50" s="14">
        <f>IF(AND(U50&lt;&gt;"",X50&lt;&gt;"",E50&lt;&gt;""),IF(X50=E50,1,0),0)</f>
        <v>0</v>
      </c>
      <c r="AB50" s="14">
        <f>IF(AND(V50&lt;&gt;"",Y50&lt;&gt;"",E50&lt;&gt;""),IF(Y50=E50,1,0),0)</f>
        <v>1</v>
      </c>
      <c r="AC50" s="14" t="str">
        <f>IF(OR(T50="",E50=""),"",T50&amp;"|"&amp;E50)</f>
        <v/>
      </c>
      <c r="AD50" s="14" t="str">
        <f>IF(OR(U50="",E50=""),"",U50&amp;"|"&amp;E50)</f>
        <v/>
      </c>
      <c r="AE50" s="14" t="str">
        <f>IF(OR(V50="",E50=""),"",V50&amp;"|"&amp;E50)</f>
        <v>2234|1</v>
      </c>
      <c r="AF50" s="14">
        <f>IF(OR(D50="",E50=""),0,COUNTIF($AC$9:$AC$158,D50&amp;"|"&amp;E50)+COUNTIF($AD$9:$AD$158,D50&amp;"|"&amp;E50)+COUNTIF($AE$9:$AE$158,D50&amp;"|"&amp;E50))</f>
        <v>1</v>
      </c>
      <c r="AG50" s="14">
        <f>Z50+AA50+AB50+AF50</f>
        <v>2</v>
      </c>
      <c r="AH50" s="14" t="str">
        <f>IF(OR(D50="",E50=""),"",IFERROR(MATCH(D50&amp;"|"&amp;E50,$AC$9:$AC$158,0),""))</f>
        <v/>
      </c>
      <c r="AI50" s="14" t="str">
        <f>IF(OR(D50="",E50=""),"",IFERROR(MATCH(D50&amp;"|"&amp;E50,$AD$9:$AD$158,0),""))</f>
        <v/>
      </c>
      <c r="AJ50" s="14">
        <f>IF(OR(D50="",E50=""),"",IFERROR(MATCH(D50&amp;"|"&amp;E50,$AE$9:$AE$158,0),""))</f>
        <v>69</v>
      </c>
      <c r="AK50" s="14" t="str">
        <f>IF(Z50=1,IFERROR(INDEX($F$9:$F$158,MATCH(T50,$D$9:$D$158,0)),"")&amp;"、","")&amp;IF(AA50=1,IFERROR(INDEX($F$9:$F$158,MATCH(U50,$D$9:$D$158,0)),"")&amp;"、","")&amp;IF(AB50=1,IFERROR(INDEX($F$9:$F$158,MATCH(V50,$D$9:$D$158,0)),"")&amp;"、","")</f>
        <v>吉田　陽翔、</v>
      </c>
      <c r="AL50" s="14" t="str">
        <f>IF(OR(AH50=""),"",IF(OR(INDEX($D$9:$D$158,AH50)=T50,INDEX($D$9:$D$158,AH50)=U50,INDEX($D$9:$D$158,AH50)=V50),"",INDEX($F$9:$F$158,AH50)&amp;"、"))&amp;IF(OR(AI50="",AI50=AH50),"",IF(OR(INDEX($D$9:$D$158,AI50)=T50,INDEX($D$9:$D$158,AI50)=U50,INDEX($D$9:$D$158,AI50)=V50),"",INDEX($F$9:$F$158,AI50)&amp;"、"))&amp;IF(OR(AJ50="",AJ50=AH50,AJ50=AI50),"",IF(OR(INDEX($D$9:$D$158,AJ50)=T50,INDEX($D$9:$D$158,AJ50)=U50,INDEX($D$9:$D$158,AJ50)=V50),"",INDEX($F$9:$F$158,AJ50)&amp;"、"))</f>
        <v/>
      </c>
      <c r="AM50" s="14" t="str">
        <f>IF(T50="","",IFERROR(INDEX('①名簿入力'!$C$4:$C$153,MATCH(T50,'①名簿入力'!$A$4:$A$153,0)),"?")&amp;IF(W50="","","("&amp;W50&amp;"組)"))</f>
        <v/>
      </c>
      <c r="AN50" s="14" t="str">
        <f>IF(U50="","",IFERROR(INDEX('①名簿入力'!$C$4:$C$153,MATCH(U50,'①名簿入力'!$A$4:$A$153,0)),"?")&amp;IF(X50="","","("&amp;X50&amp;"組)"))</f>
        <v/>
      </c>
      <c r="AO50" s="14" t="str">
        <f>IF(V50="","",IFERROR(INDEX('①名簿入力'!$C$4:$C$153,MATCH(V50,'①名簿入力'!$A$4:$A$153,0)),"?")&amp;IF(Y50="","","("&amp;Y50&amp;"組)"))</f>
        <v>吉田　陽翔(1組)</v>
      </c>
      <c r="AP50" s="14">
        <f>IF(G50="男",1,IF(G50="女",2,3))</f>
        <v>2</v>
      </c>
      <c r="AQ50" s="14">
        <f>IF(OR(S50="",E50=""),"",IFERROR(IF('③クラス一覧'!$AD$6="番号順",0,AP50*1000000000)+D50,""))</f>
        <v>2000002207</v>
      </c>
      <c r="AR50" s="14">
        <f>IF(AQ50="","",COUNTIFS($E$9:$E$158,E50,$AQ$9:$AQ$158,"&lt;"&amp;AQ50)+1)</f>
        <v>26</v>
      </c>
      <c r="AS50" s="14" t="str">
        <f>IF(AR50="","",E50&amp;"-"&amp;AR50)</f>
        <v>1-26</v>
      </c>
      <c r="AT50" s="14">
        <f>IF(S50="","",IF(INDEX('①名簿入力'!$F$4:$F$153,S50)="","",INDEX('①名簿入力'!$F$4:$F$153,S50)))</f>
        <v>56</v>
      </c>
      <c r="AU50" s="14">
        <f>IF(S50="","",IF(INDEX('①名簿入力'!$G$4:$G$153,S50)="","",INDEX('①名簿入力'!$G$4:$G$153,S50)))</f>
        <v>30</v>
      </c>
      <c r="AV50" s="14">
        <f>IF(S50="","",IF(INDEX('①名簿入力'!$H$4:$H$153,S50)="","",INDEX('①名簿入力'!$H$4:$H$153,S50)))</f>
        <v>54</v>
      </c>
      <c r="AW50" s="14">
        <f>IF(S50="","",IF(INDEX('①名簿入力'!$I$4:$I$153,S50)="","",INDEX('①名簿入力'!$I$4:$I$153,S50)))</f>
        <v>57</v>
      </c>
      <c r="AX50" s="14">
        <f>IF(S50="","",IF(INDEX('①名簿入力'!$J$4:$J$153,S50)="","",INDEX('①名簿入力'!$J$4:$J$153,S50)))</f>
        <v>43</v>
      </c>
    </row>
    <row r="51">
      <c r="A51" s="23">
        <f>IF('①名簿入力'!A46="","",'①名簿入力'!A46)</f>
        <v>2208</v>
      </c>
      <c r="B51" s="23">
        <f>IF(A51="","",'①名簿入力'!U46)</f>
        <v>2</v>
      </c>
      <c r="D51" s="8" t="n">
        <v>2208</v>
      </c>
      <c r="E51" s="24" t="n">
        <v>2</v>
      </c>
      <c r="F51" s="25" t="str">
        <f>IF(D51="","",IF(S51="","（名簿にない番号）",INDEX('①名簿入力'!$C$4:$C$153,S51)&amp;""))</f>
        <v>江口　美桜</v>
      </c>
      <c r="G51" s="13" t="str">
        <f>IF(S51="","",INDEX('①名簿入力'!$E$4:$E$153,S51)&amp;"")</f>
        <v>女</v>
      </c>
      <c r="H51" s="13">
        <f>IF(S51="","",IF(INDEX('①名簿入力'!$B$4:$B$153,S51)="","",INDEX('①名簿入力'!$B$4:$B$153,S51)))</f>
        <v>2</v>
      </c>
      <c r="I51" s="10">
        <f>IF(S51="","",IF(INDEX('①名簿入力'!$K$4:$K$153,S51)="","",INDEX('①名簿入力'!$K$4:$K$153,S51)))</f>
        <v>80</v>
      </c>
      <c r="J51" s="10">
        <f>IF(S51="","",IF(INDEX('①名簿入力'!$L$4:$L$153,S51)="","",INDEX('①名簿入力'!$L$4:$L$153,S51)))</f>
        <v>8.7</v>
      </c>
      <c r="K51" s="13" t="str">
        <f>IF(S51="","",IF(INDEX('①名簿入力'!$Y$4:$Y$153,S51)=1,"〇",""))</f>
        <v/>
      </c>
      <c r="L51" s="13" t="str">
        <f>IF(S51="","",IF(INDEX('①名簿入力'!$Z$4:$Z$153,S51)=1,"〇",""))</f>
        <v/>
      </c>
      <c r="M51" s="13" t="str">
        <f>IF(S51="","",IF(INDEX('①名簿入力'!$AA$4:$AA$153,S51)=1,"〇",""))</f>
        <v/>
      </c>
      <c r="N51" s="13" t="str">
        <f>IF(S51="","",IF(INDEX('①名簿入力'!$AB$4:$AB$153,S51)=1,"〇",""))</f>
        <v/>
      </c>
      <c r="O51" s="25" t="str">
        <f>AM51&amp;IF(AND(AM51&lt;&gt;"",AN51&lt;&gt;""),"、","")&amp;AN51&amp;IF(AND(AM51&amp;AN51&lt;&gt;"",AO51&lt;&gt;""),"、","")&amp;AO51</f>
        <v/>
      </c>
      <c r="P51" s="25" t="str">
        <f>IF(AG51=0,"",IF(AK51&amp;AL51="","⚠",LEFT(AK51&amp;AL51,LEN(AK51&amp;AL51)-1)))</f>
        <v/>
      </c>
      <c r="Q51" s="25" t="str">
        <f>IF(S51="","",INDEX('①名簿入力'!$T$4:$T$153,S51)&amp;"")</f>
        <v/>
      </c>
      <c r="S51" s="14">
        <f>IF(D51="","",IFERROR(MATCH(D51,'①名簿入力'!$A$4:$A$153,0),""))</f>
        <v>43</v>
      </c>
      <c r="T51" s="14" t="str">
        <f>IF(S51="","",IF(INDEX('①名簿入力'!$AG$4:$AG$153,S51)=D51,"",INDEX('①名簿入力'!$AG$4:$AG$153,S51)))</f>
        <v/>
      </c>
      <c r="U51" s="14" t="str">
        <f>IF(S51="","",IF(INDEX('①名簿入力'!$AH$4:$AH$153,S51)=D51,"",INDEX('①名簿入力'!$AH$4:$AH$153,S51)))</f>
        <v/>
      </c>
      <c r="V51" s="14" t="str">
        <f>IF(S51="","",IF(INDEX('①名簿入力'!$AI$4:$AI$153,S51)=D51,"",INDEX('①名簿入力'!$AI$4:$AI$153,S51)))</f>
        <v/>
      </c>
      <c r="W51" s="14" t="str">
        <f>IF(T51="","",IFERROR(IF(INDEX($E$9:$E$158,MATCH(T51,$D$9:$D$158,0))="","",INDEX($E$9:$E$158,MATCH(T51,$D$9:$D$158,0))),""))</f>
        <v/>
      </c>
      <c r="X51" s="14" t="str">
        <f>IF(U51="","",IFERROR(IF(INDEX($E$9:$E$158,MATCH(U51,$D$9:$D$158,0))="","",INDEX($E$9:$E$158,MATCH(U51,$D$9:$D$158,0))),""))</f>
        <v/>
      </c>
      <c r="Y51" s="14" t="str">
        <f>IF(V51="","",IFERROR(IF(INDEX($E$9:$E$158,MATCH(V51,$D$9:$D$158,0))="","",INDEX($E$9:$E$158,MATCH(V51,$D$9:$D$158,0))),""))</f>
        <v/>
      </c>
      <c r="Z51" s="14">
        <f>IF(AND(T51&lt;&gt;"",W51&lt;&gt;"",E51&lt;&gt;""),IF(W51=E51,1,0),0)</f>
        <v>0</v>
      </c>
      <c r="AA51" s="14">
        <f>IF(AND(U51&lt;&gt;"",X51&lt;&gt;"",E51&lt;&gt;""),IF(X51=E51,1,0),0)</f>
        <v>0</v>
      </c>
      <c r="AB51" s="14">
        <f>IF(AND(V51&lt;&gt;"",Y51&lt;&gt;"",E51&lt;&gt;""),IF(Y51=E51,1,0),0)</f>
        <v>0</v>
      </c>
      <c r="AC51" s="14" t="str">
        <f>IF(OR(T51="",E51=""),"",T51&amp;"|"&amp;E51)</f>
        <v/>
      </c>
      <c r="AD51" s="14" t="str">
        <f>IF(OR(U51="",E51=""),"",U51&amp;"|"&amp;E51)</f>
        <v/>
      </c>
      <c r="AE51" s="14" t="str">
        <f>IF(OR(V51="",E51=""),"",V51&amp;"|"&amp;E51)</f>
        <v/>
      </c>
      <c r="AF51" s="14">
        <f>IF(OR(D51="",E51=""),0,COUNTIF($AC$9:$AC$158,D51&amp;"|"&amp;E51)+COUNTIF($AD$9:$AD$158,D51&amp;"|"&amp;E51)+COUNTIF($AE$9:$AE$158,D51&amp;"|"&amp;E51))</f>
        <v>0</v>
      </c>
      <c r="AG51" s="14">
        <f>Z51+AA51+AB51+AF51</f>
        <v>0</v>
      </c>
      <c r="AH51" s="14" t="str">
        <f>IF(OR(D51="",E51=""),"",IFERROR(MATCH(D51&amp;"|"&amp;E51,$AC$9:$AC$158,0),""))</f>
        <v/>
      </c>
      <c r="AI51" s="14" t="str">
        <f>IF(OR(D51="",E51=""),"",IFERROR(MATCH(D51&amp;"|"&amp;E51,$AD$9:$AD$158,0),""))</f>
        <v/>
      </c>
      <c r="AJ51" s="14" t="str">
        <f>IF(OR(D51="",E51=""),"",IFERROR(MATCH(D51&amp;"|"&amp;E51,$AE$9:$AE$158,0),""))</f>
        <v/>
      </c>
      <c r="AK51" s="14" t="str">
        <f>IF(Z51=1,IFERROR(INDEX($F$9:$F$158,MATCH(T51,$D$9:$D$158,0)),"")&amp;"、","")&amp;IF(AA51=1,IFERROR(INDEX($F$9:$F$158,MATCH(U51,$D$9:$D$158,0)),"")&amp;"、","")&amp;IF(AB51=1,IFERROR(INDEX($F$9:$F$158,MATCH(V51,$D$9:$D$158,0)),"")&amp;"、","")</f>
        <v/>
      </c>
      <c r="AL51" s="14" t="str">
        <f>IF(OR(AH51=""),"",IF(OR(INDEX($D$9:$D$158,AH51)=T51,INDEX($D$9:$D$158,AH51)=U51,INDEX($D$9:$D$158,AH51)=V51),"",INDEX($F$9:$F$158,AH51)&amp;"、"))&amp;IF(OR(AI51="",AI51=AH51),"",IF(OR(INDEX($D$9:$D$158,AI51)=T51,INDEX($D$9:$D$158,AI51)=U51,INDEX($D$9:$D$158,AI51)=V51),"",INDEX($F$9:$F$158,AI51)&amp;"、"))&amp;IF(OR(AJ51="",AJ51=AH51,AJ51=AI51),"",IF(OR(INDEX($D$9:$D$158,AJ51)=T51,INDEX($D$9:$D$158,AJ51)=U51,INDEX($D$9:$D$158,AJ51)=V51),"",INDEX($F$9:$F$158,AJ51)&amp;"、"))</f>
        <v/>
      </c>
      <c r="AM51" s="14" t="str">
        <f>IF(T51="","",IFERROR(INDEX('①名簿入力'!$C$4:$C$153,MATCH(T51,'①名簿入力'!$A$4:$A$153,0)),"?")&amp;IF(W51="","","("&amp;W51&amp;"組)"))</f>
        <v/>
      </c>
      <c r="AN51" s="14" t="str">
        <f>IF(U51="","",IFERROR(INDEX('①名簿入力'!$C$4:$C$153,MATCH(U51,'①名簿入力'!$A$4:$A$153,0)),"?")&amp;IF(X51="","","("&amp;X51&amp;"組)"))</f>
        <v/>
      </c>
      <c r="AO51" s="14" t="str">
        <f>IF(V51="","",IFERROR(INDEX('①名簿入力'!$C$4:$C$153,MATCH(V51,'①名簿入力'!$A$4:$A$153,0)),"?")&amp;IF(Y51="","","("&amp;Y51&amp;"組)"))</f>
        <v/>
      </c>
      <c r="AP51" s="14">
        <f>IF(G51="男",1,IF(G51="女",2,3))</f>
        <v>2</v>
      </c>
      <c r="AQ51" s="14">
        <f>IF(OR(S51="",E51=""),"",IFERROR(IF('③クラス一覧'!$AD$6="番号順",0,AP51*1000000000)+D51,""))</f>
        <v>2000002208</v>
      </c>
      <c r="AR51" s="14">
        <f>IF(AQ51="","",COUNTIFS($E$9:$E$158,E51,$AQ$9:$AQ$158,"&lt;"&amp;AQ51)+1)</f>
        <v>27</v>
      </c>
      <c r="AS51" s="14" t="str">
        <f>IF(AR51="","",E51&amp;"-"&amp;AR51)</f>
        <v>2-27</v>
      </c>
      <c r="AT51" s="14">
        <f>IF(S51="","",IF(INDEX('①名簿入力'!$F$4:$F$153,S51)="","",INDEX('①名簿入力'!$F$4:$F$153,S51)))</f>
        <v>84</v>
      </c>
      <c r="AU51" s="14">
        <f>IF(S51="","",IF(INDEX('①名簿入力'!$G$4:$G$153,S51)="","",INDEX('①名簿入力'!$G$4:$G$153,S51)))</f>
        <v>76</v>
      </c>
      <c r="AV51" s="14">
        <f>IF(S51="","",IF(INDEX('①名簿入力'!$H$4:$H$153,S51)="","",INDEX('①名簿入力'!$H$4:$H$153,S51)))</f>
        <v>98</v>
      </c>
      <c r="AW51" s="14">
        <f>IF(S51="","",IF(INDEX('①名簿入力'!$I$4:$I$153,S51)="","",INDEX('①名簿入力'!$I$4:$I$153,S51)))</f>
        <v>70</v>
      </c>
      <c r="AX51" s="14">
        <f>IF(S51="","",IF(INDEX('①名簿入力'!$J$4:$J$153,S51)="","",INDEX('①名簿入力'!$J$4:$J$153,S51)))</f>
        <v>72</v>
      </c>
    </row>
    <row r="52">
      <c r="A52" s="23">
        <f>IF('①名簿入力'!A47="","",'①名簿入力'!A47)</f>
        <v>2209</v>
      </c>
      <c r="B52" s="23">
        <f>IF(A52="","",'①名簿入力'!U47)</f>
        <v>3</v>
      </c>
      <c r="D52" s="8" t="n">
        <v>2209</v>
      </c>
      <c r="E52" s="24" t="n">
        <v>3</v>
      </c>
      <c r="F52" s="25" t="str">
        <f>IF(D52="","",IF(S52="","（名簿にない番号）",INDEX('①名簿入力'!$C$4:$C$153,S52)&amp;""))</f>
        <v>遠藤　杏</v>
      </c>
      <c r="G52" s="13" t="str">
        <f>IF(S52="","",INDEX('①名簿入力'!$E$4:$E$153,S52)&amp;"")</f>
        <v>女</v>
      </c>
      <c r="H52" s="13">
        <f>IF(S52="","",IF(INDEX('①名簿入力'!$B$4:$B$153,S52)="","",INDEX('①名簿入力'!$B$4:$B$153,S52)))</f>
        <v>2</v>
      </c>
      <c r="I52" s="10">
        <f>IF(S52="","",IF(INDEX('①名簿入力'!$K$4:$K$153,S52)="","",INDEX('①名簿入力'!$K$4:$K$153,S52)))</f>
        <v>69.6</v>
      </c>
      <c r="J52" s="10">
        <f>IF(S52="","",IF(INDEX('①名簿入力'!$L$4:$L$153,S52)="","",INDEX('①名簿入力'!$L$4:$L$153,S52)))</f>
        <v>8.7</v>
      </c>
      <c r="K52" s="13" t="str">
        <f>IF(S52="","",IF(INDEX('①名簿入力'!$Y$4:$Y$153,S52)=1,"〇",""))</f>
        <v/>
      </c>
      <c r="L52" s="13" t="str">
        <f>IF(S52="","",IF(INDEX('①名簿入力'!$Z$4:$Z$153,S52)=1,"〇",""))</f>
        <v/>
      </c>
      <c r="M52" s="13" t="str">
        <f>IF(S52="","",IF(INDEX('①名簿入力'!$AA$4:$AA$153,S52)=1,"〇",""))</f>
        <v/>
      </c>
      <c r="N52" s="13" t="str">
        <f>IF(S52="","",IF(INDEX('①名簿入力'!$AB$4:$AB$153,S52)=1,"〇",""))</f>
        <v/>
      </c>
      <c r="O52" s="25" t="str">
        <f>AM52&amp;IF(AND(AM52&lt;&gt;"",AN52&lt;&gt;""),"、","")&amp;AN52&amp;IF(AND(AM52&amp;AN52&lt;&gt;"",AO52&lt;&gt;""),"、","")&amp;AO52</f>
        <v/>
      </c>
      <c r="P52" s="25" t="str">
        <f>IF(AG52=0,"",IF(AK52&amp;AL52="","⚠",LEFT(AK52&amp;AL52,LEN(AK52&amp;AL52)-1)))</f>
        <v/>
      </c>
      <c r="Q52" s="25" t="str">
        <f>IF(S52="","",INDEX('①名簿入力'!$T$4:$T$153,S52)&amp;"")</f>
        <v>部活：卓球</v>
      </c>
      <c r="S52" s="14">
        <f>IF(D52="","",IFERROR(MATCH(D52,'①名簿入力'!$A$4:$A$153,0),""))</f>
        <v>44</v>
      </c>
      <c r="T52" s="14" t="str">
        <f>IF(S52="","",IF(INDEX('①名簿入力'!$AG$4:$AG$153,S52)=D52,"",INDEX('①名簿入力'!$AG$4:$AG$153,S52)))</f>
        <v/>
      </c>
      <c r="U52" s="14" t="str">
        <f>IF(S52="","",IF(INDEX('①名簿入力'!$AH$4:$AH$153,S52)=D52,"",INDEX('①名簿入力'!$AH$4:$AH$153,S52)))</f>
        <v/>
      </c>
      <c r="V52" s="14" t="str">
        <f>IF(S52="","",IF(INDEX('①名簿入力'!$AI$4:$AI$153,S52)=D52,"",INDEX('①名簿入力'!$AI$4:$AI$153,S52)))</f>
        <v/>
      </c>
      <c r="W52" s="14" t="str">
        <f>IF(T52="","",IFERROR(IF(INDEX($E$9:$E$158,MATCH(T52,$D$9:$D$158,0))="","",INDEX($E$9:$E$158,MATCH(T52,$D$9:$D$158,0))),""))</f>
        <v/>
      </c>
      <c r="X52" s="14" t="str">
        <f>IF(U52="","",IFERROR(IF(INDEX($E$9:$E$158,MATCH(U52,$D$9:$D$158,0))="","",INDEX($E$9:$E$158,MATCH(U52,$D$9:$D$158,0))),""))</f>
        <v/>
      </c>
      <c r="Y52" s="14" t="str">
        <f>IF(V52="","",IFERROR(IF(INDEX($E$9:$E$158,MATCH(V52,$D$9:$D$158,0))="","",INDEX($E$9:$E$158,MATCH(V52,$D$9:$D$158,0))),""))</f>
        <v/>
      </c>
      <c r="Z52" s="14">
        <f>IF(AND(T52&lt;&gt;"",W52&lt;&gt;"",E52&lt;&gt;""),IF(W52=E52,1,0),0)</f>
        <v>0</v>
      </c>
      <c r="AA52" s="14">
        <f>IF(AND(U52&lt;&gt;"",X52&lt;&gt;"",E52&lt;&gt;""),IF(X52=E52,1,0),0)</f>
        <v>0</v>
      </c>
      <c r="AB52" s="14">
        <f>IF(AND(V52&lt;&gt;"",Y52&lt;&gt;"",E52&lt;&gt;""),IF(Y52=E52,1,0),0)</f>
        <v>0</v>
      </c>
      <c r="AC52" s="14" t="str">
        <f>IF(OR(T52="",E52=""),"",T52&amp;"|"&amp;E52)</f>
        <v/>
      </c>
      <c r="AD52" s="14" t="str">
        <f>IF(OR(U52="",E52=""),"",U52&amp;"|"&amp;E52)</f>
        <v/>
      </c>
      <c r="AE52" s="14" t="str">
        <f>IF(OR(V52="",E52=""),"",V52&amp;"|"&amp;E52)</f>
        <v/>
      </c>
      <c r="AF52" s="14">
        <f>IF(OR(D52="",E52=""),0,COUNTIF($AC$9:$AC$158,D52&amp;"|"&amp;E52)+COUNTIF($AD$9:$AD$158,D52&amp;"|"&amp;E52)+COUNTIF($AE$9:$AE$158,D52&amp;"|"&amp;E52))</f>
        <v>0</v>
      </c>
      <c r="AG52" s="14">
        <f>Z52+AA52+AB52+AF52</f>
        <v>0</v>
      </c>
      <c r="AH52" s="14" t="str">
        <f>IF(OR(D52="",E52=""),"",IFERROR(MATCH(D52&amp;"|"&amp;E52,$AC$9:$AC$158,0),""))</f>
        <v/>
      </c>
      <c r="AI52" s="14" t="str">
        <f>IF(OR(D52="",E52=""),"",IFERROR(MATCH(D52&amp;"|"&amp;E52,$AD$9:$AD$158,0),""))</f>
        <v/>
      </c>
      <c r="AJ52" s="14" t="str">
        <f>IF(OR(D52="",E52=""),"",IFERROR(MATCH(D52&amp;"|"&amp;E52,$AE$9:$AE$158,0),""))</f>
        <v/>
      </c>
      <c r="AK52" s="14" t="str">
        <f>IF(Z52=1,IFERROR(INDEX($F$9:$F$158,MATCH(T52,$D$9:$D$158,0)),"")&amp;"、","")&amp;IF(AA52=1,IFERROR(INDEX($F$9:$F$158,MATCH(U52,$D$9:$D$158,0)),"")&amp;"、","")&amp;IF(AB52=1,IFERROR(INDEX($F$9:$F$158,MATCH(V52,$D$9:$D$158,0)),"")&amp;"、","")</f>
        <v/>
      </c>
      <c r="AL52" s="14" t="str">
        <f>IF(OR(AH52=""),"",IF(OR(INDEX($D$9:$D$158,AH52)=T52,INDEX($D$9:$D$158,AH52)=U52,INDEX($D$9:$D$158,AH52)=V52),"",INDEX($F$9:$F$158,AH52)&amp;"、"))&amp;IF(OR(AI52="",AI52=AH52),"",IF(OR(INDEX($D$9:$D$158,AI52)=T52,INDEX($D$9:$D$158,AI52)=U52,INDEX($D$9:$D$158,AI52)=V52),"",INDEX($F$9:$F$158,AI52)&amp;"、"))&amp;IF(OR(AJ52="",AJ52=AH52,AJ52=AI52),"",IF(OR(INDEX($D$9:$D$158,AJ52)=T52,INDEX($D$9:$D$158,AJ52)=U52,INDEX($D$9:$D$158,AJ52)=V52),"",INDEX($F$9:$F$158,AJ52)&amp;"、"))</f>
        <v/>
      </c>
      <c r="AM52" s="14" t="str">
        <f>IF(T52="","",IFERROR(INDEX('①名簿入力'!$C$4:$C$153,MATCH(T52,'①名簿入力'!$A$4:$A$153,0)),"?")&amp;IF(W52="","","("&amp;W52&amp;"組)"))</f>
        <v/>
      </c>
      <c r="AN52" s="14" t="str">
        <f>IF(U52="","",IFERROR(INDEX('①名簿入力'!$C$4:$C$153,MATCH(U52,'①名簿入力'!$A$4:$A$153,0)),"?")&amp;IF(X52="","","("&amp;X52&amp;"組)"))</f>
        <v/>
      </c>
      <c r="AO52" s="14" t="str">
        <f>IF(V52="","",IFERROR(INDEX('①名簿入力'!$C$4:$C$153,MATCH(V52,'①名簿入力'!$A$4:$A$153,0)),"?")&amp;IF(Y52="","","("&amp;Y52&amp;"組)"))</f>
        <v/>
      </c>
      <c r="AP52" s="14">
        <f>IF(G52="男",1,IF(G52="女",2,3))</f>
        <v>2</v>
      </c>
      <c r="AQ52" s="14">
        <f>IF(OR(S52="",E52=""),"",IFERROR(IF('③クラス一覧'!$AD$6="番号順",0,AP52*1000000000)+D52,""))</f>
        <v>2000002209</v>
      </c>
      <c r="AR52" s="14">
        <f>IF(AQ52="","",COUNTIFS($E$9:$E$158,E52,$AQ$9:$AQ$158,"&lt;"&amp;AQ52)+1)</f>
        <v>25</v>
      </c>
      <c r="AS52" s="14" t="str">
        <f>IF(AR52="","",E52&amp;"-"&amp;AR52)</f>
        <v>3-25</v>
      </c>
      <c r="AT52" s="14">
        <f>IF(S52="","",IF(INDEX('①名簿入力'!$F$4:$F$153,S52)="","",INDEX('①名簿入力'!$F$4:$F$153,S52)))</f>
        <v>72</v>
      </c>
      <c r="AU52" s="14">
        <f>IF(S52="","",IF(INDEX('①名簿入力'!$G$4:$G$153,S52)="","",INDEX('①名簿入力'!$G$4:$G$153,S52)))</f>
        <v>65</v>
      </c>
      <c r="AV52" s="14">
        <f>IF(S52="","",IF(INDEX('①名簿入力'!$H$4:$H$153,S52)="","",INDEX('①名簿入力'!$H$4:$H$153,S52)))</f>
        <v>73</v>
      </c>
      <c r="AW52" s="14">
        <f>IF(S52="","",IF(INDEX('①名簿入力'!$I$4:$I$153,S52)="","",INDEX('①名簿入力'!$I$4:$I$153,S52)))</f>
        <v>69</v>
      </c>
      <c r="AX52" s="14">
        <f>IF(S52="","",IF(INDEX('①名簿入力'!$J$4:$J$153,S52)="","",INDEX('①名簿入力'!$J$4:$J$153,S52)))</f>
        <v>69</v>
      </c>
    </row>
    <row r="53">
      <c r="A53" s="23">
        <f>IF('①名簿入力'!A48="","",'①名簿入力'!A48)</f>
        <v>2210</v>
      </c>
      <c r="B53" s="23">
        <f>IF(A53="","",'①名簿入力'!U48)</f>
        <v>1</v>
      </c>
      <c r="D53" s="8" t="n">
        <v>2210</v>
      </c>
      <c r="E53" s="24" t="n">
        <v>1</v>
      </c>
      <c r="F53" s="25" t="str">
        <f>IF(D53="","",IF(S53="","（名簿にない番号）",INDEX('①名簿入力'!$C$4:$C$153,S53)&amp;""))</f>
        <v>岡田　樹</v>
      </c>
      <c r="G53" s="13" t="str">
        <f>IF(S53="","",INDEX('①名簿入力'!$E$4:$E$153,S53)&amp;"")</f>
        <v>男</v>
      </c>
      <c r="H53" s="13">
        <f>IF(S53="","",IF(INDEX('①名簿入力'!$B$4:$B$153,S53)="","",INDEX('①名簿入力'!$B$4:$B$153,S53)))</f>
        <v>2</v>
      </c>
      <c r="I53" s="10">
        <f>IF(S53="","",IF(INDEX('①名簿入力'!$K$4:$K$153,S53)="","",INDEX('①名簿入力'!$K$4:$K$153,S53)))</f>
        <v>53</v>
      </c>
      <c r="J53" s="10">
        <f>IF(S53="","",IF(INDEX('①名簿入力'!$L$4:$L$153,S53)="","",INDEX('①名簿入力'!$L$4:$L$153,S53)))</f>
        <v>6.8</v>
      </c>
      <c r="K53" s="13" t="str">
        <f>IF(S53="","",IF(INDEX('①名簿入力'!$Y$4:$Y$153,S53)=1,"〇",""))</f>
        <v/>
      </c>
      <c r="L53" s="13" t="str">
        <f>IF(S53="","",IF(INDEX('①名簿入力'!$Z$4:$Z$153,S53)=1,"〇",""))</f>
        <v>〇</v>
      </c>
      <c r="M53" s="13" t="str">
        <f>IF(S53="","",IF(INDEX('①名簿入力'!$AA$4:$AA$153,S53)=1,"〇",""))</f>
        <v/>
      </c>
      <c r="N53" s="13" t="str">
        <f>IF(S53="","",IF(INDEX('①名簿入力'!$AB$4:$AB$153,S53)=1,"〇",""))</f>
        <v/>
      </c>
      <c r="O53" s="25" t="str">
        <f>AM53&amp;IF(AND(AM53&lt;&gt;"",AN53&lt;&gt;""),"、","")&amp;AN53&amp;IF(AND(AM53&amp;AN53&lt;&gt;"",AO53&lt;&gt;""),"、","")&amp;AO53</f>
        <v/>
      </c>
      <c r="P53" s="25" t="str">
        <f>IF(AG53=0,"",IF(AK53&amp;AL53="","⚠",LEFT(AK53&amp;AL53,LEN(AK53&amp;AL53)-1)))</f>
        <v/>
      </c>
      <c r="Q53" s="25" t="str">
        <f>IF(S53="","",INDEX('①名簿入力'!$T$4:$T$153,S53)&amp;"")</f>
        <v/>
      </c>
      <c r="S53" s="14">
        <f>IF(D53="","",IFERROR(MATCH(D53,'①名簿入力'!$A$4:$A$153,0),""))</f>
        <v>45</v>
      </c>
      <c r="T53" s="14" t="str">
        <f>IF(S53="","",IF(INDEX('①名簿入力'!$AG$4:$AG$153,S53)=D53,"",INDEX('①名簿入力'!$AG$4:$AG$153,S53)))</f>
        <v/>
      </c>
      <c r="U53" s="14" t="str">
        <f>IF(S53="","",IF(INDEX('①名簿入力'!$AH$4:$AH$153,S53)=D53,"",INDEX('①名簿入力'!$AH$4:$AH$153,S53)))</f>
        <v/>
      </c>
      <c r="V53" s="14" t="str">
        <f>IF(S53="","",IF(INDEX('①名簿入力'!$AI$4:$AI$153,S53)=D53,"",INDEX('①名簿入力'!$AI$4:$AI$153,S53)))</f>
        <v/>
      </c>
      <c r="W53" s="14" t="str">
        <f>IF(T53="","",IFERROR(IF(INDEX($E$9:$E$158,MATCH(T53,$D$9:$D$158,0))="","",INDEX($E$9:$E$158,MATCH(T53,$D$9:$D$158,0))),""))</f>
        <v/>
      </c>
      <c r="X53" s="14" t="str">
        <f>IF(U53="","",IFERROR(IF(INDEX($E$9:$E$158,MATCH(U53,$D$9:$D$158,0))="","",INDEX($E$9:$E$158,MATCH(U53,$D$9:$D$158,0))),""))</f>
        <v/>
      </c>
      <c r="Y53" s="14" t="str">
        <f>IF(V53="","",IFERROR(IF(INDEX($E$9:$E$158,MATCH(V53,$D$9:$D$158,0))="","",INDEX($E$9:$E$158,MATCH(V53,$D$9:$D$158,0))),""))</f>
        <v/>
      </c>
      <c r="Z53" s="14">
        <f>IF(AND(T53&lt;&gt;"",W53&lt;&gt;"",E53&lt;&gt;""),IF(W53=E53,1,0),0)</f>
        <v>0</v>
      </c>
      <c r="AA53" s="14">
        <f>IF(AND(U53&lt;&gt;"",X53&lt;&gt;"",E53&lt;&gt;""),IF(X53=E53,1,0),0)</f>
        <v>0</v>
      </c>
      <c r="AB53" s="14">
        <f>IF(AND(V53&lt;&gt;"",Y53&lt;&gt;"",E53&lt;&gt;""),IF(Y53=E53,1,0),0)</f>
        <v>0</v>
      </c>
      <c r="AC53" s="14" t="str">
        <f>IF(OR(T53="",E53=""),"",T53&amp;"|"&amp;E53)</f>
        <v/>
      </c>
      <c r="AD53" s="14" t="str">
        <f>IF(OR(U53="",E53=""),"",U53&amp;"|"&amp;E53)</f>
        <v/>
      </c>
      <c r="AE53" s="14" t="str">
        <f>IF(OR(V53="",E53=""),"",V53&amp;"|"&amp;E53)</f>
        <v/>
      </c>
      <c r="AF53" s="14">
        <f>IF(OR(D53="",E53=""),0,COUNTIF($AC$9:$AC$158,D53&amp;"|"&amp;E53)+COUNTIF($AD$9:$AD$158,D53&amp;"|"&amp;E53)+COUNTIF($AE$9:$AE$158,D53&amp;"|"&amp;E53))</f>
        <v>0</v>
      </c>
      <c r="AG53" s="14">
        <f>Z53+AA53+AB53+AF53</f>
        <v>0</v>
      </c>
      <c r="AH53" s="14" t="str">
        <f>IF(OR(D53="",E53=""),"",IFERROR(MATCH(D53&amp;"|"&amp;E53,$AC$9:$AC$158,0),""))</f>
        <v/>
      </c>
      <c r="AI53" s="14" t="str">
        <f>IF(OR(D53="",E53=""),"",IFERROR(MATCH(D53&amp;"|"&amp;E53,$AD$9:$AD$158,0),""))</f>
        <v/>
      </c>
      <c r="AJ53" s="14" t="str">
        <f>IF(OR(D53="",E53=""),"",IFERROR(MATCH(D53&amp;"|"&amp;E53,$AE$9:$AE$158,0),""))</f>
        <v/>
      </c>
      <c r="AK53" s="14" t="str">
        <f>IF(Z53=1,IFERROR(INDEX($F$9:$F$158,MATCH(T53,$D$9:$D$158,0)),"")&amp;"、","")&amp;IF(AA53=1,IFERROR(INDEX($F$9:$F$158,MATCH(U53,$D$9:$D$158,0)),"")&amp;"、","")&amp;IF(AB53=1,IFERROR(INDEX($F$9:$F$158,MATCH(V53,$D$9:$D$158,0)),"")&amp;"、","")</f>
        <v/>
      </c>
      <c r="AL53" s="14" t="str">
        <f>IF(OR(AH53=""),"",IF(OR(INDEX($D$9:$D$158,AH53)=T53,INDEX($D$9:$D$158,AH53)=U53,INDEX($D$9:$D$158,AH53)=V53),"",INDEX($F$9:$F$158,AH53)&amp;"、"))&amp;IF(OR(AI53="",AI53=AH53),"",IF(OR(INDEX($D$9:$D$158,AI53)=T53,INDEX($D$9:$D$158,AI53)=U53,INDEX($D$9:$D$158,AI53)=V53),"",INDEX($F$9:$F$158,AI53)&amp;"、"))&amp;IF(OR(AJ53="",AJ53=AH53,AJ53=AI53),"",IF(OR(INDEX($D$9:$D$158,AJ53)=T53,INDEX($D$9:$D$158,AJ53)=U53,INDEX($D$9:$D$158,AJ53)=V53),"",INDEX($F$9:$F$158,AJ53)&amp;"、"))</f>
        <v/>
      </c>
      <c r="AM53" s="14" t="str">
        <f>IF(T53="","",IFERROR(INDEX('①名簿入力'!$C$4:$C$153,MATCH(T53,'①名簿入力'!$A$4:$A$153,0)),"?")&amp;IF(W53="","","("&amp;W53&amp;"組)"))</f>
        <v/>
      </c>
      <c r="AN53" s="14" t="str">
        <f>IF(U53="","",IFERROR(INDEX('①名簿入力'!$C$4:$C$153,MATCH(U53,'①名簿入力'!$A$4:$A$153,0)),"?")&amp;IF(X53="","","("&amp;X53&amp;"組)"))</f>
        <v/>
      </c>
      <c r="AO53" s="14" t="str">
        <f>IF(V53="","",IFERROR(INDEX('①名簿入力'!$C$4:$C$153,MATCH(V53,'①名簿入力'!$A$4:$A$153,0)),"?")&amp;IF(Y53="","","("&amp;Y53&amp;"組)"))</f>
        <v/>
      </c>
      <c r="AP53" s="14">
        <f>IF(G53="男",1,IF(G53="女",2,3))</f>
        <v>1</v>
      </c>
      <c r="AQ53" s="14">
        <f>IF(OR(S53="",E53=""),"",IFERROR(IF('③クラス一覧'!$AD$6="番号順",0,AP53*1000000000)+D53,""))</f>
        <v>1000002210</v>
      </c>
      <c r="AR53" s="14">
        <f>IF(AQ53="","",COUNTIFS($E$9:$E$158,E53,$AQ$9:$AQ$158,"&lt;"&amp;AQ53)+1)</f>
        <v>8</v>
      </c>
      <c r="AS53" s="14" t="str">
        <f>IF(AR53="","",E53&amp;"-"&amp;AR53)</f>
        <v>1-8</v>
      </c>
      <c r="AT53" s="14">
        <f>IF(S53="","",IF(INDEX('①名簿入力'!$F$4:$F$153,S53)="","",INDEX('①名簿入力'!$F$4:$F$153,S53)))</f>
        <v>46</v>
      </c>
      <c r="AU53" s="14">
        <f>IF(S53="","",IF(INDEX('①名簿入力'!$G$4:$G$153,S53)="","",INDEX('①名簿入力'!$G$4:$G$153,S53)))</f>
        <v>61</v>
      </c>
      <c r="AV53" s="14">
        <f>IF(S53="","",IF(INDEX('①名簿入力'!$H$4:$H$153,S53)="","",INDEX('①名簿入力'!$H$4:$H$153,S53)))</f>
        <v>42</v>
      </c>
      <c r="AW53" s="14">
        <f>IF(S53="","",IF(INDEX('①名簿入力'!$I$4:$I$153,S53)="","",INDEX('①名簿入力'!$I$4:$I$153,S53)))</f>
        <v>68</v>
      </c>
      <c r="AX53" s="14">
        <f>IF(S53="","",IF(INDEX('①名簿入力'!$J$4:$J$153,S53)="","",INDEX('①名簿入力'!$J$4:$J$153,S53)))</f>
        <v>48</v>
      </c>
    </row>
    <row r="54">
      <c r="A54" s="23">
        <f>IF('①名簿入力'!A49="","",'①名簿入力'!A49)</f>
        <v>2211</v>
      </c>
      <c r="B54" s="23">
        <f>IF(A54="","",'①名簿入力'!U49)</f>
        <v>2</v>
      </c>
      <c r="D54" s="8" t="n">
        <v>2211</v>
      </c>
      <c r="E54" s="24" t="n">
        <v>2</v>
      </c>
      <c r="F54" s="25" t="str">
        <f>IF(D54="","",IF(S54="","（名簿にない番号）",INDEX('①名簿入力'!$C$4:$C$153,S54)&amp;""))</f>
        <v>小川　陽葵</v>
      </c>
      <c r="G54" s="13" t="str">
        <f>IF(S54="","",INDEX('①名簿入力'!$E$4:$E$153,S54)&amp;"")</f>
        <v>女</v>
      </c>
      <c r="H54" s="13">
        <f>IF(S54="","",IF(INDEX('①名簿入力'!$B$4:$B$153,S54)="","",INDEX('①名簿入力'!$B$4:$B$153,S54)))</f>
        <v>2</v>
      </c>
      <c r="I54" s="10">
        <f>IF(S54="","",IF(INDEX('①名簿入力'!$K$4:$K$153,S54)="","",INDEX('①名簿入力'!$K$4:$K$153,S54)))</f>
        <v>47.2</v>
      </c>
      <c r="J54" s="10">
        <f>IF(S54="","",IF(INDEX('①名簿入力'!$L$4:$L$153,S54)="","",INDEX('①名簿入力'!$L$4:$L$153,S54)))</f>
        <v>8.8</v>
      </c>
      <c r="K54" s="13" t="str">
        <f>IF(S54="","",IF(INDEX('①名簿入力'!$Y$4:$Y$153,S54)=1,"〇",""))</f>
        <v>〇</v>
      </c>
      <c r="L54" s="13" t="str">
        <f>IF(S54="","",IF(INDEX('①名簿入力'!$Z$4:$Z$153,S54)=1,"〇",""))</f>
        <v/>
      </c>
      <c r="M54" s="13" t="str">
        <f>IF(S54="","",IF(INDEX('①名簿入力'!$AA$4:$AA$153,S54)=1,"〇",""))</f>
        <v/>
      </c>
      <c r="N54" s="13" t="str">
        <f>IF(S54="","",IF(INDEX('①名簿入力'!$AB$4:$AB$153,S54)=1,"〇",""))</f>
        <v/>
      </c>
      <c r="O54" s="25" t="str">
        <f>AM54&amp;IF(AND(AM54&lt;&gt;"",AN54&lt;&gt;""),"、","")&amp;AN54&amp;IF(AND(AM54&amp;AN54&lt;&gt;"",AO54&lt;&gt;""),"、","")&amp;AO54</f>
        <v/>
      </c>
      <c r="P54" s="25" t="str">
        <f>IF(AG54=0,"",IF(AK54&amp;AL54="","⚠",LEFT(AK54&amp;AL54,LEN(AK54&amp;AL54)-1)))</f>
        <v/>
      </c>
      <c r="Q54" s="25" t="str">
        <f>IF(S54="","",INDEX('①名簿入力'!$T$4:$T$153,S54)&amp;"")</f>
        <v/>
      </c>
      <c r="S54" s="14">
        <f>IF(D54="","",IFERROR(MATCH(D54,'①名簿入力'!$A$4:$A$153,0),""))</f>
        <v>46</v>
      </c>
      <c r="T54" s="14" t="str">
        <f>IF(S54="","",IF(INDEX('①名簿入力'!$AG$4:$AG$153,S54)=D54,"",INDEX('①名簿入力'!$AG$4:$AG$153,S54)))</f>
        <v/>
      </c>
      <c r="U54" s="14" t="str">
        <f>IF(S54="","",IF(INDEX('①名簿入力'!$AH$4:$AH$153,S54)=D54,"",INDEX('①名簿入力'!$AH$4:$AH$153,S54)))</f>
        <v/>
      </c>
      <c r="V54" s="14" t="str">
        <f>IF(S54="","",IF(INDEX('①名簿入力'!$AI$4:$AI$153,S54)=D54,"",INDEX('①名簿入力'!$AI$4:$AI$153,S54)))</f>
        <v/>
      </c>
      <c r="W54" s="14" t="str">
        <f>IF(T54="","",IFERROR(IF(INDEX($E$9:$E$158,MATCH(T54,$D$9:$D$158,0))="","",INDEX($E$9:$E$158,MATCH(T54,$D$9:$D$158,0))),""))</f>
        <v/>
      </c>
      <c r="X54" s="14" t="str">
        <f>IF(U54="","",IFERROR(IF(INDEX($E$9:$E$158,MATCH(U54,$D$9:$D$158,0))="","",INDEX($E$9:$E$158,MATCH(U54,$D$9:$D$158,0))),""))</f>
        <v/>
      </c>
      <c r="Y54" s="14" t="str">
        <f>IF(V54="","",IFERROR(IF(INDEX($E$9:$E$158,MATCH(V54,$D$9:$D$158,0))="","",INDEX($E$9:$E$158,MATCH(V54,$D$9:$D$158,0))),""))</f>
        <v/>
      </c>
      <c r="Z54" s="14">
        <f>IF(AND(T54&lt;&gt;"",W54&lt;&gt;"",E54&lt;&gt;""),IF(W54=E54,1,0),0)</f>
        <v>0</v>
      </c>
      <c r="AA54" s="14">
        <f>IF(AND(U54&lt;&gt;"",X54&lt;&gt;"",E54&lt;&gt;""),IF(X54=E54,1,0),0)</f>
        <v>0</v>
      </c>
      <c r="AB54" s="14">
        <f>IF(AND(V54&lt;&gt;"",Y54&lt;&gt;"",E54&lt;&gt;""),IF(Y54=E54,1,0),0)</f>
        <v>0</v>
      </c>
      <c r="AC54" s="14" t="str">
        <f>IF(OR(T54="",E54=""),"",T54&amp;"|"&amp;E54)</f>
        <v/>
      </c>
      <c r="AD54" s="14" t="str">
        <f>IF(OR(U54="",E54=""),"",U54&amp;"|"&amp;E54)</f>
        <v/>
      </c>
      <c r="AE54" s="14" t="str">
        <f>IF(OR(V54="",E54=""),"",V54&amp;"|"&amp;E54)</f>
        <v/>
      </c>
      <c r="AF54" s="14">
        <f>IF(OR(D54="",E54=""),0,COUNTIF($AC$9:$AC$158,D54&amp;"|"&amp;E54)+COUNTIF($AD$9:$AD$158,D54&amp;"|"&amp;E54)+COUNTIF($AE$9:$AE$158,D54&amp;"|"&amp;E54))</f>
        <v>0</v>
      </c>
      <c r="AG54" s="14">
        <f>Z54+AA54+AB54+AF54</f>
        <v>0</v>
      </c>
      <c r="AH54" s="14" t="str">
        <f>IF(OR(D54="",E54=""),"",IFERROR(MATCH(D54&amp;"|"&amp;E54,$AC$9:$AC$158,0),""))</f>
        <v/>
      </c>
      <c r="AI54" s="14" t="str">
        <f>IF(OR(D54="",E54=""),"",IFERROR(MATCH(D54&amp;"|"&amp;E54,$AD$9:$AD$158,0),""))</f>
        <v/>
      </c>
      <c r="AJ54" s="14" t="str">
        <f>IF(OR(D54="",E54=""),"",IFERROR(MATCH(D54&amp;"|"&amp;E54,$AE$9:$AE$158,0),""))</f>
        <v/>
      </c>
      <c r="AK54" s="14" t="str">
        <f>IF(Z54=1,IFERROR(INDEX($F$9:$F$158,MATCH(T54,$D$9:$D$158,0)),"")&amp;"、","")&amp;IF(AA54=1,IFERROR(INDEX($F$9:$F$158,MATCH(U54,$D$9:$D$158,0)),"")&amp;"、","")&amp;IF(AB54=1,IFERROR(INDEX($F$9:$F$158,MATCH(V54,$D$9:$D$158,0)),"")&amp;"、","")</f>
        <v/>
      </c>
      <c r="AL54" s="14" t="str">
        <f>IF(OR(AH54=""),"",IF(OR(INDEX($D$9:$D$158,AH54)=T54,INDEX($D$9:$D$158,AH54)=U54,INDEX($D$9:$D$158,AH54)=V54),"",INDEX($F$9:$F$158,AH54)&amp;"、"))&amp;IF(OR(AI54="",AI54=AH54),"",IF(OR(INDEX($D$9:$D$158,AI54)=T54,INDEX($D$9:$D$158,AI54)=U54,INDEX($D$9:$D$158,AI54)=V54),"",INDEX($F$9:$F$158,AI54)&amp;"、"))&amp;IF(OR(AJ54="",AJ54=AH54,AJ54=AI54),"",IF(OR(INDEX($D$9:$D$158,AJ54)=T54,INDEX($D$9:$D$158,AJ54)=U54,INDEX($D$9:$D$158,AJ54)=V54),"",INDEX($F$9:$F$158,AJ54)&amp;"、"))</f>
        <v/>
      </c>
      <c r="AM54" s="14" t="str">
        <f>IF(T54="","",IFERROR(INDEX('①名簿入力'!$C$4:$C$153,MATCH(T54,'①名簿入力'!$A$4:$A$153,0)),"?")&amp;IF(W54="","","("&amp;W54&amp;"組)"))</f>
        <v/>
      </c>
      <c r="AN54" s="14" t="str">
        <f>IF(U54="","",IFERROR(INDEX('①名簿入力'!$C$4:$C$153,MATCH(U54,'①名簿入力'!$A$4:$A$153,0)),"?")&amp;IF(X54="","","("&amp;X54&amp;"組)"))</f>
        <v/>
      </c>
      <c r="AO54" s="14" t="str">
        <f>IF(V54="","",IFERROR(INDEX('①名簿入力'!$C$4:$C$153,MATCH(V54,'①名簿入力'!$A$4:$A$153,0)),"?")&amp;IF(Y54="","","("&amp;Y54&amp;"組)"))</f>
        <v/>
      </c>
      <c r="AP54" s="14">
        <f>IF(G54="男",1,IF(G54="女",2,3))</f>
        <v>2</v>
      </c>
      <c r="AQ54" s="14">
        <f>IF(OR(S54="",E54=""),"",IFERROR(IF('③クラス一覧'!$AD$6="番号順",0,AP54*1000000000)+D54,""))</f>
        <v>2000002211</v>
      </c>
      <c r="AR54" s="14">
        <f>IF(AQ54="","",COUNTIFS($E$9:$E$158,E54,$AQ$9:$AQ$158,"&lt;"&amp;AQ54)+1)</f>
        <v>28</v>
      </c>
      <c r="AS54" s="14" t="str">
        <f>IF(AR54="","",E54&amp;"-"&amp;AR54)</f>
        <v>2-28</v>
      </c>
      <c r="AT54" s="14">
        <f>IF(S54="","",IF(INDEX('①名簿入力'!$F$4:$F$153,S54)="","",INDEX('①名簿入力'!$F$4:$F$153,S54)))</f>
        <v>54</v>
      </c>
      <c r="AU54" s="14">
        <f>IF(S54="","",IF(INDEX('①名簿入力'!$G$4:$G$153,S54)="","",INDEX('①名簿入力'!$G$4:$G$153,S54)))</f>
        <v>42</v>
      </c>
      <c r="AV54" s="14">
        <f>IF(S54="","",IF(INDEX('①名簿入力'!$H$4:$H$153,S54)="","",INDEX('①名簿入力'!$H$4:$H$153,S54)))</f>
        <v>52</v>
      </c>
      <c r="AW54" s="14">
        <f>IF(S54="","",IF(INDEX('①名簿入力'!$I$4:$I$153,S54)="","",INDEX('①名簿入力'!$I$4:$I$153,S54)))</f>
        <v>37</v>
      </c>
      <c r="AX54" s="14">
        <f>IF(S54="","",IF(INDEX('①名簿入力'!$J$4:$J$153,S54)="","",INDEX('①名簿入力'!$J$4:$J$153,S54)))</f>
        <v>51</v>
      </c>
    </row>
    <row r="55">
      <c r="A55" s="23">
        <f>IF('①名簿入力'!A50="","",'①名簿入力'!A50)</f>
        <v>2212</v>
      </c>
      <c r="B55" s="23">
        <f>IF(A55="","",'①名簿入力'!U50)</f>
        <v>2</v>
      </c>
      <c r="D55" s="8" t="n">
        <v>2212</v>
      </c>
      <c r="E55" s="24" t="n">
        <v>2</v>
      </c>
      <c r="F55" s="25" t="str">
        <f>IF(D55="","",IF(S55="","（名簿にない番号）",INDEX('①名簿入力'!$C$4:$C$153,S55)&amp;""))</f>
        <v>小野　一輝</v>
      </c>
      <c r="G55" s="13" t="str">
        <f>IF(S55="","",INDEX('①名簿入力'!$E$4:$E$153,S55)&amp;"")</f>
        <v>男</v>
      </c>
      <c r="H55" s="13">
        <f>IF(S55="","",IF(INDEX('①名簿入力'!$B$4:$B$153,S55)="","",INDEX('①名簿入力'!$B$4:$B$153,S55)))</f>
        <v>2</v>
      </c>
      <c r="I55" s="10">
        <f>IF(S55="","",IF(INDEX('①名簿入力'!$K$4:$K$153,S55)="","",INDEX('①名簿入力'!$K$4:$K$153,S55)))</f>
        <v>73.8</v>
      </c>
      <c r="J55" s="10">
        <f>IF(S55="","",IF(INDEX('①名簿入力'!$L$4:$L$153,S55)="","",INDEX('①名簿入力'!$L$4:$L$153,S55)))</f>
        <v>7.8</v>
      </c>
      <c r="K55" s="13" t="str">
        <f>IF(S55="","",IF(INDEX('①名簿入力'!$Y$4:$Y$153,S55)=1,"〇",""))</f>
        <v/>
      </c>
      <c r="L55" s="13" t="str">
        <f>IF(S55="","",IF(INDEX('①名簿入力'!$Z$4:$Z$153,S55)=1,"〇",""))</f>
        <v/>
      </c>
      <c r="M55" s="13" t="str">
        <f>IF(S55="","",IF(INDEX('①名簿入力'!$AA$4:$AA$153,S55)=1,"〇",""))</f>
        <v/>
      </c>
      <c r="N55" s="13" t="str">
        <f>IF(S55="","",IF(INDEX('①名簿入力'!$AB$4:$AB$153,S55)=1,"〇",""))</f>
        <v/>
      </c>
      <c r="O55" s="25" t="str">
        <f>AM55&amp;IF(AND(AM55&lt;&gt;"",AN55&lt;&gt;""),"、","")&amp;AN55&amp;IF(AND(AM55&amp;AN55&lt;&gt;"",AO55&lt;&gt;""),"、","")&amp;AO55</f>
        <v/>
      </c>
      <c r="P55" s="25" t="str">
        <f>IF(AG55=0,"",IF(AK55&amp;AL55="","⚠",LEFT(AK55&amp;AL55,LEN(AK55&amp;AL55)-1)))</f>
        <v/>
      </c>
      <c r="Q55" s="25" t="str">
        <f>IF(S55="","",INDEX('①名簿入力'!$T$4:$T$153,S55)&amp;"")</f>
        <v/>
      </c>
      <c r="S55" s="14">
        <f>IF(D55="","",IFERROR(MATCH(D55,'①名簿入力'!$A$4:$A$153,0),""))</f>
        <v>47</v>
      </c>
      <c r="T55" s="14" t="str">
        <f>IF(S55="","",IF(INDEX('①名簿入力'!$AG$4:$AG$153,S55)=D55,"",INDEX('①名簿入力'!$AG$4:$AG$153,S55)))</f>
        <v/>
      </c>
      <c r="U55" s="14" t="str">
        <f>IF(S55="","",IF(INDEX('①名簿入力'!$AH$4:$AH$153,S55)=D55,"",INDEX('①名簿入力'!$AH$4:$AH$153,S55)))</f>
        <v/>
      </c>
      <c r="V55" s="14" t="str">
        <f>IF(S55="","",IF(INDEX('①名簿入力'!$AI$4:$AI$153,S55)=D55,"",INDEX('①名簿入力'!$AI$4:$AI$153,S55)))</f>
        <v/>
      </c>
      <c r="W55" s="14" t="str">
        <f>IF(T55="","",IFERROR(IF(INDEX($E$9:$E$158,MATCH(T55,$D$9:$D$158,0))="","",INDEX($E$9:$E$158,MATCH(T55,$D$9:$D$158,0))),""))</f>
        <v/>
      </c>
      <c r="X55" s="14" t="str">
        <f>IF(U55="","",IFERROR(IF(INDEX($E$9:$E$158,MATCH(U55,$D$9:$D$158,0))="","",INDEX($E$9:$E$158,MATCH(U55,$D$9:$D$158,0))),""))</f>
        <v/>
      </c>
      <c r="Y55" s="14" t="str">
        <f>IF(V55="","",IFERROR(IF(INDEX($E$9:$E$158,MATCH(V55,$D$9:$D$158,0))="","",INDEX($E$9:$E$158,MATCH(V55,$D$9:$D$158,0))),""))</f>
        <v/>
      </c>
      <c r="Z55" s="14">
        <f>IF(AND(T55&lt;&gt;"",W55&lt;&gt;"",E55&lt;&gt;""),IF(W55=E55,1,0),0)</f>
        <v>0</v>
      </c>
      <c r="AA55" s="14">
        <f>IF(AND(U55&lt;&gt;"",X55&lt;&gt;"",E55&lt;&gt;""),IF(X55=E55,1,0),0)</f>
        <v>0</v>
      </c>
      <c r="AB55" s="14">
        <f>IF(AND(V55&lt;&gt;"",Y55&lt;&gt;"",E55&lt;&gt;""),IF(Y55=E55,1,0),0)</f>
        <v>0</v>
      </c>
      <c r="AC55" s="14" t="str">
        <f>IF(OR(T55="",E55=""),"",T55&amp;"|"&amp;E55)</f>
        <v/>
      </c>
      <c r="AD55" s="14" t="str">
        <f>IF(OR(U55="",E55=""),"",U55&amp;"|"&amp;E55)</f>
        <v/>
      </c>
      <c r="AE55" s="14" t="str">
        <f>IF(OR(V55="",E55=""),"",V55&amp;"|"&amp;E55)</f>
        <v/>
      </c>
      <c r="AF55" s="14">
        <f>IF(OR(D55="",E55=""),0,COUNTIF($AC$9:$AC$158,D55&amp;"|"&amp;E55)+COUNTIF($AD$9:$AD$158,D55&amp;"|"&amp;E55)+COUNTIF($AE$9:$AE$158,D55&amp;"|"&amp;E55))</f>
        <v>0</v>
      </c>
      <c r="AG55" s="14">
        <f>Z55+AA55+AB55+AF55</f>
        <v>0</v>
      </c>
      <c r="AH55" s="14" t="str">
        <f>IF(OR(D55="",E55=""),"",IFERROR(MATCH(D55&amp;"|"&amp;E55,$AC$9:$AC$158,0),""))</f>
        <v/>
      </c>
      <c r="AI55" s="14" t="str">
        <f>IF(OR(D55="",E55=""),"",IFERROR(MATCH(D55&amp;"|"&amp;E55,$AD$9:$AD$158,0),""))</f>
        <v/>
      </c>
      <c r="AJ55" s="14" t="str">
        <f>IF(OR(D55="",E55=""),"",IFERROR(MATCH(D55&amp;"|"&amp;E55,$AE$9:$AE$158,0),""))</f>
        <v/>
      </c>
      <c r="AK55" s="14" t="str">
        <f>IF(Z55=1,IFERROR(INDEX($F$9:$F$158,MATCH(T55,$D$9:$D$158,0)),"")&amp;"、","")&amp;IF(AA55=1,IFERROR(INDEX($F$9:$F$158,MATCH(U55,$D$9:$D$158,0)),"")&amp;"、","")&amp;IF(AB55=1,IFERROR(INDEX($F$9:$F$158,MATCH(V55,$D$9:$D$158,0)),"")&amp;"、","")</f>
        <v/>
      </c>
      <c r="AL55" s="14" t="str">
        <f>IF(OR(AH55=""),"",IF(OR(INDEX($D$9:$D$158,AH55)=T55,INDEX($D$9:$D$158,AH55)=U55,INDEX($D$9:$D$158,AH55)=V55),"",INDEX($F$9:$F$158,AH55)&amp;"、"))&amp;IF(OR(AI55="",AI55=AH55),"",IF(OR(INDEX($D$9:$D$158,AI55)=T55,INDEX($D$9:$D$158,AI55)=U55,INDEX($D$9:$D$158,AI55)=V55),"",INDEX($F$9:$F$158,AI55)&amp;"、"))&amp;IF(OR(AJ55="",AJ55=AH55,AJ55=AI55),"",IF(OR(INDEX($D$9:$D$158,AJ55)=T55,INDEX($D$9:$D$158,AJ55)=U55,INDEX($D$9:$D$158,AJ55)=V55),"",INDEX($F$9:$F$158,AJ55)&amp;"、"))</f>
        <v/>
      </c>
      <c r="AM55" s="14" t="str">
        <f>IF(T55="","",IFERROR(INDEX('①名簿入力'!$C$4:$C$153,MATCH(T55,'①名簿入力'!$A$4:$A$153,0)),"?")&amp;IF(W55="","","("&amp;W55&amp;"組)"))</f>
        <v/>
      </c>
      <c r="AN55" s="14" t="str">
        <f>IF(U55="","",IFERROR(INDEX('①名簿入力'!$C$4:$C$153,MATCH(U55,'①名簿入力'!$A$4:$A$153,0)),"?")&amp;IF(X55="","","("&amp;X55&amp;"組)"))</f>
        <v/>
      </c>
      <c r="AO55" s="14" t="str">
        <f>IF(V55="","",IFERROR(INDEX('①名簿入力'!$C$4:$C$153,MATCH(V55,'①名簿入力'!$A$4:$A$153,0)),"?")&amp;IF(Y55="","","("&amp;Y55&amp;"組)"))</f>
        <v/>
      </c>
      <c r="AP55" s="14">
        <f>IF(G55="男",1,IF(G55="女",2,3))</f>
        <v>1</v>
      </c>
      <c r="AQ55" s="14">
        <f>IF(OR(S55="",E55=""),"",IFERROR(IF('③クラス一覧'!$AD$6="番号順",0,AP55*1000000000)+D55,""))</f>
        <v>1000002212</v>
      </c>
      <c r="AR55" s="14">
        <f>IF(AQ55="","",COUNTIFS($E$9:$E$158,E55,$AQ$9:$AQ$158,"&lt;"&amp;AQ55)+1)</f>
        <v>7</v>
      </c>
      <c r="AS55" s="14" t="str">
        <f>IF(AR55="","",E55&amp;"-"&amp;AR55)</f>
        <v>2-7</v>
      </c>
      <c r="AT55" s="14">
        <f>IF(S55="","",IF(INDEX('①名簿入力'!$F$4:$F$153,S55)="","",INDEX('①名簿入力'!$F$4:$F$153,S55)))</f>
        <v>56</v>
      </c>
      <c r="AU55" s="14">
        <f>IF(S55="","",IF(INDEX('①名簿入力'!$G$4:$G$153,S55)="","",INDEX('①名簿入力'!$G$4:$G$153,S55)))</f>
        <v>73</v>
      </c>
      <c r="AV55" s="14">
        <f>IF(S55="","",IF(INDEX('①名簿入力'!$H$4:$H$153,S55)="","",INDEX('①名簿入力'!$H$4:$H$153,S55)))</f>
        <v>77</v>
      </c>
      <c r="AW55" s="14">
        <f>IF(S55="","",IF(INDEX('①名簿入力'!$I$4:$I$153,S55)="","",INDEX('①名簿入力'!$I$4:$I$153,S55)))</f>
        <v>91</v>
      </c>
      <c r="AX55" s="14">
        <f>IF(S55="","",IF(INDEX('①名簿入力'!$J$4:$J$153,S55)="","",INDEX('①名簿入力'!$J$4:$J$153,S55)))</f>
        <v>72</v>
      </c>
    </row>
    <row r="56">
      <c r="A56" s="23">
        <f>IF('①名簿入力'!A51="","",'①名簿入力'!A51)</f>
        <v>2213</v>
      </c>
      <c r="B56" s="23">
        <f>IF(A56="","",'①名簿入力'!U51)</f>
        <v>3</v>
      </c>
      <c r="D56" s="8" t="n">
        <v>2213</v>
      </c>
      <c r="E56" s="24" t="n">
        <v>3</v>
      </c>
      <c r="F56" s="25" t="str">
        <f>IF(D56="","",IF(S56="","（名簿にない番号）",INDEX('①名簿入力'!$C$4:$C$153,S56)&amp;""))</f>
        <v>小野　翔太</v>
      </c>
      <c r="G56" s="13" t="str">
        <f>IF(S56="","",INDEX('①名簿入力'!$E$4:$E$153,S56)&amp;"")</f>
        <v>男</v>
      </c>
      <c r="H56" s="13">
        <f>IF(S56="","",IF(INDEX('①名簿入力'!$B$4:$B$153,S56)="","",INDEX('①名簿入力'!$B$4:$B$153,S56)))</f>
        <v>2</v>
      </c>
      <c r="I56" s="10">
        <f>IF(S56="","",IF(INDEX('①名簿入力'!$K$4:$K$153,S56)="","",INDEX('①名簿入力'!$K$4:$K$153,S56)))</f>
        <v>44.6</v>
      </c>
      <c r="J56" s="10">
        <f>IF(S56="","",IF(INDEX('①名簿入力'!$L$4:$L$153,S56)="","",INDEX('①名簿入力'!$L$4:$L$153,S56)))</f>
        <v>7.5</v>
      </c>
      <c r="K56" s="13" t="str">
        <f>IF(S56="","",IF(INDEX('①名簿入力'!$Y$4:$Y$153,S56)=1,"〇",""))</f>
        <v/>
      </c>
      <c r="L56" s="13" t="str">
        <f>IF(S56="","",IF(INDEX('①名簿入力'!$Z$4:$Z$153,S56)=1,"〇",""))</f>
        <v/>
      </c>
      <c r="M56" s="13" t="str">
        <f>IF(S56="","",IF(INDEX('①名簿入力'!$AA$4:$AA$153,S56)=1,"〇",""))</f>
        <v/>
      </c>
      <c r="N56" s="13" t="str">
        <f>IF(S56="","",IF(INDEX('①名簿入力'!$AB$4:$AB$153,S56)=1,"〇",""))</f>
        <v/>
      </c>
      <c r="O56" s="25" t="str">
        <f>AM56&amp;IF(AND(AM56&lt;&gt;"",AN56&lt;&gt;""),"、","")&amp;AN56&amp;IF(AND(AM56&amp;AN56&lt;&gt;"",AO56&lt;&gt;""),"、","")&amp;AO56</f>
        <v/>
      </c>
      <c r="P56" s="25" t="str">
        <f>IF(AG56=0,"",IF(AK56&amp;AL56="","⚠",LEFT(AK56&amp;AL56,LEN(AK56&amp;AL56)-1)))</f>
        <v/>
      </c>
      <c r="Q56" s="25" t="str">
        <f>IF(S56="","",INDEX('①名簿入力'!$T$4:$T$153,S56)&amp;"")</f>
        <v/>
      </c>
      <c r="S56" s="14">
        <f>IF(D56="","",IFERROR(MATCH(D56,'①名簿入力'!$A$4:$A$153,0),""))</f>
        <v>48</v>
      </c>
      <c r="T56" s="14" t="str">
        <f>IF(S56="","",IF(INDEX('①名簿入力'!$AG$4:$AG$153,S56)=D56,"",INDEX('①名簿入力'!$AG$4:$AG$153,S56)))</f>
        <v/>
      </c>
      <c r="U56" s="14" t="str">
        <f>IF(S56="","",IF(INDEX('①名簿入力'!$AH$4:$AH$153,S56)=D56,"",INDEX('①名簿入力'!$AH$4:$AH$153,S56)))</f>
        <v/>
      </c>
      <c r="V56" s="14" t="str">
        <f>IF(S56="","",IF(INDEX('①名簿入力'!$AI$4:$AI$153,S56)=D56,"",INDEX('①名簿入力'!$AI$4:$AI$153,S56)))</f>
        <v/>
      </c>
      <c r="W56" s="14" t="str">
        <f>IF(T56="","",IFERROR(IF(INDEX($E$9:$E$158,MATCH(T56,$D$9:$D$158,0))="","",INDEX($E$9:$E$158,MATCH(T56,$D$9:$D$158,0))),""))</f>
        <v/>
      </c>
      <c r="X56" s="14" t="str">
        <f>IF(U56="","",IFERROR(IF(INDEX($E$9:$E$158,MATCH(U56,$D$9:$D$158,0))="","",INDEX($E$9:$E$158,MATCH(U56,$D$9:$D$158,0))),""))</f>
        <v/>
      </c>
      <c r="Y56" s="14" t="str">
        <f>IF(V56="","",IFERROR(IF(INDEX($E$9:$E$158,MATCH(V56,$D$9:$D$158,0))="","",INDEX($E$9:$E$158,MATCH(V56,$D$9:$D$158,0))),""))</f>
        <v/>
      </c>
      <c r="Z56" s="14">
        <f>IF(AND(T56&lt;&gt;"",W56&lt;&gt;"",E56&lt;&gt;""),IF(W56=E56,1,0),0)</f>
        <v>0</v>
      </c>
      <c r="AA56" s="14">
        <f>IF(AND(U56&lt;&gt;"",X56&lt;&gt;"",E56&lt;&gt;""),IF(X56=E56,1,0),0)</f>
        <v>0</v>
      </c>
      <c r="AB56" s="14">
        <f>IF(AND(V56&lt;&gt;"",Y56&lt;&gt;"",E56&lt;&gt;""),IF(Y56=E56,1,0),0)</f>
        <v>0</v>
      </c>
      <c r="AC56" s="14" t="str">
        <f>IF(OR(T56="",E56=""),"",T56&amp;"|"&amp;E56)</f>
        <v/>
      </c>
      <c r="AD56" s="14" t="str">
        <f>IF(OR(U56="",E56=""),"",U56&amp;"|"&amp;E56)</f>
        <v/>
      </c>
      <c r="AE56" s="14" t="str">
        <f>IF(OR(V56="",E56=""),"",V56&amp;"|"&amp;E56)</f>
        <v/>
      </c>
      <c r="AF56" s="14">
        <f>IF(OR(D56="",E56=""),0,COUNTIF($AC$9:$AC$158,D56&amp;"|"&amp;E56)+COUNTIF($AD$9:$AD$158,D56&amp;"|"&amp;E56)+COUNTIF($AE$9:$AE$158,D56&amp;"|"&amp;E56))</f>
        <v>0</v>
      </c>
      <c r="AG56" s="14">
        <f>Z56+AA56+AB56+AF56</f>
        <v>0</v>
      </c>
      <c r="AH56" s="14" t="str">
        <f>IF(OR(D56="",E56=""),"",IFERROR(MATCH(D56&amp;"|"&amp;E56,$AC$9:$AC$158,0),""))</f>
        <v/>
      </c>
      <c r="AI56" s="14" t="str">
        <f>IF(OR(D56="",E56=""),"",IFERROR(MATCH(D56&amp;"|"&amp;E56,$AD$9:$AD$158,0),""))</f>
        <v/>
      </c>
      <c r="AJ56" s="14" t="str">
        <f>IF(OR(D56="",E56=""),"",IFERROR(MATCH(D56&amp;"|"&amp;E56,$AE$9:$AE$158,0),""))</f>
        <v/>
      </c>
      <c r="AK56" s="14" t="str">
        <f>IF(Z56=1,IFERROR(INDEX($F$9:$F$158,MATCH(T56,$D$9:$D$158,0)),"")&amp;"、","")&amp;IF(AA56=1,IFERROR(INDEX($F$9:$F$158,MATCH(U56,$D$9:$D$158,0)),"")&amp;"、","")&amp;IF(AB56=1,IFERROR(INDEX($F$9:$F$158,MATCH(V56,$D$9:$D$158,0)),"")&amp;"、","")</f>
        <v/>
      </c>
      <c r="AL56" s="14" t="str">
        <f>IF(OR(AH56=""),"",IF(OR(INDEX($D$9:$D$158,AH56)=T56,INDEX($D$9:$D$158,AH56)=U56,INDEX($D$9:$D$158,AH56)=V56),"",INDEX($F$9:$F$158,AH56)&amp;"、"))&amp;IF(OR(AI56="",AI56=AH56),"",IF(OR(INDEX($D$9:$D$158,AI56)=T56,INDEX($D$9:$D$158,AI56)=U56,INDEX($D$9:$D$158,AI56)=V56),"",INDEX($F$9:$F$158,AI56)&amp;"、"))&amp;IF(OR(AJ56="",AJ56=AH56,AJ56=AI56),"",IF(OR(INDEX($D$9:$D$158,AJ56)=T56,INDEX($D$9:$D$158,AJ56)=U56,INDEX($D$9:$D$158,AJ56)=V56),"",INDEX($F$9:$F$158,AJ56)&amp;"、"))</f>
        <v/>
      </c>
      <c r="AM56" s="14" t="str">
        <f>IF(T56="","",IFERROR(INDEX('①名簿入力'!$C$4:$C$153,MATCH(T56,'①名簿入力'!$A$4:$A$153,0)),"?")&amp;IF(W56="","","("&amp;W56&amp;"組)"))</f>
        <v/>
      </c>
      <c r="AN56" s="14" t="str">
        <f>IF(U56="","",IFERROR(INDEX('①名簿入力'!$C$4:$C$153,MATCH(U56,'①名簿入力'!$A$4:$A$153,0)),"?")&amp;IF(X56="","","("&amp;X56&amp;"組)"))</f>
        <v/>
      </c>
      <c r="AO56" s="14" t="str">
        <f>IF(V56="","",IFERROR(INDEX('①名簿入力'!$C$4:$C$153,MATCH(V56,'①名簿入力'!$A$4:$A$153,0)),"?")&amp;IF(Y56="","","("&amp;Y56&amp;"組)"))</f>
        <v/>
      </c>
      <c r="AP56" s="14">
        <f>IF(G56="男",1,IF(G56="女",2,3))</f>
        <v>1</v>
      </c>
      <c r="AQ56" s="14">
        <f>IF(OR(S56="",E56=""),"",IFERROR(IF('③クラス一覧'!$AD$6="番号順",0,AP56*1000000000)+D56,""))</f>
        <v>1000002213</v>
      </c>
      <c r="AR56" s="14">
        <f>IF(AQ56="","",COUNTIFS($E$9:$E$158,E56,$AQ$9:$AQ$158,"&lt;"&amp;AQ56)+1)</f>
        <v>8</v>
      </c>
      <c r="AS56" s="14" t="str">
        <f>IF(AR56="","",E56&amp;"-"&amp;AR56)</f>
        <v>3-8</v>
      </c>
      <c r="AT56" s="14">
        <f>IF(S56="","",IF(INDEX('①名簿入力'!$F$4:$F$153,S56)="","",INDEX('①名簿入力'!$F$4:$F$153,S56)))</f>
        <v>42</v>
      </c>
      <c r="AU56" s="14">
        <f>IF(S56="","",IF(INDEX('①名簿入力'!$G$4:$G$153,S56)="","",INDEX('①名簿入力'!$G$4:$G$153,S56)))</f>
        <v>35</v>
      </c>
      <c r="AV56" s="14">
        <f>IF(S56="","",IF(INDEX('①名簿入力'!$H$4:$H$153,S56)="","",INDEX('①名簿入力'!$H$4:$H$153,S56)))</f>
        <v>53</v>
      </c>
      <c r="AW56" s="14">
        <f>IF(S56="","",IF(INDEX('①名簿入力'!$I$4:$I$153,S56)="","",INDEX('①名簿入力'!$I$4:$I$153,S56)))</f>
        <v>45</v>
      </c>
      <c r="AX56" s="14">
        <f>IF(S56="","",IF(INDEX('①名簿入力'!$J$4:$J$153,S56)="","",INDEX('①名簿入力'!$J$4:$J$153,S56)))</f>
        <v>48</v>
      </c>
    </row>
    <row r="57">
      <c r="A57" s="23">
        <f>IF('①名簿入力'!A52="","",'①名簿入力'!A52)</f>
        <v>2214</v>
      </c>
      <c r="B57" s="23">
        <f>IF(A57="","",'①名簿入力'!U52)</f>
        <v>1</v>
      </c>
      <c r="D57" s="8" t="n">
        <v>2214</v>
      </c>
      <c r="E57" s="24" t="n">
        <v>1</v>
      </c>
      <c r="F57" s="25" t="str">
        <f>IF(D57="","",IF(S57="","（名簿にない番号）",INDEX('①名簿入力'!$C$4:$C$153,S57)&amp;""))</f>
        <v>金子　咲良</v>
      </c>
      <c r="G57" s="13" t="str">
        <f>IF(S57="","",INDEX('①名簿入力'!$E$4:$E$153,S57)&amp;"")</f>
        <v>女</v>
      </c>
      <c r="H57" s="13">
        <f>IF(S57="","",IF(INDEX('①名簿入力'!$B$4:$B$153,S57)="","",INDEX('①名簿入力'!$B$4:$B$153,S57)))</f>
        <v>2</v>
      </c>
      <c r="I57" s="10">
        <f>IF(S57="","",IF(INDEX('①名簿入力'!$K$4:$K$153,S57)="","",INDEX('①名簿入力'!$K$4:$K$153,S57)))</f>
        <v>78.2</v>
      </c>
      <c r="J57" s="10">
        <f>IF(S57="","",IF(INDEX('①名簿入力'!$L$4:$L$153,S57)="","",INDEX('①名簿入力'!$L$4:$L$153,S57)))</f>
        <v>9.9</v>
      </c>
      <c r="K57" s="13" t="str">
        <f>IF(S57="","",IF(INDEX('①名簿入力'!$Y$4:$Y$153,S57)=1,"〇",""))</f>
        <v/>
      </c>
      <c r="L57" s="13" t="str">
        <f>IF(S57="","",IF(INDEX('①名簿入力'!$Z$4:$Z$153,S57)=1,"〇",""))</f>
        <v/>
      </c>
      <c r="M57" s="13" t="str">
        <f>IF(S57="","",IF(INDEX('①名簿入力'!$AA$4:$AA$153,S57)=1,"〇",""))</f>
        <v/>
      </c>
      <c r="N57" s="13" t="str">
        <f>IF(S57="","",IF(INDEX('①名簿入力'!$AB$4:$AB$153,S57)=1,"〇",""))</f>
        <v>〇</v>
      </c>
      <c r="O57" s="25" t="str">
        <f>AM57&amp;IF(AND(AM57&lt;&gt;"",AN57&lt;&gt;""),"、","")&amp;AN57&amp;IF(AND(AM57&amp;AN57&lt;&gt;"",AO57&lt;&gt;""),"、","")&amp;AO57</f>
        <v/>
      </c>
      <c r="P57" s="25" t="str">
        <f>IF(AG57=0,"",IF(AK57&amp;AL57="","⚠",LEFT(AK57&amp;AL57,LEN(AK57&amp;AL57)-1)))</f>
        <v/>
      </c>
      <c r="Q57" s="25" t="str">
        <f>IF(S57="","",INDEX('①名簿入力'!$T$4:$T$153,S57)&amp;"")</f>
        <v/>
      </c>
      <c r="S57" s="14">
        <f>IF(D57="","",IFERROR(MATCH(D57,'①名簿入力'!$A$4:$A$153,0),""))</f>
        <v>49</v>
      </c>
      <c r="T57" s="14" t="str">
        <f>IF(S57="","",IF(INDEX('①名簿入力'!$AG$4:$AG$153,S57)=D57,"",INDEX('①名簿入力'!$AG$4:$AG$153,S57)))</f>
        <v/>
      </c>
      <c r="U57" s="14" t="str">
        <f>IF(S57="","",IF(INDEX('①名簿入力'!$AH$4:$AH$153,S57)=D57,"",INDEX('①名簿入力'!$AH$4:$AH$153,S57)))</f>
        <v/>
      </c>
      <c r="V57" s="14" t="str">
        <f>IF(S57="","",IF(INDEX('①名簿入力'!$AI$4:$AI$153,S57)=D57,"",INDEX('①名簿入力'!$AI$4:$AI$153,S57)))</f>
        <v/>
      </c>
      <c r="W57" s="14" t="str">
        <f>IF(T57="","",IFERROR(IF(INDEX($E$9:$E$158,MATCH(T57,$D$9:$D$158,0))="","",INDEX($E$9:$E$158,MATCH(T57,$D$9:$D$158,0))),""))</f>
        <v/>
      </c>
      <c r="X57" s="14" t="str">
        <f>IF(U57="","",IFERROR(IF(INDEX($E$9:$E$158,MATCH(U57,$D$9:$D$158,0))="","",INDEX($E$9:$E$158,MATCH(U57,$D$9:$D$158,0))),""))</f>
        <v/>
      </c>
      <c r="Y57" s="14" t="str">
        <f>IF(V57="","",IFERROR(IF(INDEX($E$9:$E$158,MATCH(V57,$D$9:$D$158,0))="","",INDEX($E$9:$E$158,MATCH(V57,$D$9:$D$158,0))),""))</f>
        <v/>
      </c>
      <c r="Z57" s="14">
        <f>IF(AND(T57&lt;&gt;"",W57&lt;&gt;"",E57&lt;&gt;""),IF(W57=E57,1,0),0)</f>
        <v>0</v>
      </c>
      <c r="AA57" s="14">
        <f>IF(AND(U57&lt;&gt;"",X57&lt;&gt;"",E57&lt;&gt;""),IF(X57=E57,1,0),0)</f>
        <v>0</v>
      </c>
      <c r="AB57" s="14">
        <f>IF(AND(V57&lt;&gt;"",Y57&lt;&gt;"",E57&lt;&gt;""),IF(Y57=E57,1,0),0)</f>
        <v>0</v>
      </c>
      <c r="AC57" s="14" t="str">
        <f>IF(OR(T57="",E57=""),"",T57&amp;"|"&amp;E57)</f>
        <v/>
      </c>
      <c r="AD57" s="14" t="str">
        <f>IF(OR(U57="",E57=""),"",U57&amp;"|"&amp;E57)</f>
        <v/>
      </c>
      <c r="AE57" s="14" t="str">
        <f>IF(OR(V57="",E57=""),"",V57&amp;"|"&amp;E57)</f>
        <v/>
      </c>
      <c r="AF57" s="14">
        <f>IF(OR(D57="",E57=""),0,COUNTIF($AC$9:$AC$158,D57&amp;"|"&amp;E57)+COUNTIF($AD$9:$AD$158,D57&amp;"|"&amp;E57)+COUNTIF($AE$9:$AE$158,D57&amp;"|"&amp;E57))</f>
        <v>0</v>
      </c>
      <c r="AG57" s="14">
        <f>Z57+AA57+AB57+AF57</f>
        <v>0</v>
      </c>
      <c r="AH57" s="14" t="str">
        <f>IF(OR(D57="",E57=""),"",IFERROR(MATCH(D57&amp;"|"&amp;E57,$AC$9:$AC$158,0),""))</f>
        <v/>
      </c>
      <c r="AI57" s="14" t="str">
        <f>IF(OR(D57="",E57=""),"",IFERROR(MATCH(D57&amp;"|"&amp;E57,$AD$9:$AD$158,0),""))</f>
        <v/>
      </c>
      <c r="AJ57" s="14" t="str">
        <f>IF(OR(D57="",E57=""),"",IFERROR(MATCH(D57&amp;"|"&amp;E57,$AE$9:$AE$158,0),""))</f>
        <v/>
      </c>
      <c r="AK57" s="14" t="str">
        <f>IF(Z57=1,IFERROR(INDEX($F$9:$F$158,MATCH(T57,$D$9:$D$158,0)),"")&amp;"、","")&amp;IF(AA57=1,IFERROR(INDEX($F$9:$F$158,MATCH(U57,$D$9:$D$158,0)),"")&amp;"、","")&amp;IF(AB57=1,IFERROR(INDEX($F$9:$F$158,MATCH(V57,$D$9:$D$158,0)),"")&amp;"、","")</f>
        <v/>
      </c>
      <c r="AL57" s="14" t="str">
        <f>IF(OR(AH57=""),"",IF(OR(INDEX($D$9:$D$158,AH57)=T57,INDEX($D$9:$D$158,AH57)=U57,INDEX($D$9:$D$158,AH57)=V57),"",INDEX($F$9:$F$158,AH57)&amp;"、"))&amp;IF(OR(AI57="",AI57=AH57),"",IF(OR(INDEX($D$9:$D$158,AI57)=T57,INDEX($D$9:$D$158,AI57)=U57,INDEX($D$9:$D$158,AI57)=V57),"",INDEX($F$9:$F$158,AI57)&amp;"、"))&amp;IF(OR(AJ57="",AJ57=AH57,AJ57=AI57),"",IF(OR(INDEX($D$9:$D$158,AJ57)=T57,INDEX($D$9:$D$158,AJ57)=U57,INDEX($D$9:$D$158,AJ57)=V57),"",INDEX($F$9:$F$158,AJ57)&amp;"、"))</f>
        <v/>
      </c>
      <c r="AM57" s="14" t="str">
        <f>IF(T57="","",IFERROR(INDEX('①名簿入力'!$C$4:$C$153,MATCH(T57,'①名簿入力'!$A$4:$A$153,0)),"?")&amp;IF(W57="","","("&amp;W57&amp;"組)"))</f>
        <v/>
      </c>
      <c r="AN57" s="14" t="str">
        <f>IF(U57="","",IFERROR(INDEX('①名簿入力'!$C$4:$C$153,MATCH(U57,'①名簿入力'!$A$4:$A$153,0)),"?")&amp;IF(X57="","","("&amp;X57&amp;"組)"))</f>
        <v/>
      </c>
      <c r="AO57" s="14" t="str">
        <f>IF(V57="","",IFERROR(INDEX('①名簿入力'!$C$4:$C$153,MATCH(V57,'①名簿入力'!$A$4:$A$153,0)),"?")&amp;IF(Y57="","","("&amp;Y57&amp;"組)"))</f>
        <v/>
      </c>
      <c r="AP57" s="14">
        <f>IF(G57="男",1,IF(G57="女",2,3))</f>
        <v>2</v>
      </c>
      <c r="AQ57" s="14">
        <f>IF(OR(S57="",E57=""),"",IFERROR(IF('③クラス一覧'!$AD$6="番号順",0,AP57*1000000000)+D57,""))</f>
        <v>2000002214</v>
      </c>
      <c r="AR57" s="14">
        <f>IF(AQ57="","",COUNTIFS($E$9:$E$158,E57,$AQ$9:$AQ$158,"&lt;"&amp;AQ57)+1)</f>
        <v>27</v>
      </c>
      <c r="AS57" s="14" t="str">
        <f>IF(AR57="","",E57&amp;"-"&amp;AR57)</f>
        <v>1-27</v>
      </c>
      <c r="AT57" s="14">
        <f>IF(S57="","",IF(INDEX('①名簿入力'!$F$4:$F$153,S57)="","",INDEX('①名簿入力'!$F$4:$F$153,S57)))</f>
        <v>84</v>
      </c>
      <c r="AU57" s="14">
        <f>IF(S57="","",IF(INDEX('①名簿入力'!$G$4:$G$153,S57)="","",INDEX('①名簿入力'!$G$4:$G$153,S57)))</f>
        <v>88</v>
      </c>
      <c r="AV57" s="14">
        <f>IF(S57="","",IF(INDEX('①名簿入力'!$H$4:$H$153,S57)="","",INDEX('①名簿入力'!$H$4:$H$153,S57)))</f>
        <v>73</v>
      </c>
      <c r="AW57" s="14">
        <f>IF(S57="","",IF(INDEX('①名簿入力'!$I$4:$I$153,S57)="","",INDEX('①名簿入力'!$I$4:$I$153,S57)))</f>
        <v>72</v>
      </c>
      <c r="AX57" s="14">
        <f>IF(S57="","",IF(INDEX('①名簿入力'!$J$4:$J$153,S57)="","",INDEX('①名簿入力'!$J$4:$J$153,S57)))</f>
        <v>74</v>
      </c>
    </row>
    <row r="58">
      <c r="A58" s="23">
        <f>IF('①名簿入力'!A53="","",'①名簿入力'!A53)</f>
        <v>2215</v>
      </c>
      <c r="B58" s="23">
        <f>IF(A58="","",'①名簿入力'!U53)</f>
        <v>2</v>
      </c>
      <c r="D58" s="8" t="n">
        <v>2215</v>
      </c>
      <c r="E58" s="24" t="n">
        <v>2</v>
      </c>
      <c r="F58" s="25" t="str">
        <f>IF(D58="","",IF(S58="","（名簿にない番号）",INDEX('①名簿入力'!$C$4:$C$153,S58)&amp;""))</f>
        <v>金子　颯太</v>
      </c>
      <c r="G58" s="13" t="str">
        <f>IF(S58="","",INDEX('①名簿入力'!$E$4:$E$153,S58)&amp;"")</f>
        <v>男</v>
      </c>
      <c r="H58" s="13">
        <f>IF(S58="","",IF(INDEX('①名簿入力'!$B$4:$B$153,S58)="","",INDEX('①名簿入力'!$B$4:$B$153,S58)))</f>
        <v>2</v>
      </c>
      <c r="I58" s="10">
        <f>IF(S58="","",IF(INDEX('①名簿入力'!$K$4:$K$153,S58)="","",INDEX('①名簿入力'!$K$4:$K$153,S58)))</f>
        <v>44.8</v>
      </c>
      <c r="J58" s="10">
        <f>IF(S58="","",IF(INDEX('①名簿入力'!$L$4:$L$153,S58)="","",INDEX('①名簿入力'!$L$4:$L$153,S58)))</f>
        <v>8.1</v>
      </c>
      <c r="K58" s="13" t="str">
        <f>IF(S58="","",IF(INDEX('①名簿入力'!$Y$4:$Y$153,S58)=1,"〇",""))</f>
        <v/>
      </c>
      <c r="L58" s="13" t="str">
        <f>IF(S58="","",IF(INDEX('①名簿入力'!$Z$4:$Z$153,S58)=1,"〇",""))</f>
        <v/>
      </c>
      <c r="M58" s="13" t="str">
        <f>IF(S58="","",IF(INDEX('①名簿入力'!$AA$4:$AA$153,S58)=1,"〇",""))</f>
        <v/>
      </c>
      <c r="N58" s="13" t="str">
        <f>IF(S58="","",IF(INDEX('①名簿入力'!$AB$4:$AB$153,S58)=1,"〇",""))</f>
        <v/>
      </c>
      <c r="O58" s="25" t="str">
        <f>AM58&amp;IF(AND(AM58&lt;&gt;"",AN58&lt;&gt;""),"、","")&amp;AN58&amp;IF(AND(AM58&amp;AN58&lt;&gt;"",AO58&lt;&gt;""),"、","")&amp;AO58</f>
        <v/>
      </c>
      <c r="P58" s="25" t="str">
        <f>IF(AG58=0,"",IF(AK58&amp;AL58="","⚠",LEFT(AK58&amp;AL58,LEN(AK58&amp;AL58)-1)))</f>
        <v/>
      </c>
      <c r="Q58" s="25" t="str">
        <f>IF(S58="","",INDEX('①名簿入力'!$T$4:$T$153,S58)&amp;"")</f>
        <v/>
      </c>
      <c r="S58" s="14">
        <f>IF(D58="","",IFERROR(MATCH(D58,'①名簿入力'!$A$4:$A$153,0),""))</f>
        <v>50</v>
      </c>
      <c r="T58" s="14" t="str">
        <f>IF(S58="","",IF(INDEX('①名簿入力'!$AG$4:$AG$153,S58)=D58,"",INDEX('①名簿入力'!$AG$4:$AG$153,S58)))</f>
        <v/>
      </c>
      <c r="U58" s="14" t="str">
        <f>IF(S58="","",IF(INDEX('①名簿入力'!$AH$4:$AH$153,S58)=D58,"",INDEX('①名簿入力'!$AH$4:$AH$153,S58)))</f>
        <v/>
      </c>
      <c r="V58" s="14" t="str">
        <f>IF(S58="","",IF(INDEX('①名簿入力'!$AI$4:$AI$153,S58)=D58,"",INDEX('①名簿入力'!$AI$4:$AI$153,S58)))</f>
        <v/>
      </c>
      <c r="W58" s="14" t="str">
        <f>IF(T58="","",IFERROR(IF(INDEX($E$9:$E$158,MATCH(T58,$D$9:$D$158,0))="","",INDEX($E$9:$E$158,MATCH(T58,$D$9:$D$158,0))),""))</f>
        <v/>
      </c>
      <c r="X58" s="14" t="str">
        <f>IF(U58="","",IFERROR(IF(INDEX($E$9:$E$158,MATCH(U58,$D$9:$D$158,0))="","",INDEX($E$9:$E$158,MATCH(U58,$D$9:$D$158,0))),""))</f>
        <v/>
      </c>
      <c r="Y58" s="14" t="str">
        <f>IF(V58="","",IFERROR(IF(INDEX($E$9:$E$158,MATCH(V58,$D$9:$D$158,0))="","",INDEX($E$9:$E$158,MATCH(V58,$D$9:$D$158,0))),""))</f>
        <v/>
      </c>
      <c r="Z58" s="14">
        <f>IF(AND(T58&lt;&gt;"",W58&lt;&gt;"",E58&lt;&gt;""),IF(W58=E58,1,0),0)</f>
        <v>0</v>
      </c>
      <c r="AA58" s="14">
        <f>IF(AND(U58&lt;&gt;"",X58&lt;&gt;"",E58&lt;&gt;""),IF(X58=E58,1,0),0)</f>
        <v>0</v>
      </c>
      <c r="AB58" s="14">
        <f>IF(AND(V58&lt;&gt;"",Y58&lt;&gt;"",E58&lt;&gt;""),IF(Y58=E58,1,0),0)</f>
        <v>0</v>
      </c>
      <c r="AC58" s="14" t="str">
        <f>IF(OR(T58="",E58=""),"",T58&amp;"|"&amp;E58)</f>
        <v/>
      </c>
      <c r="AD58" s="14" t="str">
        <f>IF(OR(U58="",E58=""),"",U58&amp;"|"&amp;E58)</f>
        <v/>
      </c>
      <c r="AE58" s="14" t="str">
        <f>IF(OR(V58="",E58=""),"",V58&amp;"|"&amp;E58)</f>
        <v/>
      </c>
      <c r="AF58" s="14">
        <f>IF(OR(D58="",E58=""),0,COUNTIF($AC$9:$AC$158,D58&amp;"|"&amp;E58)+COUNTIF($AD$9:$AD$158,D58&amp;"|"&amp;E58)+COUNTIF($AE$9:$AE$158,D58&amp;"|"&amp;E58))</f>
        <v>0</v>
      </c>
      <c r="AG58" s="14">
        <f>Z58+AA58+AB58+AF58</f>
        <v>0</v>
      </c>
      <c r="AH58" s="14" t="str">
        <f>IF(OR(D58="",E58=""),"",IFERROR(MATCH(D58&amp;"|"&amp;E58,$AC$9:$AC$158,0),""))</f>
        <v/>
      </c>
      <c r="AI58" s="14" t="str">
        <f>IF(OR(D58="",E58=""),"",IFERROR(MATCH(D58&amp;"|"&amp;E58,$AD$9:$AD$158,0),""))</f>
        <v/>
      </c>
      <c r="AJ58" s="14" t="str">
        <f>IF(OR(D58="",E58=""),"",IFERROR(MATCH(D58&amp;"|"&amp;E58,$AE$9:$AE$158,0),""))</f>
        <v/>
      </c>
      <c r="AK58" s="14" t="str">
        <f>IF(Z58=1,IFERROR(INDEX($F$9:$F$158,MATCH(T58,$D$9:$D$158,0)),"")&amp;"、","")&amp;IF(AA58=1,IFERROR(INDEX($F$9:$F$158,MATCH(U58,$D$9:$D$158,0)),"")&amp;"、","")&amp;IF(AB58=1,IFERROR(INDEX($F$9:$F$158,MATCH(V58,$D$9:$D$158,0)),"")&amp;"、","")</f>
        <v/>
      </c>
      <c r="AL58" s="14" t="str">
        <f>IF(OR(AH58=""),"",IF(OR(INDEX($D$9:$D$158,AH58)=T58,INDEX($D$9:$D$158,AH58)=U58,INDEX($D$9:$D$158,AH58)=V58),"",INDEX($F$9:$F$158,AH58)&amp;"、"))&amp;IF(OR(AI58="",AI58=AH58),"",IF(OR(INDEX($D$9:$D$158,AI58)=T58,INDEX($D$9:$D$158,AI58)=U58,INDEX($D$9:$D$158,AI58)=V58),"",INDEX($F$9:$F$158,AI58)&amp;"、"))&amp;IF(OR(AJ58="",AJ58=AH58,AJ58=AI58),"",IF(OR(INDEX($D$9:$D$158,AJ58)=T58,INDEX($D$9:$D$158,AJ58)=U58,INDEX($D$9:$D$158,AJ58)=V58),"",INDEX($F$9:$F$158,AJ58)&amp;"、"))</f>
        <v/>
      </c>
      <c r="AM58" s="14" t="str">
        <f>IF(T58="","",IFERROR(INDEX('①名簿入力'!$C$4:$C$153,MATCH(T58,'①名簿入力'!$A$4:$A$153,0)),"?")&amp;IF(W58="","","("&amp;W58&amp;"組)"))</f>
        <v/>
      </c>
      <c r="AN58" s="14" t="str">
        <f>IF(U58="","",IFERROR(INDEX('①名簿入力'!$C$4:$C$153,MATCH(U58,'①名簿入力'!$A$4:$A$153,0)),"?")&amp;IF(X58="","","("&amp;X58&amp;"組)"))</f>
        <v/>
      </c>
      <c r="AO58" s="14" t="str">
        <f>IF(V58="","",IFERROR(INDEX('①名簿入力'!$C$4:$C$153,MATCH(V58,'①名簿入力'!$A$4:$A$153,0)),"?")&amp;IF(Y58="","","("&amp;Y58&amp;"組)"))</f>
        <v/>
      </c>
      <c r="AP58" s="14">
        <f>IF(G58="男",1,IF(G58="女",2,3))</f>
        <v>1</v>
      </c>
      <c r="AQ58" s="14">
        <f>IF(OR(S58="",E58=""),"",IFERROR(IF('③クラス一覧'!$AD$6="番号順",0,AP58*1000000000)+D58,""))</f>
        <v>1000002215</v>
      </c>
      <c r="AR58" s="14">
        <f>IF(AQ58="","",COUNTIFS($E$9:$E$158,E58,$AQ$9:$AQ$158,"&lt;"&amp;AQ58)+1)</f>
        <v>8</v>
      </c>
      <c r="AS58" s="14" t="str">
        <f>IF(AR58="","",E58&amp;"-"&amp;AR58)</f>
        <v>2-8</v>
      </c>
      <c r="AT58" s="14">
        <f>IF(S58="","",IF(INDEX('①名簿入力'!$F$4:$F$153,S58)="","",INDEX('①名簿入力'!$F$4:$F$153,S58)))</f>
        <v>36</v>
      </c>
      <c r="AU58" s="14">
        <f>IF(S58="","",IF(INDEX('①名簿入力'!$G$4:$G$153,S58)="","",INDEX('①名簿入力'!$G$4:$G$153,S58)))</f>
        <v>37</v>
      </c>
      <c r="AV58" s="14">
        <f>IF(S58="","",IF(INDEX('①名簿入力'!$H$4:$H$153,S58)="","",INDEX('①名簿入力'!$H$4:$H$153,S58)))</f>
        <v>35</v>
      </c>
      <c r="AW58" s="14">
        <f>IF(S58="","",IF(INDEX('①名簿入力'!$I$4:$I$153,S58)="","",INDEX('①名簿入力'!$I$4:$I$153,S58)))</f>
        <v>62</v>
      </c>
      <c r="AX58" s="14">
        <f>IF(S58="","",IF(INDEX('①名簿入力'!$J$4:$J$153,S58)="","",INDEX('①名簿入力'!$J$4:$J$153,S58)))</f>
        <v>54</v>
      </c>
    </row>
    <row r="59">
      <c r="A59" s="23">
        <f>IF('①名簿入力'!A54="","",'①名簿入力'!A54)</f>
        <v>2216</v>
      </c>
      <c r="B59" s="23">
        <f>IF(A59="","",'①名簿入力'!U54)</f>
        <v>2</v>
      </c>
      <c r="D59" s="8" t="n">
        <v>2216</v>
      </c>
      <c r="E59" s="24" t="n">
        <v>2</v>
      </c>
      <c r="F59" s="25" t="str">
        <f>IF(D59="","",IF(S59="","（名簿にない番号）",INDEX('①名簿入力'!$C$4:$C$153,S59)&amp;""))</f>
        <v>後藤　美咲</v>
      </c>
      <c r="G59" s="13" t="str">
        <f>IF(S59="","",INDEX('①名簿入力'!$E$4:$E$153,S59)&amp;"")</f>
        <v>女</v>
      </c>
      <c r="H59" s="13">
        <f>IF(S59="","",IF(INDEX('①名簿入力'!$B$4:$B$153,S59)="","",INDEX('①名簿入力'!$B$4:$B$153,S59)))</f>
        <v>2</v>
      </c>
      <c r="I59" s="10">
        <f>IF(S59="","",IF(INDEX('①名簿入力'!$K$4:$K$153,S59)="","",INDEX('①名簿入力'!$K$4:$K$153,S59)))</f>
        <v>65</v>
      </c>
      <c r="J59" s="10">
        <f>IF(S59="","",IF(INDEX('①名簿入力'!$L$4:$L$153,S59)="","",INDEX('①名簿入力'!$L$4:$L$153,S59)))</f>
        <v>10</v>
      </c>
      <c r="K59" s="13" t="str">
        <f>IF(S59="","",IF(INDEX('①名簿入力'!$Y$4:$Y$153,S59)=1,"〇",""))</f>
        <v/>
      </c>
      <c r="L59" s="13" t="str">
        <f>IF(S59="","",IF(INDEX('①名簿入力'!$Z$4:$Z$153,S59)=1,"〇",""))</f>
        <v/>
      </c>
      <c r="M59" s="13" t="str">
        <f>IF(S59="","",IF(INDEX('①名簿入力'!$AA$4:$AA$153,S59)=1,"〇",""))</f>
        <v/>
      </c>
      <c r="N59" s="13" t="str">
        <f>IF(S59="","",IF(INDEX('①名簿入力'!$AB$4:$AB$153,S59)=1,"〇",""))</f>
        <v/>
      </c>
      <c r="O59" s="25" t="str">
        <f>AM59&amp;IF(AND(AM59&lt;&gt;"",AN59&lt;&gt;""),"、","")&amp;AN59&amp;IF(AND(AM59&amp;AN59&lt;&gt;"",AO59&lt;&gt;""),"、","")&amp;AO59</f>
        <v/>
      </c>
      <c r="P59" s="25" t="str">
        <f>IF(AG59=0,"",IF(AK59&amp;AL59="","⚠",LEFT(AK59&amp;AL59,LEN(AK59&amp;AL59)-1)))</f>
        <v/>
      </c>
      <c r="Q59" s="25" t="str">
        <f>IF(S59="","",INDEX('①名簿入力'!$T$4:$T$153,S59)&amp;"")</f>
        <v/>
      </c>
      <c r="S59" s="14">
        <f>IF(D59="","",IFERROR(MATCH(D59,'①名簿入力'!$A$4:$A$153,0),""))</f>
        <v>51</v>
      </c>
      <c r="T59" s="14" t="str">
        <f>IF(S59="","",IF(INDEX('①名簿入力'!$AG$4:$AG$153,S59)=D59,"",INDEX('①名簿入力'!$AG$4:$AG$153,S59)))</f>
        <v/>
      </c>
      <c r="U59" s="14" t="str">
        <f>IF(S59="","",IF(INDEX('①名簿入力'!$AH$4:$AH$153,S59)=D59,"",INDEX('①名簿入力'!$AH$4:$AH$153,S59)))</f>
        <v/>
      </c>
      <c r="V59" s="14" t="str">
        <f>IF(S59="","",IF(INDEX('①名簿入力'!$AI$4:$AI$153,S59)=D59,"",INDEX('①名簿入力'!$AI$4:$AI$153,S59)))</f>
        <v/>
      </c>
      <c r="W59" s="14" t="str">
        <f>IF(T59="","",IFERROR(IF(INDEX($E$9:$E$158,MATCH(T59,$D$9:$D$158,0))="","",INDEX($E$9:$E$158,MATCH(T59,$D$9:$D$158,0))),""))</f>
        <v/>
      </c>
      <c r="X59" s="14" t="str">
        <f>IF(U59="","",IFERROR(IF(INDEX($E$9:$E$158,MATCH(U59,$D$9:$D$158,0))="","",INDEX($E$9:$E$158,MATCH(U59,$D$9:$D$158,0))),""))</f>
        <v/>
      </c>
      <c r="Y59" s="14" t="str">
        <f>IF(V59="","",IFERROR(IF(INDEX($E$9:$E$158,MATCH(V59,$D$9:$D$158,0))="","",INDEX($E$9:$E$158,MATCH(V59,$D$9:$D$158,0))),""))</f>
        <v/>
      </c>
      <c r="Z59" s="14">
        <f>IF(AND(T59&lt;&gt;"",W59&lt;&gt;"",E59&lt;&gt;""),IF(W59=E59,1,0),0)</f>
        <v>0</v>
      </c>
      <c r="AA59" s="14">
        <f>IF(AND(U59&lt;&gt;"",X59&lt;&gt;"",E59&lt;&gt;""),IF(X59=E59,1,0),0)</f>
        <v>0</v>
      </c>
      <c r="AB59" s="14">
        <f>IF(AND(V59&lt;&gt;"",Y59&lt;&gt;"",E59&lt;&gt;""),IF(Y59=E59,1,0),0)</f>
        <v>0</v>
      </c>
      <c r="AC59" s="14" t="str">
        <f>IF(OR(T59="",E59=""),"",T59&amp;"|"&amp;E59)</f>
        <v/>
      </c>
      <c r="AD59" s="14" t="str">
        <f>IF(OR(U59="",E59=""),"",U59&amp;"|"&amp;E59)</f>
        <v/>
      </c>
      <c r="AE59" s="14" t="str">
        <f>IF(OR(V59="",E59=""),"",V59&amp;"|"&amp;E59)</f>
        <v/>
      </c>
      <c r="AF59" s="14">
        <f>IF(OR(D59="",E59=""),0,COUNTIF($AC$9:$AC$158,D59&amp;"|"&amp;E59)+COUNTIF($AD$9:$AD$158,D59&amp;"|"&amp;E59)+COUNTIF($AE$9:$AE$158,D59&amp;"|"&amp;E59))</f>
        <v>0</v>
      </c>
      <c r="AG59" s="14">
        <f>Z59+AA59+AB59+AF59</f>
        <v>0</v>
      </c>
      <c r="AH59" s="14" t="str">
        <f>IF(OR(D59="",E59=""),"",IFERROR(MATCH(D59&amp;"|"&amp;E59,$AC$9:$AC$158,0),""))</f>
        <v/>
      </c>
      <c r="AI59" s="14" t="str">
        <f>IF(OR(D59="",E59=""),"",IFERROR(MATCH(D59&amp;"|"&amp;E59,$AD$9:$AD$158,0),""))</f>
        <v/>
      </c>
      <c r="AJ59" s="14" t="str">
        <f>IF(OR(D59="",E59=""),"",IFERROR(MATCH(D59&amp;"|"&amp;E59,$AE$9:$AE$158,0),""))</f>
        <v/>
      </c>
      <c r="AK59" s="14" t="str">
        <f>IF(Z59=1,IFERROR(INDEX($F$9:$F$158,MATCH(T59,$D$9:$D$158,0)),"")&amp;"、","")&amp;IF(AA59=1,IFERROR(INDEX($F$9:$F$158,MATCH(U59,$D$9:$D$158,0)),"")&amp;"、","")&amp;IF(AB59=1,IFERROR(INDEX($F$9:$F$158,MATCH(V59,$D$9:$D$158,0)),"")&amp;"、","")</f>
        <v/>
      </c>
      <c r="AL59" s="14" t="str">
        <f>IF(OR(AH59=""),"",IF(OR(INDEX($D$9:$D$158,AH59)=T59,INDEX($D$9:$D$158,AH59)=U59,INDEX($D$9:$D$158,AH59)=V59),"",INDEX($F$9:$F$158,AH59)&amp;"、"))&amp;IF(OR(AI59="",AI59=AH59),"",IF(OR(INDEX($D$9:$D$158,AI59)=T59,INDEX($D$9:$D$158,AI59)=U59,INDEX($D$9:$D$158,AI59)=V59),"",INDEX($F$9:$F$158,AI59)&amp;"、"))&amp;IF(OR(AJ59="",AJ59=AH59,AJ59=AI59),"",IF(OR(INDEX($D$9:$D$158,AJ59)=T59,INDEX($D$9:$D$158,AJ59)=U59,INDEX($D$9:$D$158,AJ59)=V59),"",INDEX($F$9:$F$158,AJ59)&amp;"、"))</f>
        <v/>
      </c>
      <c r="AM59" s="14" t="str">
        <f>IF(T59="","",IFERROR(INDEX('①名簿入力'!$C$4:$C$153,MATCH(T59,'①名簿入力'!$A$4:$A$153,0)),"?")&amp;IF(W59="","","("&amp;W59&amp;"組)"))</f>
        <v/>
      </c>
      <c r="AN59" s="14" t="str">
        <f>IF(U59="","",IFERROR(INDEX('①名簿入力'!$C$4:$C$153,MATCH(U59,'①名簿入力'!$A$4:$A$153,0)),"?")&amp;IF(X59="","","("&amp;X59&amp;"組)"))</f>
        <v/>
      </c>
      <c r="AO59" s="14" t="str">
        <f>IF(V59="","",IFERROR(INDEX('①名簿入力'!$C$4:$C$153,MATCH(V59,'①名簿入力'!$A$4:$A$153,0)),"?")&amp;IF(Y59="","","("&amp;Y59&amp;"組)"))</f>
        <v/>
      </c>
      <c r="AP59" s="14">
        <f>IF(G59="男",1,IF(G59="女",2,3))</f>
        <v>2</v>
      </c>
      <c r="AQ59" s="14">
        <f>IF(OR(S59="",E59=""),"",IFERROR(IF('③クラス一覧'!$AD$6="番号順",0,AP59*1000000000)+D59,""))</f>
        <v>2000002216</v>
      </c>
      <c r="AR59" s="14">
        <f>IF(AQ59="","",COUNTIFS($E$9:$E$158,E59,$AQ$9:$AQ$158,"&lt;"&amp;AQ59)+1)</f>
        <v>29</v>
      </c>
      <c r="AS59" s="14" t="str">
        <f>IF(AR59="","",E59&amp;"-"&amp;AR59)</f>
        <v>2-29</v>
      </c>
      <c r="AT59" s="14">
        <f>IF(S59="","",IF(INDEX('①名簿入力'!$F$4:$F$153,S59)="","",INDEX('①名簿入力'!$F$4:$F$153,S59)))</f>
        <v>62</v>
      </c>
      <c r="AU59" s="14">
        <f>IF(S59="","",IF(INDEX('①名簿入力'!$G$4:$G$153,S59)="","",INDEX('①名簿入力'!$G$4:$G$153,S59)))</f>
        <v>60</v>
      </c>
      <c r="AV59" s="14">
        <f>IF(S59="","",IF(INDEX('①名簿入力'!$H$4:$H$153,S59)="","",INDEX('①名簿入力'!$H$4:$H$153,S59)))</f>
        <v>60</v>
      </c>
      <c r="AW59" s="14">
        <f>IF(S59="","",IF(INDEX('①名簿入力'!$I$4:$I$153,S59)="","",INDEX('①名簿入力'!$I$4:$I$153,S59)))</f>
        <v>77</v>
      </c>
      <c r="AX59" s="14">
        <f>IF(S59="","",IF(INDEX('①名簿入力'!$J$4:$J$153,S59)="","",INDEX('①名簿入力'!$J$4:$J$153,S59)))</f>
        <v>66</v>
      </c>
    </row>
    <row r="60">
      <c r="A60" s="23">
        <f>IF('①名簿入力'!A55="","",'①名簿入力'!A55)</f>
        <v>2217</v>
      </c>
      <c r="B60" s="23">
        <f>IF(A60="","",'①名簿入力'!U55)</f>
        <v>2</v>
      </c>
      <c r="D60" s="8" t="n">
        <v>2217</v>
      </c>
      <c r="E60" s="24" t="n">
        <v>2</v>
      </c>
      <c r="F60" s="25" t="str">
        <f>IF(D60="","",IF(S60="","（名簿にない番号）",INDEX('①名簿入力'!$C$4:$C$153,S60)&amp;""))</f>
        <v>佐藤　大和</v>
      </c>
      <c r="G60" s="13" t="str">
        <f>IF(S60="","",INDEX('①名簿入力'!$E$4:$E$153,S60)&amp;"")</f>
        <v>男</v>
      </c>
      <c r="H60" s="13">
        <f>IF(S60="","",IF(INDEX('①名簿入力'!$B$4:$B$153,S60)="","",INDEX('①名簿入力'!$B$4:$B$153,S60)))</f>
        <v>2</v>
      </c>
      <c r="I60" s="10">
        <f>IF(S60="","",IF(INDEX('①名簿入力'!$K$4:$K$153,S60)="","",INDEX('①名簿入力'!$K$4:$K$153,S60)))</f>
        <v>49.8</v>
      </c>
      <c r="J60" s="10">
        <f>IF(S60="","",IF(INDEX('①名簿入力'!$L$4:$L$153,S60)="","",INDEX('①名簿入力'!$L$4:$L$153,S60)))</f>
        <v>7.6</v>
      </c>
      <c r="K60" s="13" t="str">
        <f>IF(S60="","",IF(INDEX('①名簿入力'!$Y$4:$Y$153,S60)=1,"〇",""))</f>
        <v/>
      </c>
      <c r="L60" s="13" t="str">
        <f>IF(S60="","",IF(INDEX('①名簿入力'!$Z$4:$Z$153,S60)=1,"〇",""))</f>
        <v/>
      </c>
      <c r="M60" s="13" t="str">
        <f>IF(S60="","",IF(INDEX('①名簿入力'!$AA$4:$AA$153,S60)=1,"〇",""))</f>
        <v/>
      </c>
      <c r="N60" s="13" t="str">
        <f>IF(S60="","",IF(INDEX('①名簿入力'!$AB$4:$AB$153,S60)=1,"〇",""))</f>
        <v/>
      </c>
      <c r="O60" s="25" t="str">
        <f>AM60&amp;IF(AND(AM60&lt;&gt;"",AN60&lt;&gt;""),"、","")&amp;AN60&amp;IF(AND(AM60&amp;AN60&lt;&gt;"",AO60&lt;&gt;""),"、","")&amp;AO60</f>
        <v/>
      </c>
      <c r="P60" s="25" t="str">
        <f>IF(AG60=0,"",IF(AK60&amp;AL60="","⚠",LEFT(AK60&amp;AL60,LEN(AK60&amp;AL60)-1)))</f>
        <v/>
      </c>
      <c r="Q60" s="25" t="str">
        <f>IF(S60="","",INDEX('①名簿入力'!$T$4:$T$153,S60)&amp;"")</f>
        <v/>
      </c>
      <c r="S60" s="14">
        <f>IF(D60="","",IFERROR(MATCH(D60,'①名簿入力'!$A$4:$A$153,0),""))</f>
        <v>52</v>
      </c>
      <c r="T60" s="14" t="str">
        <f>IF(S60="","",IF(INDEX('①名簿入力'!$AG$4:$AG$153,S60)=D60,"",INDEX('①名簿入力'!$AG$4:$AG$153,S60)))</f>
        <v/>
      </c>
      <c r="U60" s="14" t="str">
        <f>IF(S60="","",IF(INDEX('①名簿入力'!$AH$4:$AH$153,S60)=D60,"",INDEX('①名簿入力'!$AH$4:$AH$153,S60)))</f>
        <v/>
      </c>
      <c r="V60" s="14" t="str">
        <f>IF(S60="","",IF(INDEX('①名簿入力'!$AI$4:$AI$153,S60)=D60,"",INDEX('①名簿入力'!$AI$4:$AI$153,S60)))</f>
        <v/>
      </c>
      <c r="W60" s="14" t="str">
        <f>IF(T60="","",IFERROR(IF(INDEX($E$9:$E$158,MATCH(T60,$D$9:$D$158,0))="","",INDEX($E$9:$E$158,MATCH(T60,$D$9:$D$158,0))),""))</f>
        <v/>
      </c>
      <c r="X60" s="14" t="str">
        <f>IF(U60="","",IFERROR(IF(INDEX($E$9:$E$158,MATCH(U60,$D$9:$D$158,0))="","",INDEX($E$9:$E$158,MATCH(U60,$D$9:$D$158,0))),""))</f>
        <v/>
      </c>
      <c r="Y60" s="14" t="str">
        <f>IF(V60="","",IFERROR(IF(INDEX($E$9:$E$158,MATCH(V60,$D$9:$D$158,0))="","",INDEX($E$9:$E$158,MATCH(V60,$D$9:$D$158,0))),""))</f>
        <v/>
      </c>
      <c r="Z60" s="14">
        <f>IF(AND(T60&lt;&gt;"",W60&lt;&gt;"",E60&lt;&gt;""),IF(W60=E60,1,0),0)</f>
        <v>0</v>
      </c>
      <c r="AA60" s="14">
        <f>IF(AND(U60&lt;&gt;"",X60&lt;&gt;"",E60&lt;&gt;""),IF(X60=E60,1,0),0)</f>
        <v>0</v>
      </c>
      <c r="AB60" s="14">
        <f>IF(AND(V60&lt;&gt;"",Y60&lt;&gt;"",E60&lt;&gt;""),IF(Y60=E60,1,0),0)</f>
        <v>0</v>
      </c>
      <c r="AC60" s="14" t="str">
        <f>IF(OR(T60="",E60=""),"",T60&amp;"|"&amp;E60)</f>
        <v/>
      </c>
      <c r="AD60" s="14" t="str">
        <f>IF(OR(U60="",E60=""),"",U60&amp;"|"&amp;E60)</f>
        <v/>
      </c>
      <c r="AE60" s="14" t="str">
        <f>IF(OR(V60="",E60=""),"",V60&amp;"|"&amp;E60)</f>
        <v/>
      </c>
      <c r="AF60" s="14">
        <f>IF(OR(D60="",E60=""),0,COUNTIF($AC$9:$AC$158,D60&amp;"|"&amp;E60)+COUNTIF($AD$9:$AD$158,D60&amp;"|"&amp;E60)+COUNTIF($AE$9:$AE$158,D60&amp;"|"&amp;E60))</f>
        <v>0</v>
      </c>
      <c r="AG60" s="14">
        <f>Z60+AA60+AB60+AF60</f>
        <v>0</v>
      </c>
      <c r="AH60" s="14" t="str">
        <f>IF(OR(D60="",E60=""),"",IFERROR(MATCH(D60&amp;"|"&amp;E60,$AC$9:$AC$158,0),""))</f>
        <v/>
      </c>
      <c r="AI60" s="14" t="str">
        <f>IF(OR(D60="",E60=""),"",IFERROR(MATCH(D60&amp;"|"&amp;E60,$AD$9:$AD$158,0),""))</f>
        <v/>
      </c>
      <c r="AJ60" s="14" t="str">
        <f>IF(OR(D60="",E60=""),"",IFERROR(MATCH(D60&amp;"|"&amp;E60,$AE$9:$AE$158,0),""))</f>
        <v/>
      </c>
      <c r="AK60" s="14" t="str">
        <f>IF(Z60=1,IFERROR(INDEX($F$9:$F$158,MATCH(T60,$D$9:$D$158,0)),"")&amp;"、","")&amp;IF(AA60=1,IFERROR(INDEX($F$9:$F$158,MATCH(U60,$D$9:$D$158,0)),"")&amp;"、","")&amp;IF(AB60=1,IFERROR(INDEX($F$9:$F$158,MATCH(V60,$D$9:$D$158,0)),"")&amp;"、","")</f>
        <v/>
      </c>
      <c r="AL60" s="14" t="str">
        <f>IF(OR(AH60=""),"",IF(OR(INDEX($D$9:$D$158,AH60)=T60,INDEX($D$9:$D$158,AH60)=U60,INDEX($D$9:$D$158,AH60)=V60),"",INDEX($F$9:$F$158,AH60)&amp;"、"))&amp;IF(OR(AI60="",AI60=AH60),"",IF(OR(INDEX($D$9:$D$158,AI60)=T60,INDEX($D$9:$D$158,AI60)=U60,INDEX($D$9:$D$158,AI60)=V60),"",INDEX($F$9:$F$158,AI60)&amp;"、"))&amp;IF(OR(AJ60="",AJ60=AH60,AJ60=AI60),"",IF(OR(INDEX($D$9:$D$158,AJ60)=T60,INDEX($D$9:$D$158,AJ60)=U60,INDEX($D$9:$D$158,AJ60)=V60),"",INDEX($F$9:$F$158,AJ60)&amp;"、"))</f>
        <v/>
      </c>
      <c r="AM60" s="14" t="str">
        <f>IF(T60="","",IFERROR(INDEX('①名簿入力'!$C$4:$C$153,MATCH(T60,'①名簿入力'!$A$4:$A$153,0)),"?")&amp;IF(W60="","","("&amp;W60&amp;"組)"))</f>
        <v/>
      </c>
      <c r="AN60" s="14" t="str">
        <f>IF(U60="","",IFERROR(INDEX('①名簿入力'!$C$4:$C$153,MATCH(U60,'①名簿入力'!$A$4:$A$153,0)),"?")&amp;IF(X60="","","("&amp;X60&amp;"組)"))</f>
        <v/>
      </c>
      <c r="AO60" s="14" t="str">
        <f>IF(V60="","",IFERROR(INDEX('①名簿入力'!$C$4:$C$153,MATCH(V60,'①名簿入力'!$A$4:$A$153,0)),"?")&amp;IF(Y60="","","("&amp;Y60&amp;"組)"))</f>
        <v/>
      </c>
      <c r="AP60" s="14">
        <f>IF(G60="男",1,IF(G60="女",2,3))</f>
        <v>1</v>
      </c>
      <c r="AQ60" s="14">
        <f>IF(OR(S60="",E60=""),"",IFERROR(IF('③クラス一覧'!$AD$6="番号順",0,AP60*1000000000)+D60,""))</f>
        <v>1000002217</v>
      </c>
      <c r="AR60" s="14">
        <f>IF(AQ60="","",COUNTIFS($E$9:$E$158,E60,$AQ$9:$AQ$158,"&lt;"&amp;AQ60)+1)</f>
        <v>9</v>
      </c>
      <c r="AS60" s="14" t="str">
        <f>IF(AR60="","",E60&amp;"-"&amp;AR60)</f>
        <v>2-9</v>
      </c>
      <c r="AT60" s="14">
        <f>IF(S60="","",IF(INDEX('①名簿入力'!$F$4:$F$153,S60)="","",INDEX('①名簿入力'!$F$4:$F$153,S60)))</f>
        <v>63</v>
      </c>
      <c r="AU60" s="14">
        <f>IF(S60="","",IF(INDEX('①名簿入力'!$G$4:$G$153,S60)="","",INDEX('①名簿入力'!$G$4:$G$153,S60)))</f>
        <v>40</v>
      </c>
      <c r="AV60" s="14">
        <f>IF(S60="","",IF(INDEX('①名簿入力'!$H$4:$H$153,S60)="","",INDEX('①名簿入力'!$H$4:$H$153,S60)))</f>
        <v>51</v>
      </c>
      <c r="AW60" s="14">
        <f>IF(S60="","",IF(INDEX('①名簿入力'!$I$4:$I$153,S60)="","",INDEX('①名簿入力'!$I$4:$I$153,S60)))</f>
        <v>41</v>
      </c>
      <c r="AX60" s="14">
        <f>IF(S60="","",IF(INDEX('①名簿入力'!$J$4:$J$153,S60)="","",INDEX('①名簿入力'!$J$4:$J$153,S60)))</f>
        <v>54</v>
      </c>
    </row>
    <row r="61">
      <c r="A61" s="23">
        <f>IF('①名簿入力'!A56="","",'①名簿入力'!A56)</f>
        <v>2218</v>
      </c>
      <c r="B61" s="23">
        <f>IF(A61="","",'①名簿入力'!U56)</f>
        <v>1</v>
      </c>
      <c r="D61" s="8" t="n">
        <v>2218</v>
      </c>
      <c r="E61" s="24" t="n">
        <v>1</v>
      </c>
      <c r="F61" s="25" t="str">
        <f>IF(D61="","",IF(S61="","（名簿にない番号）",INDEX('①名簿入力'!$C$4:$C$153,S61)&amp;""))</f>
        <v>柴田　大和</v>
      </c>
      <c r="G61" s="13" t="str">
        <f>IF(S61="","",INDEX('①名簿入力'!$E$4:$E$153,S61)&amp;"")</f>
        <v>男</v>
      </c>
      <c r="H61" s="13">
        <f>IF(S61="","",IF(INDEX('①名簿入力'!$B$4:$B$153,S61)="","",INDEX('①名簿入力'!$B$4:$B$153,S61)))</f>
        <v>2</v>
      </c>
      <c r="I61" s="10">
        <f>IF(S61="","",IF(INDEX('①名簿入力'!$K$4:$K$153,S61)="","",INDEX('①名簿入力'!$K$4:$K$153,S61)))</f>
        <v>77.4</v>
      </c>
      <c r="J61" s="10">
        <f>IF(S61="","",IF(INDEX('①名簿入力'!$L$4:$L$153,S61)="","",INDEX('①名簿入力'!$L$4:$L$153,S61)))</f>
        <v>7.9</v>
      </c>
      <c r="K61" s="13" t="str">
        <f>IF(S61="","",IF(INDEX('①名簿入力'!$Y$4:$Y$153,S61)=1,"〇",""))</f>
        <v/>
      </c>
      <c r="L61" s="13" t="str">
        <f>IF(S61="","",IF(INDEX('①名簿入力'!$Z$4:$Z$153,S61)=1,"〇",""))</f>
        <v/>
      </c>
      <c r="M61" s="13" t="str">
        <f>IF(S61="","",IF(INDEX('①名簿入力'!$AA$4:$AA$153,S61)=1,"〇",""))</f>
        <v/>
      </c>
      <c r="N61" s="13" t="str">
        <f>IF(S61="","",IF(INDEX('①名簿入力'!$AB$4:$AB$153,S61)=1,"〇",""))</f>
        <v/>
      </c>
      <c r="O61" s="25" t="str">
        <f>AM61&amp;IF(AND(AM61&lt;&gt;"",AN61&lt;&gt;""),"、","")&amp;AN61&amp;IF(AND(AM61&amp;AN61&lt;&gt;"",AO61&lt;&gt;""),"、","")&amp;AO61</f>
        <v/>
      </c>
      <c r="P61" s="25" t="str">
        <f>IF(AG61=0,"",IF(AK61&amp;AL61="","⚠",LEFT(AK61&amp;AL61,LEN(AK61&amp;AL61)-1)))</f>
        <v/>
      </c>
      <c r="Q61" s="25" t="str">
        <f>IF(S61="","",INDEX('①名簿入力'!$T$4:$T$153,S61)&amp;"")</f>
        <v>部活：陸上</v>
      </c>
      <c r="S61" s="14">
        <f>IF(D61="","",IFERROR(MATCH(D61,'①名簿入力'!$A$4:$A$153,0),""))</f>
        <v>53</v>
      </c>
      <c r="T61" s="14" t="str">
        <f>IF(S61="","",IF(INDEX('①名簿入力'!$AG$4:$AG$153,S61)=D61,"",INDEX('①名簿入力'!$AG$4:$AG$153,S61)))</f>
        <v/>
      </c>
      <c r="U61" s="14" t="str">
        <f>IF(S61="","",IF(INDEX('①名簿入力'!$AH$4:$AH$153,S61)=D61,"",INDEX('①名簿入力'!$AH$4:$AH$153,S61)))</f>
        <v/>
      </c>
      <c r="V61" s="14" t="str">
        <f>IF(S61="","",IF(INDEX('①名簿入力'!$AI$4:$AI$153,S61)=D61,"",INDEX('①名簿入力'!$AI$4:$AI$153,S61)))</f>
        <v/>
      </c>
      <c r="W61" s="14" t="str">
        <f>IF(T61="","",IFERROR(IF(INDEX($E$9:$E$158,MATCH(T61,$D$9:$D$158,0))="","",INDEX($E$9:$E$158,MATCH(T61,$D$9:$D$158,0))),""))</f>
        <v/>
      </c>
      <c r="X61" s="14" t="str">
        <f>IF(U61="","",IFERROR(IF(INDEX($E$9:$E$158,MATCH(U61,$D$9:$D$158,0))="","",INDEX($E$9:$E$158,MATCH(U61,$D$9:$D$158,0))),""))</f>
        <v/>
      </c>
      <c r="Y61" s="14" t="str">
        <f>IF(V61="","",IFERROR(IF(INDEX($E$9:$E$158,MATCH(V61,$D$9:$D$158,0))="","",INDEX($E$9:$E$158,MATCH(V61,$D$9:$D$158,0))),""))</f>
        <v/>
      </c>
      <c r="Z61" s="14">
        <f>IF(AND(T61&lt;&gt;"",W61&lt;&gt;"",E61&lt;&gt;""),IF(W61=E61,1,0),0)</f>
        <v>0</v>
      </c>
      <c r="AA61" s="14">
        <f>IF(AND(U61&lt;&gt;"",X61&lt;&gt;"",E61&lt;&gt;""),IF(X61=E61,1,0),0)</f>
        <v>0</v>
      </c>
      <c r="AB61" s="14">
        <f>IF(AND(V61&lt;&gt;"",Y61&lt;&gt;"",E61&lt;&gt;""),IF(Y61=E61,1,0),0)</f>
        <v>0</v>
      </c>
      <c r="AC61" s="14" t="str">
        <f>IF(OR(T61="",E61=""),"",T61&amp;"|"&amp;E61)</f>
        <v/>
      </c>
      <c r="AD61" s="14" t="str">
        <f>IF(OR(U61="",E61=""),"",U61&amp;"|"&amp;E61)</f>
        <v/>
      </c>
      <c r="AE61" s="14" t="str">
        <f>IF(OR(V61="",E61=""),"",V61&amp;"|"&amp;E61)</f>
        <v/>
      </c>
      <c r="AF61" s="14">
        <f>IF(OR(D61="",E61=""),0,COUNTIF($AC$9:$AC$158,D61&amp;"|"&amp;E61)+COUNTIF($AD$9:$AD$158,D61&amp;"|"&amp;E61)+COUNTIF($AE$9:$AE$158,D61&amp;"|"&amp;E61))</f>
        <v>0</v>
      </c>
      <c r="AG61" s="14">
        <f>Z61+AA61+AB61+AF61</f>
        <v>0</v>
      </c>
      <c r="AH61" s="14" t="str">
        <f>IF(OR(D61="",E61=""),"",IFERROR(MATCH(D61&amp;"|"&amp;E61,$AC$9:$AC$158,0),""))</f>
        <v/>
      </c>
      <c r="AI61" s="14" t="str">
        <f>IF(OR(D61="",E61=""),"",IFERROR(MATCH(D61&amp;"|"&amp;E61,$AD$9:$AD$158,0),""))</f>
        <v/>
      </c>
      <c r="AJ61" s="14" t="str">
        <f>IF(OR(D61="",E61=""),"",IFERROR(MATCH(D61&amp;"|"&amp;E61,$AE$9:$AE$158,0),""))</f>
        <v/>
      </c>
      <c r="AK61" s="14" t="str">
        <f>IF(Z61=1,IFERROR(INDEX($F$9:$F$158,MATCH(T61,$D$9:$D$158,0)),"")&amp;"、","")&amp;IF(AA61=1,IFERROR(INDEX($F$9:$F$158,MATCH(U61,$D$9:$D$158,0)),"")&amp;"、","")&amp;IF(AB61=1,IFERROR(INDEX($F$9:$F$158,MATCH(V61,$D$9:$D$158,0)),"")&amp;"、","")</f>
        <v/>
      </c>
      <c r="AL61" s="14" t="str">
        <f>IF(OR(AH61=""),"",IF(OR(INDEX($D$9:$D$158,AH61)=T61,INDEX($D$9:$D$158,AH61)=U61,INDEX($D$9:$D$158,AH61)=V61),"",INDEX($F$9:$F$158,AH61)&amp;"、"))&amp;IF(OR(AI61="",AI61=AH61),"",IF(OR(INDEX($D$9:$D$158,AI61)=T61,INDEX($D$9:$D$158,AI61)=U61,INDEX($D$9:$D$158,AI61)=V61),"",INDEX($F$9:$F$158,AI61)&amp;"、"))&amp;IF(OR(AJ61="",AJ61=AH61,AJ61=AI61),"",IF(OR(INDEX($D$9:$D$158,AJ61)=T61,INDEX($D$9:$D$158,AJ61)=U61,INDEX($D$9:$D$158,AJ61)=V61),"",INDEX($F$9:$F$158,AJ61)&amp;"、"))</f>
        <v/>
      </c>
      <c r="AM61" s="14" t="str">
        <f>IF(T61="","",IFERROR(INDEX('①名簿入力'!$C$4:$C$153,MATCH(T61,'①名簿入力'!$A$4:$A$153,0)),"?")&amp;IF(W61="","","("&amp;W61&amp;"組)"))</f>
        <v/>
      </c>
      <c r="AN61" s="14" t="str">
        <f>IF(U61="","",IFERROR(INDEX('①名簿入力'!$C$4:$C$153,MATCH(U61,'①名簿入力'!$A$4:$A$153,0)),"?")&amp;IF(X61="","","("&amp;X61&amp;"組)"))</f>
        <v/>
      </c>
      <c r="AO61" s="14" t="str">
        <f>IF(V61="","",IFERROR(INDEX('①名簿入力'!$C$4:$C$153,MATCH(V61,'①名簿入力'!$A$4:$A$153,0)),"?")&amp;IF(Y61="","","("&amp;Y61&amp;"組)"))</f>
        <v/>
      </c>
      <c r="AP61" s="14">
        <f>IF(G61="男",1,IF(G61="女",2,3))</f>
        <v>1</v>
      </c>
      <c r="AQ61" s="14">
        <f>IF(OR(S61="",E61=""),"",IFERROR(IF('③クラス一覧'!$AD$6="番号順",0,AP61*1000000000)+D61,""))</f>
        <v>1000002218</v>
      </c>
      <c r="AR61" s="14">
        <f>IF(AQ61="","",COUNTIFS($E$9:$E$158,E61,$AQ$9:$AQ$158,"&lt;"&amp;AQ61)+1)</f>
        <v>9</v>
      </c>
      <c r="AS61" s="14" t="str">
        <f>IF(AR61="","",E61&amp;"-"&amp;AR61)</f>
        <v>1-9</v>
      </c>
      <c r="AT61" s="14">
        <f>IF(S61="","",IF(INDEX('①名簿入力'!$F$4:$F$153,S61)="","",INDEX('①名簿入力'!$F$4:$F$153,S61)))</f>
        <v>56</v>
      </c>
      <c r="AU61" s="14">
        <f>IF(S61="","",IF(INDEX('①名簿入力'!$G$4:$G$153,S61)="","",INDEX('①名簿入力'!$G$4:$G$153,S61)))</f>
        <v>100</v>
      </c>
      <c r="AV61" s="14">
        <f>IF(S61="","",IF(INDEX('①名簿入力'!$H$4:$H$153,S61)="","",INDEX('①名簿入力'!$H$4:$H$153,S61)))</f>
        <v>69</v>
      </c>
      <c r="AW61" s="14">
        <f>IF(S61="","",IF(INDEX('①名簿入力'!$I$4:$I$153,S61)="","",INDEX('①名簿入力'!$I$4:$I$153,S61)))</f>
        <v>79</v>
      </c>
      <c r="AX61" s="14">
        <f>IF(S61="","",IF(INDEX('①名簿入力'!$J$4:$J$153,S61)="","",INDEX('①名簿入力'!$J$4:$J$153,S61)))</f>
        <v>83</v>
      </c>
    </row>
    <row r="62">
      <c r="A62" s="23">
        <f>IF('①名簿入力'!A57="","",'①名簿入力'!A57)</f>
        <v>2219</v>
      </c>
      <c r="B62" s="23">
        <f>IF(A62="","",'①名簿入力'!U57)</f>
        <v>1</v>
      </c>
      <c r="D62" s="8" t="n">
        <v>2219</v>
      </c>
      <c r="E62" s="24" t="n">
        <v>1</v>
      </c>
      <c r="F62" s="25" t="str">
        <f>IF(D62="","",IF(S62="","（名簿にない番号）",INDEX('①名簿入力'!$C$4:$C$153,S62)&amp;""))</f>
        <v>鈴木　葵</v>
      </c>
      <c r="G62" s="13" t="str">
        <f>IF(S62="","",INDEX('①名簿入力'!$E$4:$E$153,S62)&amp;"")</f>
        <v>女</v>
      </c>
      <c r="H62" s="13">
        <f>IF(S62="","",IF(INDEX('①名簿入力'!$B$4:$B$153,S62)="","",INDEX('①名簿入力'!$B$4:$B$153,S62)))</f>
        <v>2</v>
      </c>
      <c r="I62" s="10">
        <f>IF(S62="","",IF(INDEX('①名簿入力'!$K$4:$K$153,S62)="","",INDEX('①名簿入力'!$K$4:$K$153,S62)))</f>
        <v>51.8</v>
      </c>
      <c r="J62" s="10">
        <f>IF(S62="","",IF(INDEX('①名簿入力'!$L$4:$L$153,S62)="","",INDEX('①名簿入力'!$L$4:$L$153,S62)))</f>
        <v>8.1</v>
      </c>
      <c r="K62" s="13" t="str">
        <f>IF(S62="","",IF(INDEX('①名簿入力'!$Y$4:$Y$153,S62)=1,"〇",""))</f>
        <v/>
      </c>
      <c r="L62" s="13" t="str">
        <f>IF(S62="","",IF(INDEX('①名簿入力'!$Z$4:$Z$153,S62)=1,"〇",""))</f>
        <v/>
      </c>
      <c r="M62" s="13" t="str">
        <f>IF(S62="","",IF(INDEX('①名簿入力'!$AA$4:$AA$153,S62)=1,"〇",""))</f>
        <v/>
      </c>
      <c r="N62" s="13" t="str">
        <f>IF(S62="","",IF(INDEX('①名簿入力'!$AB$4:$AB$153,S62)=1,"〇",""))</f>
        <v/>
      </c>
      <c r="O62" s="25" t="str">
        <f>AM62&amp;IF(AND(AM62&lt;&gt;"",AN62&lt;&gt;""),"、","")&amp;AN62&amp;IF(AND(AM62&amp;AN62&lt;&gt;"",AO62&lt;&gt;""),"、","")&amp;AO62</f>
        <v/>
      </c>
      <c r="P62" s="25" t="str">
        <f>IF(AG62=0,"",IF(AK62&amp;AL62="","⚠",LEFT(AK62&amp;AL62,LEN(AK62&amp;AL62)-1)))</f>
        <v/>
      </c>
      <c r="Q62" s="25" t="str">
        <f>IF(S62="","",INDEX('①名簿入力'!$T$4:$T$153,S62)&amp;"")</f>
        <v/>
      </c>
      <c r="S62" s="14">
        <f>IF(D62="","",IFERROR(MATCH(D62,'①名簿入力'!$A$4:$A$153,0),""))</f>
        <v>54</v>
      </c>
      <c r="T62" s="14" t="str">
        <f>IF(S62="","",IF(INDEX('①名簿入力'!$AG$4:$AG$153,S62)=D62,"",INDEX('①名簿入力'!$AG$4:$AG$153,S62)))</f>
        <v/>
      </c>
      <c r="U62" s="14" t="str">
        <f>IF(S62="","",IF(INDEX('①名簿入力'!$AH$4:$AH$153,S62)=D62,"",INDEX('①名簿入力'!$AH$4:$AH$153,S62)))</f>
        <v/>
      </c>
      <c r="V62" s="14" t="str">
        <f>IF(S62="","",IF(INDEX('①名簿入力'!$AI$4:$AI$153,S62)=D62,"",INDEX('①名簿入力'!$AI$4:$AI$153,S62)))</f>
        <v/>
      </c>
      <c r="W62" s="14" t="str">
        <f>IF(T62="","",IFERROR(IF(INDEX($E$9:$E$158,MATCH(T62,$D$9:$D$158,0))="","",INDEX($E$9:$E$158,MATCH(T62,$D$9:$D$158,0))),""))</f>
        <v/>
      </c>
      <c r="X62" s="14" t="str">
        <f>IF(U62="","",IFERROR(IF(INDEX($E$9:$E$158,MATCH(U62,$D$9:$D$158,0))="","",INDEX($E$9:$E$158,MATCH(U62,$D$9:$D$158,0))),""))</f>
        <v/>
      </c>
      <c r="Y62" s="14" t="str">
        <f>IF(V62="","",IFERROR(IF(INDEX($E$9:$E$158,MATCH(V62,$D$9:$D$158,0))="","",INDEX($E$9:$E$158,MATCH(V62,$D$9:$D$158,0))),""))</f>
        <v/>
      </c>
      <c r="Z62" s="14">
        <f>IF(AND(T62&lt;&gt;"",W62&lt;&gt;"",E62&lt;&gt;""),IF(W62=E62,1,0),0)</f>
        <v>0</v>
      </c>
      <c r="AA62" s="14">
        <f>IF(AND(U62&lt;&gt;"",X62&lt;&gt;"",E62&lt;&gt;""),IF(X62=E62,1,0),0)</f>
        <v>0</v>
      </c>
      <c r="AB62" s="14">
        <f>IF(AND(V62&lt;&gt;"",Y62&lt;&gt;"",E62&lt;&gt;""),IF(Y62=E62,1,0),0)</f>
        <v>0</v>
      </c>
      <c r="AC62" s="14" t="str">
        <f>IF(OR(T62="",E62=""),"",T62&amp;"|"&amp;E62)</f>
        <v/>
      </c>
      <c r="AD62" s="14" t="str">
        <f>IF(OR(U62="",E62=""),"",U62&amp;"|"&amp;E62)</f>
        <v/>
      </c>
      <c r="AE62" s="14" t="str">
        <f>IF(OR(V62="",E62=""),"",V62&amp;"|"&amp;E62)</f>
        <v/>
      </c>
      <c r="AF62" s="14">
        <f>IF(OR(D62="",E62=""),0,COUNTIF($AC$9:$AC$158,D62&amp;"|"&amp;E62)+COUNTIF($AD$9:$AD$158,D62&amp;"|"&amp;E62)+COUNTIF($AE$9:$AE$158,D62&amp;"|"&amp;E62))</f>
        <v>0</v>
      </c>
      <c r="AG62" s="14">
        <f>Z62+AA62+AB62+AF62</f>
        <v>0</v>
      </c>
      <c r="AH62" s="14" t="str">
        <f>IF(OR(D62="",E62=""),"",IFERROR(MATCH(D62&amp;"|"&amp;E62,$AC$9:$AC$158,0),""))</f>
        <v/>
      </c>
      <c r="AI62" s="14" t="str">
        <f>IF(OR(D62="",E62=""),"",IFERROR(MATCH(D62&amp;"|"&amp;E62,$AD$9:$AD$158,0),""))</f>
        <v/>
      </c>
      <c r="AJ62" s="14" t="str">
        <f>IF(OR(D62="",E62=""),"",IFERROR(MATCH(D62&amp;"|"&amp;E62,$AE$9:$AE$158,0),""))</f>
        <v/>
      </c>
      <c r="AK62" s="14" t="str">
        <f>IF(Z62=1,IFERROR(INDEX($F$9:$F$158,MATCH(T62,$D$9:$D$158,0)),"")&amp;"、","")&amp;IF(AA62=1,IFERROR(INDEX($F$9:$F$158,MATCH(U62,$D$9:$D$158,0)),"")&amp;"、","")&amp;IF(AB62=1,IFERROR(INDEX($F$9:$F$158,MATCH(V62,$D$9:$D$158,0)),"")&amp;"、","")</f>
        <v/>
      </c>
      <c r="AL62" s="14" t="str">
        <f>IF(OR(AH62=""),"",IF(OR(INDEX($D$9:$D$158,AH62)=T62,INDEX($D$9:$D$158,AH62)=U62,INDEX($D$9:$D$158,AH62)=V62),"",INDEX($F$9:$F$158,AH62)&amp;"、"))&amp;IF(OR(AI62="",AI62=AH62),"",IF(OR(INDEX($D$9:$D$158,AI62)=T62,INDEX($D$9:$D$158,AI62)=U62,INDEX($D$9:$D$158,AI62)=V62),"",INDEX($F$9:$F$158,AI62)&amp;"、"))&amp;IF(OR(AJ62="",AJ62=AH62,AJ62=AI62),"",IF(OR(INDEX($D$9:$D$158,AJ62)=T62,INDEX($D$9:$D$158,AJ62)=U62,INDEX($D$9:$D$158,AJ62)=V62),"",INDEX($F$9:$F$158,AJ62)&amp;"、"))</f>
        <v/>
      </c>
      <c r="AM62" s="14" t="str">
        <f>IF(T62="","",IFERROR(INDEX('①名簿入力'!$C$4:$C$153,MATCH(T62,'①名簿入力'!$A$4:$A$153,0)),"?")&amp;IF(W62="","","("&amp;W62&amp;"組)"))</f>
        <v/>
      </c>
      <c r="AN62" s="14" t="str">
        <f>IF(U62="","",IFERROR(INDEX('①名簿入力'!$C$4:$C$153,MATCH(U62,'①名簿入力'!$A$4:$A$153,0)),"?")&amp;IF(X62="","","("&amp;X62&amp;"組)"))</f>
        <v/>
      </c>
      <c r="AO62" s="14" t="str">
        <f>IF(V62="","",IFERROR(INDEX('①名簿入力'!$C$4:$C$153,MATCH(V62,'①名簿入力'!$A$4:$A$153,0)),"?")&amp;IF(Y62="","","("&amp;Y62&amp;"組)"))</f>
        <v/>
      </c>
      <c r="AP62" s="14">
        <f>IF(G62="男",1,IF(G62="女",2,3))</f>
        <v>2</v>
      </c>
      <c r="AQ62" s="14">
        <f>IF(OR(S62="",E62=""),"",IFERROR(IF('③クラス一覧'!$AD$6="番号順",0,AP62*1000000000)+D62,""))</f>
        <v>2000002219</v>
      </c>
      <c r="AR62" s="14">
        <f>IF(AQ62="","",COUNTIFS($E$9:$E$158,E62,$AQ$9:$AQ$158,"&lt;"&amp;AQ62)+1)</f>
        <v>28</v>
      </c>
      <c r="AS62" s="14" t="str">
        <f>IF(AR62="","",E62&amp;"-"&amp;AR62)</f>
        <v>1-28</v>
      </c>
      <c r="AT62" s="14">
        <f>IF(S62="","",IF(INDEX('①名簿入力'!$F$4:$F$153,S62)="","",INDEX('①名簿入力'!$F$4:$F$153,S62)))</f>
        <v>59</v>
      </c>
      <c r="AU62" s="14">
        <f>IF(S62="","",IF(INDEX('①名簿入力'!$G$4:$G$153,S62)="","",INDEX('①名簿入力'!$G$4:$G$153,S62)))</f>
        <v>66</v>
      </c>
      <c r="AV62" s="14">
        <f>IF(S62="","",IF(INDEX('①名簿入力'!$H$4:$H$153,S62)="","",INDEX('①名簿入力'!$H$4:$H$153,S62)))</f>
        <v>51</v>
      </c>
      <c r="AW62" s="14">
        <f>IF(S62="","",IF(INDEX('①名簿入力'!$I$4:$I$153,S62)="","",INDEX('①名簿入力'!$I$4:$I$153,S62)))</f>
        <v>44</v>
      </c>
      <c r="AX62" s="14">
        <f>IF(S62="","",IF(INDEX('①名簿入力'!$J$4:$J$153,S62)="","",INDEX('①名簿入力'!$J$4:$J$153,S62)))</f>
        <v>39</v>
      </c>
    </row>
    <row r="63">
      <c r="A63" s="23">
        <f>IF('①名簿入力'!A58="","",'①名簿入力'!A58)</f>
        <v>2220</v>
      </c>
      <c r="B63" s="23">
        <f>IF(A63="","",'①名簿入力'!U58)</f>
        <v>1</v>
      </c>
      <c r="D63" s="8" t="n">
        <v>2220</v>
      </c>
      <c r="E63" s="24" t="n">
        <v>1</v>
      </c>
      <c r="F63" s="25" t="str">
        <f>IF(D63="","",IF(S63="","（名簿にない番号）",INDEX('①名簿入力'!$C$4:$C$153,S63)&amp;""))</f>
        <v>竹内　駿</v>
      </c>
      <c r="G63" s="13" t="str">
        <f>IF(S63="","",INDEX('①名簿入力'!$E$4:$E$153,S63)&amp;"")</f>
        <v>男</v>
      </c>
      <c r="H63" s="13">
        <f>IF(S63="","",IF(INDEX('①名簿入力'!$B$4:$B$153,S63)="","",INDEX('①名簿入力'!$B$4:$B$153,S63)))</f>
        <v>2</v>
      </c>
      <c r="I63" s="10">
        <f>IF(S63="","",IF(INDEX('①名簿入力'!$K$4:$K$153,S63)="","",INDEX('①名簿入力'!$K$4:$K$153,S63)))</f>
        <v>54.4</v>
      </c>
      <c r="J63" s="10">
        <f>IF(S63="","",IF(INDEX('①名簿入力'!$L$4:$L$153,S63)="","",INDEX('①名簿入力'!$L$4:$L$153,S63)))</f>
        <v>8</v>
      </c>
      <c r="K63" s="13" t="str">
        <f>IF(S63="","",IF(INDEX('①名簿入力'!$Y$4:$Y$153,S63)=1,"〇",""))</f>
        <v/>
      </c>
      <c r="L63" s="13" t="str">
        <f>IF(S63="","",IF(INDEX('①名簿入力'!$Z$4:$Z$153,S63)=1,"〇",""))</f>
        <v/>
      </c>
      <c r="M63" s="13" t="str">
        <f>IF(S63="","",IF(INDEX('①名簿入力'!$AA$4:$AA$153,S63)=1,"〇",""))</f>
        <v/>
      </c>
      <c r="N63" s="13" t="str">
        <f>IF(S63="","",IF(INDEX('①名簿入力'!$AB$4:$AB$153,S63)=1,"〇",""))</f>
        <v/>
      </c>
      <c r="O63" s="25" t="str">
        <f>AM63&amp;IF(AND(AM63&lt;&gt;"",AN63&lt;&gt;""),"、","")&amp;AN63&amp;IF(AND(AM63&amp;AN63&lt;&gt;"",AO63&lt;&gt;""),"、","")&amp;AO63</f>
        <v/>
      </c>
      <c r="P63" s="25" t="str">
        <f>IF(AG63=0,"",IF(AK63&amp;AL63="","⚠",LEFT(AK63&amp;AL63,LEN(AK63&amp;AL63)-1)))</f>
        <v/>
      </c>
      <c r="Q63" s="25" t="str">
        <f>IF(S63="","",INDEX('①名簿入力'!$T$4:$T$153,S63)&amp;"")</f>
        <v/>
      </c>
      <c r="S63" s="14">
        <f>IF(D63="","",IFERROR(MATCH(D63,'①名簿入力'!$A$4:$A$153,0),""))</f>
        <v>55</v>
      </c>
      <c r="T63" s="14" t="str">
        <f>IF(S63="","",IF(INDEX('①名簿入力'!$AG$4:$AG$153,S63)=D63,"",INDEX('①名簿入力'!$AG$4:$AG$153,S63)))</f>
        <v/>
      </c>
      <c r="U63" s="14" t="str">
        <f>IF(S63="","",IF(INDEX('①名簿入力'!$AH$4:$AH$153,S63)=D63,"",INDEX('①名簿入力'!$AH$4:$AH$153,S63)))</f>
        <v/>
      </c>
      <c r="V63" s="14" t="str">
        <f>IF(S63="","",IF(INDEX('①名簿入力'!$AI$4:$AI$153,S63)=D63,"",INDEX('①名簿入力'!$AI$4:$AI$153,S63)))</f>
        <v/>
      </c>
      <c r="W63" s="14" t="str">
        <f>IF(T63="","",IFERROR(IF(INDEX($E$9:$E$158,MATCH(T63,$D$9:$D$158,0))="","",INDEX($E$9:$E$158,MATCH(T63,$D$9:$D$158,0))),""))</f>
        <v/>
      </c>
      <c r="X63" s="14" t="str">
        <f>IF(U63="","",IFERROR(IF(INDEX($E$9:$E$158,MATCH(U63,$D$9:$D$158,0))="","",INDEX($E$9:$E$158,MATCH(U63,$D$9:$D$158,0))),""))</f>
        <v/>
      </c>
      <c r="Y63" s="14" t="str">
        <f>IF(V63="","",IFERROR(IF(INDEX($E$9:$E$158,MATCH(V63,$D$9:$D$158,0))="","",INDEX($E$9:$E$158,MATCH(V63,$D$9:$D$158,0))),""))</f>
        <v/>
      </c>
      <c r="Z63" s="14">
        <f>IF(AND(T63&lt;&gt;"",W63&lt;&gt;"",E63&lt;&gt;""),IF(W63=E63,1,0),0)</f>
        <v>0</v>
      </c>
      <c r="AA63" s="14">
        <f>IF(AND(U63&lt;&gt;"",X63&lt;&gt;"",E63&lt;&gt;""),IF(X63=E63,1,0),0)</f>
        <v>0</v>
      </c>
      <c r="AB63" s="14">
        <f>IF(AND(V63&lt;&gt;"",Y63&lt;&gt;"",E63&lt;&gt;""),IF(Y63=E63,1,0),0)</f>
        <v>0</v>
      </c>
      <c r="AC63" s="14" t="str">
        <f>IF(OR(T63="",E63=""),"",T63&amp;"|"&amp;E63)</f>
        <v/>
      </c>
      <c r="AD63" s="14" t="str">
        <f>IF(OR(U63="",E63=""),"",U63&amp;"|"&amp;E63)</f>
        <v/>
      </c>
      <c r="AE63" s="14" t="str">
        <f>IF(OR(V63="",E63=""),"",V63&amp;"|"&amp;E63)</f>
        <v/>
      </c>
      <c r="AF63" s="14">
        <f>IF(OR(D63="",E63=""),0,COUNTIF($AC$9:$AC$158,D63&amp;"|"&amp;E63)+COUNTIF($AD$9:$AD$158,D63&amp;"|"&amp;E63)+COUNTIF($AE$9:$AE$158,D63&amp;"|"&amp;E63))</f>
        <v>0</v>
      </c>
      <c r="AG63" s="14">
        <f>Z63+AA63+AB63+AF63</f>
        <v>0</v>
      </c>
      <c r="AH63" s="14" t="str">
        <f>IF(OR(D63="",E63=""),"",IFERROR(MATCH(D63&amp;"|"&amp;E63,$AC$9:$AC$158,0),""))</f>
        <v/>
      </c>
      <c r="AI63" s="14" t="str">
        <f>IF(OR(D63="",E63=""),"",IFERROR(MATCH(D63&amp;"|"&amp;E63,$AD$9:$AD$158,0),""))</f>
        <v/>
      </c>
      <c r="AJ63" s="14" t="str">
        <f>IF(OR(D63="",E63=""),"",IFERROR(MATCH(D63&amp;"|"&amp;E63,$AE$9:$AE$158,0),""))</f>
        <v/>
      </c>
      <c r="AK63" s="14" t="str">
        <f>IF(Z63=1,IFERROR(INDEX($F$9:$F$158,MATCH(T63,$D$9:$D$158,0)),"")&amp;"、","")&amp;IF(AA63=1,IFERROR(INDEX($F$9:$F$158,MATCH(U63,$D$9:$D$158,0)),"")&amp;"、","")&amp;IF(AB63=1,IFERROR(INDEX($F$9:$F$158,MATCH(V63,$D$9:$D$158,0)),"")&amp;"、","")</f>
        <v/>
      </c>
      <c r="AL63" s="14" t="str">
        <f>IF(OR(AH63=""),"",IF(OR(INDEX($D$9:$D$158,AH63)=T63,INDEX($D$9:$D$158,AH63)=U63,INDEX($D$9:$D$158,AH63)=V63),"",INDEX($F$9:$F$158,AH63)&amp;"、"))&amp;IF(OR(AI63="",AI63=AH63),"",IF(OR(INDEX($D$9:$D$158,AI63)=T63,INDEX($D$9:$D$158,AI63)=U63,INDEX($D$9:$D$158,AI63)=V63),"",INDEX($F$9:$F$158,AI63)&amp;"、"))&amp;IF(OR(AJ63="",AJ63=AH63,AJ63=AI63),"",IF(OR(INDEX($D$9:$D$158,AJ63)=T63,INDEX($D$9:$D$158,AJ63)=U63,INDEX($D$9:$D$158,AJ63)=V63),"",INDEX($F$9:$F$158,AJ63)&amp;"、"))</f>
        <v/>
      </c>
      <c r="AM63" s="14" t="str">
        <f>IF(T63="","",IFERROR(INDEX('①名簿入力'!$C$4:$C$153,MATCH(T63,'①名簿入力'!$A$4:$A$153,0)),"?")&amp;IF(W63="","","("&amp;W63&amp;"組)"))</f>
        <v/>
      </c>
      <c r="AN63" s="14" t="str">
        <f>IF(U63="","",IFERROR(INDEX('①名簿入力'!$C$4:$C$153,MATCH(U63,'①名簿入力'!$A$4:$A$153,0)),"?")&amp;IF(X63="","","("&amp;X63&amp;"組)"))</f>
        <v/>
      </c>
      <c r="AO63" s="14" t="str">
        <f>IF(V63="","",IFERROR(INDEX('①名簿入力'!$C$4:$C$153,MATCH(V63,'①名簿入力'!$A$4:$A$153,0)),"?")&amp;IF(Y63="","","("&amp;Y63&amp;"組)"))</f>
        <v/>
      </c>
      <c r="AP63" s="14">
        <f>IF(G63="男",1,IF(G63="女",2,3))</f>
        <v>1</v>
      </c>
      <c r="AQ63" s="14">
        <f>IF(OR(S63="",E63=""),"",IFERROR(IF('③クラス一覧'!$AD$6="番号順",0,AP63*1000000000)+D63,""))</f>
        <v>1000002220</v>
      </c>
      <c r="AR63" s="14">
        <f>IF(AQ63="","",COUNTIFS($E$9:$E$158,E63,$AQ$9:$AQ$158,"&lt;"&amp;AQ63)+1)</f>
        <v>10</v>
      </c>
      <c r="AS63" s="14" t="str">
        <f>IF(AR63="","",E63&amp;"-"&amp;AR63)</f>
        <v>1-10</v>
      </c>
      <c r="AT63" s="14">
        <f>IF(S63="","",IF(INDEX('①名簿入力'!$F$4:$F$153,S63)="","",INDEX('①名簿入力'!$F$4:$F$153,S63)))</f>
        <v>56</v>
      </c>
      <c r="AU63" s="14">
        <f>IF(S63="","",IF(INDEX('①名簿入力'!$G$4:$G$153,S63)="","",INDEX('①名簿入力'!$G$4:$G$153,S63)))</f>
        <v>59</v>
      </c>
      <c r="AV63" s="14">
        <f>IF(S63="","",IF(INDEX('①名簿入力'!$H$4:$H$153,S63)="","",INDEX('①名簿入力'!$H$4:$H$153,S63)))</f>
        <v>28</v>
      </c>
      <c r="AW63" s="14">
        <f>IF(S63="","",IF(INDEX('①名簿入力'!$I$4:$I$153,S63)="","",INDEX('①名簿入力'!$I$4:$I$153,S63)))</f>
        <v>67</v>
      </c>
      <c r="AX63" s="14">
        <f>IF(S63="","",IF(INDEX('①名簿入力'!$J$4:$J$153,S63)="","",INDEX('①名簿入力'!$J$4:$J$153,S63)))</f>
        <v>62</v>
      </c>
    </row>
    <row r="64">
      <c r="A64" s="23">
        <f>IF('①名簿入力'!A59="","",'①名簿入力'!A59)</f>
        <v>2221</v>
      </c>
      <c r="B64" s="23">
        <f>IF(A64="","",'①名簿入力'!U59)</f>
        <v>3</v>
      </c>
      <c r="D64" s="8" t="n">
        <v>2221</v>
      </c>
      <c r="E64" s="24" t="n">
        <v>3</v>
      </c>
      <c r="F64" s="25" t="str">
        <f>IF(D64="","",IF(S64="","（名簿にない番号）",INDEX('①名簿入力'!$C$4:$C$153,S64)&amp;""))</f>
        <v>竹内　律</v>
      </c>
      <c r="G64" s="13" t="str">
        <f>IF(S64="","",INDEX('①名簿入力'!$E$4:$E$153,S64)&amp;"")</f>
        <v>男</v>
      </c>
      <c r="H64" s="13">
        <f>IF(S64="","",IF(INDEX('①名簿入力'!$B$4:$B$153,S64)="","",INDEX('①名簿入力'!$B$4:$B$153,S64)))</f>
        <v>2</v>
      </c>
      <c r="I64" s="10">
        <f>IF(S64="","",IF(INDEX('①名簿入力'!$K$4:$K$153,S64)="","",INDEX('①名簿入力'!$K$4:$K$153,S64)))</f>
        <v>65.4</v>
      </c>
      <c r="J64" s="10">
        <f>IF(S64="","",IF(INDEX('①名簿入力'!$L$4:$L$153,S64)="","",INDEX('①名簿入力'!$L$4:$L$153,S64)))</f>
        <v>8.2</v>
      </c>
      <c r="K64" s="13" t="str">
        <f>IF(S64="","",IF(INDEX('①名簿入力'!$Y$4:$Y$153,S64)=1,"〇",""))</f>
        <v/>
      </c>
      <c r="L64" s="13" t="str">
        <f>IF(S64="","",IF(INDEX('①名簿入力'!$Z$4:$Z$153,S64)=1,"〇",""))</f>
        <v/>
      </c>
      <c r="M64" s="13" t="str">
        <f>IF(S64="","",IF(INDEX('①名簿入力'!$AA$4:$AA$153,S64)=1,"〇",""))</f>
        <v>〇</v>
      </c>
      <c r="N64" s="13" t="str">
        <f>IF(S64="","",IF(INDEX('①名簿入力'!$AB$4:$AB$153,S64)=1,"〇",""))</f>
        <v/>
      </c>
      <c r="O64" s="25" t="str">
        <f>AM64&amp;IF(AND(AM64&lt;&gt;"",AN64&lt;&gt;""),"、","")&amp;AN64&amp;IF(AND(AM64&amp;AN64&lt;&gt;"",AO64&lt;&gt;""),"、","")&amp;AO64</f>
        <v/>
      </c>
      <c r="P64" s="25" t="str">
        <f>IF(AG64=0,"",IF(AK64&amp;AL64="","⚠",LEFT(AK64&amp;AL64,LEN(AK64&amp;AL64)-1)))</f>
        <v/>
      </c>
      <c r="Q64" s="25" t="str">
        <f>IF(S64="","",INDEX('①名簿入力'!$T$4:$T$153,S64)&amp;"")</f>
        <v/>
      </c>
      <c r="S64" s="14">
        <f>IF(D64="","",IFERROR(MATCH(D64,'①名簿入力'!$A$4:$A$153,0),""))</f>
        <v>56</v>
      </c>
      <c r="T64" s="14" t="str">
        <f>IF(S64="","",IF(INDEX('①名簿入力'!$AG$4:$AG$153,S64)=D64,"",INDEX('①名簿入力'!$AG$4:$AG$153,S64)))</f>
        <v/>
      </c>
      <c r="U64" s="14" t="str">
        <f>IF(S64="","",IF(INDEX('①名簿入力'!$AH$4:$AH$153,S64)=D64,"",INDEX('①名簿入力'!$AH$4:$AH$153,S64)))</f>
        <v/>
      </c>
      <c r="V64" s="14" t="str">
        <f>IF(S64="","",IF(INDEX('①名簿入力'!$AI$4:$AI$153,S64)=D64,"",INDEX('①名簿入力'!$AI$4:$AI$153,S64)))</f>
        <v/>
      </c>
      <c r="W64" s="14" t="str">
        <f>IF(T64="","",IFERROR(IF(INDEX($E$9:$E$158,MATCH(T64,$D$9:$D$158,0))="","",INDEX($E$9:$E$158,MATCH(T64,$D$9:$D$158,0))),""))</f>
        <v/>
      </c>
      <c r="X64" s="14" t="str">
        <f>IF(U64="","",IFERROR(IF(INDEX($E$9:$E$158,MATCH(U64,$D$9:$D$158,0))="","",INDEX($E$9:$E$158,MATCH(U64,$D$9:$D$158,0))),""))</f>
        <v/>
      </c>
      <c r="Y64" s="14" t="str">
        <f>IF(V64="","",IFERROR(IF(INDEX($E$9:$E$158,MATCH(V64,$D$9:$D$158,0))="","",INDEX($E$9:$E$158,MATCH(V64,$D$9:$D$158,0))),""))</f>
        <v/>
      </c>
      <c r="Z64" s="14">
        <f>IF(AND(T64&lt;&gt;"",W64&lt;&gt;"",E64&lt;&gt;""),IF(W64=E64,1,0),0)</f>
        <v>0</v>
      </c>
      <c r="AA64" s="14">
        <f>IF(AND(U64&lt;&gt;"",X64&lt;&gt;"",E64&lt;&gt;""),IF(X64=E64,1,0),0)</f>
        <v>0</v>
      </c>
      <c r="AB64" s="14">
        <f>IF(AND(V64&lt;&gt;"",Y64&lt;&gt;"",E64&lt;&gt;""),IF(Y64=E64,1,0),0)</f>
        <v>0</v>
      </c>
      <c r="AC64" s="14" t="str">
        <f>IF(OR(T64="",E64=""),"",T64&amp;"|"&amp;E64)</f>
        <v/>
      </c>
      <c r="AD64" s="14" t="str">
        <f>IF(OR(U64="",E64=""),"",U64&amp;"|"&amp;E64)</f>
        <v/>
      </c>
      <c r="AE64" s="14" t="str">
        <f>IF(OR(V64="",E64=""),"",V64&amp;"|"&amp;E64)</f>
        <v/>
      </c>
      <c r="AF64" s="14">
        <f>IF(OR(D64="",E64=""),0,COUNTIF($AC$9:$AC$158,D64&amp;"|"&amp;E64)+COUNTIF($AD$9:$AD$158,D64&amp;"|"&amp;E64)+COUNTIF($AE$9:$AE$158,D64&amp;"|"&amp;E64))</f>
        <v>0</v>
      </c>
      <c r="AG64" s="14">
        <f>Z64+AA64+AB64+AF64</f>
        <v>0</v>
      </c>
      <c r="AH64" s="14" t="str">
        <f>IF(OR(D64="",E64=""),"",IFERROR(MATCH(D64&amp;"|"&amp;E64,$AC$9:$AC$158,0),""))</f>
        <v/>
      </c>
      <c r="AI64" s="14" t="str">
        <f>IF(OR(D64="",E64=""),"",IFERROR(MATCH(D64&amp;"|"&amp;E64,$AD$9:$AD$158,0),""))</f>
        <v/>
      </c>
      <c r="AJ64" s="14" t="str">
        <f>IF(OR(D64="",E64=""),"",IFERROR(MATCH(D64&amp;"|"&amp;E64,$AE$9:$AE$158,0),""))</f>
        <v/>
      </c>
      <c r="AK64" s="14" t="str">
        <f>IF(Z64=1,IFERROR(INDEX($F$9:$F$158,MATCH(T64,$D$9:$D$158,0)),"")&amp;"、","")&amp;IF(AA64=1,IFERROR(INDEX($F$9:$F$158,MATCH(U64,$D$9:$D$158,0)),"")&amp;"、","")&amp;IF(AB64=1,IFERROR(INDEX($F$9:$F$158,MATCH(V64,$D$9:$D$158,0)),"")&amp;"、","")</f>
        <v/>
      </c>
      <c r="AL64" s="14" t="str">
        <f>IF(OR(AH64=""),"",IF(OR(INDEX($D$9:$D$158,AH64)=T64,INDEX($D$9:$D$158,AH64)=U64,INDEX($D$9:$D$158,AH64)=V64),"",INDEX($F$9:$F$158,AH64)&amp;"、"))&amp;IF(OR(AI64="",AI64=AH64),"",IF(OR(INDEX($D$9:$D$158,AI64)=T64,INDEX($D$9:$D$158,AI64)=U64,INDEX($D$9:$D$158,AI64)=V64),"",INDEX($F$9:$F$158,AI64)&amp;"、"))&amp;IF(OR(AJ64="",AJ64=AH64,AJ64=AI64),"",IF(OR(INDEX($D$9:$D$158,AJ64)=T64,INDEX($D$9:$D$158,AJ64)=U64,INDEX($D$9:$D$158,AJ64)=V64),"",INDEX($F$9:$F$158,AJ64)&amp;"、"))</f>
        <v/>
      </c>
      <c r="AM64" s="14" t="str">
        <f>IF(T64="","",IFERROR(INDEX('①名簿入力'!$C$4:$C$153,MATCH(T64,'①名簿入力'!$A$4:$A$153,0)),"?")&amp;IF(W64="","","("&amp;W64&amp;"組)"))</f>
        <v/>
      </c>
      <c r="AN64" s="14" t="str">
        <f>IF(U64="","",IFERROR(INDEX('①名簿入力'!$C$4:$C$153,MATCH(U64,'①名簿入力'!$A$4:$A$153,0)),"?")&amp;IF(X64="","","("&amp;X64&amp;"組)"))</f>
        <v/>
      </c>
      <c r="AO64" s="14" t="str">
        <f>IF(V64="","",IFERROR(INDEX('①名簿入力'!$C$4:$C$153,MATCH(V64,'①名簿入力'!$A$4:$A$153,0)),"?")&amp;IF(Y64="","","("&amp;Y64&amp;"組)"))</f>
        <v/>
      </c>
      <c r="AP64" s="14">
        <f>IF(G64="男",1,IF(G64="女",2,3))</f>
        <v>1</v>
      </c>
      <c r="AQ64" s="14">
        <f>IF(OR(S64="",E64=""),"",IFERROR(IF('③クラス一覧'!$AD$6="番号順",0,AP64*1000000000)+D64,""))</f>
        <v>1000002221</v>
      </c>
      <c r="AR64" s="14">
        <f>IF(AQ64="","",COUNTIFS($E$9:$E$158,E64,$AQ$9:$AQ$158,"&lt;"&amp;AQ64)+1)</f>
        <v>9</v>
      </c>
      <c r="AS64" s="14" t="str">
        <f>IF(AR64="","",E64&amp;"-"&amp;AR64)</f>
        <v>3-9</v>
      </c>
      <c r="AT64" s="14">
        <f>IF(S64="","",IF(INDEX('①名簿入力'!$F$4:$F$153,S64)="","",INDEX('①名簿入力'!$F$4:$F$153,S64)))</f>
        <v>69</v>
      </c>
      <c r="AU64" s="14">
        <f>IF(S64="","",IF(INDEX('①名簿入力'!$G$4:$G$153,S64)="","",INDEX('①名簿入力'!$G$4:$G$153,S64)))</f>
        <v>60</v>
      </c>
      <c r="AV64" s="14">
        <f>IF(S64="","",IF(INDEX('①名簿入力'!$H$4:$H$153,S64)="","",INDEX('①名簿入力'!$H$4:$H$153,S64)))</f>
        <v>61</v>
      </c>
      <c r="AW64" s="14">
        <f>IF(S64="","",IF(INDEX('①名簿入力'!$I$4:$I$153,S64)="","",INDEX('①名簿入力'!$I$4:$I$153,S64)))</f>
        <v>74</v>
      </c>
      <c r="AX64" s="14">
        <f>IF(S64="","",IF(INDEX('①名簿入力'!$J$4:$J$153,S64)="","",INDEX('①名簿入力'!$J$4:$J$153,S64)))</f>
        <v>63</v>
      </c>
    </row>
    <row r="65">
      <c r="A65" s="23">
        <f>IF('①名簿入力'!A60="","",'①名簿入力'!A60)</f>
        <v>2222</v>
      </c>
      <c r="B65" s="23">
        <f>IF(A65="","",'①名簿入力'!U60)</f>
        <v>2</v>
      </c>
      <c r="D65" s="8" t="n">
        <v>2222</v>
      </c>
      <c r="E65" s="24" t="n">
        <v>2</v>
      </c>
      <c r="F65" s="25" t="str">
        <f>IF(D65="","",IF(S65="","（名簿にない番号）",INDEX('①名簿入力'!$C$4:$C$153,S65)&amp;""))</f>
        <v>中山　颯太</v>
      </c>
      <c r="G65" s="13" t="str">
        <f>IF(S65="","",INDEX('①名簿入力'!$E$4:$E$153,S65)&amp;"")</f>
        <v>男</v>
      </c>
      <c r="H65" s="13">
        <f>IF(S65="","",IF(INDEX('①名簿入力'!$B$4:$B$153,S65)="","",INDEX('①名簿入力'!$B$4:$B$153,S65)))</f>
        <v>2</v>
      </c>
      <c r="I65" s="10">
        <f>IF(S65="","",IF(INDEX('①名簿入力'!$K$4:$K$153,S65)="","",INDEX('①名簿入力'!$K$4:$K$153,S65)))</f>
        <v>63.6</v>
      </c>
      <c r="J65" s="10">
        <f>IF(S65="","",IF(INDEX('①名簿入力'!$L$4:$L$153,S65)="","",INDEX('①名簿入力'!$L$4:$L$153,S65)))</f>
        <v>8.1</v>
      </c>
      <c r="K65" s="13" t="str">
        <f>IF(S65="","",IF(INDEX('①名簿入力'!$Y$4:$Y$153,S65)=1,"〇",""))</f>
        <v/>
      </c>
      <c r="L65" s="13" t="str">
        <f>IF(S65="","",IF(INDEX('①名簿入力'!$Z$4:$Z$153,S65)=1,"〇",""))</f>
        <v/>
      </c>
      <c r="M65" s="13" t="str">
        <f>IF(S65="","",IF(INDEX('①名簿入力'!$AA$4:$AA$153,S65)=1,"〇",""))</f>
        <v/>
      </c>
      <c r="N65" s="13" t="str">
        <f>IF(S65="","",IF(INDEX('①名簿入力'!$AB$4:$AB$153,S65)=1,"〇",""))</f>
        <v>〇</v>
      </c>
      <c r="O65" s="25" t="str">
        <f>AM65&amp;IF(AND(AM65&lt;&gt;"",AN65&lt;&gt;""),"、","")&amp;AN65&amp;IF(AND(AM65&amp;AN65&lt;&gt;"",AO65&lt;&gt;""),"、","")&amp;AO65</f>
        <v/>
      </c>
      <c r="P65" s="25" t="str">
        <f>IF(AG65=0,"",IF(AK65&amp;AL65="","⚠",LEFT(AK65&amp;AL65,LEN(AK65&amp;AL65)-1)))</f>
        <v/>
      </c>
      <c r="Q65" s="25" t="str">
        <f>IF(S65="","",INDEX('①名簿入力'!$T$4:$T$153,S65)&amp;"")</f>
        <v/>
      </c>
      <c r="S65" s="14">
        <f>IF(D65="","",IFERROR(MATCH(D65,'①名簿入力'!$A$4:$A$153,0),""))</f>
        <v>57</v>
      </c>
      <c r="T65" s="14" t="str">
        <f>IF(S65="","",IF(INDEX('①名簿入力'!$AG$4:$AG$153,S65)=D65,"",INDEX('①名簿入力'!$AG$4:$AG$153,S65)))</f>
        <v/>
      </c>
      <c r="U65" s="14" t="str">
        <f>IF(S65="","",IF(INDEX('①名簿入力'!$AH$4:$AH$153,S65)=D65,"",INDEX('①名簿入力'!$AH$4:$AH$153,S65)))</f>
        <v/>
      </c>
      <c r="V65" s="14" t="str">
        <f>IF(S65="","",IF(INDEX('①名簿入力'!$AI$4:$AI$153,S65)=D65,"",INDEX('①名簿入力'!$AI$4:$AI$153,S65)))</f>
        <v/>
      </c>
      <c r="W65" s="14" t="str">
        <f>IF(T65="","",IFERROR(IF(INDEX($E$9:$E$158,MATCH(T65,$D$9:$D$158,0))="","",INDEX($E$9:$E$158,MATCH(T65,$D$9:$D$158,0))),""))</f>
        <v/>
      </c>
      <c r="X65" s="14" t="str">
        <f>IF(U65="","",IFERROR(IF(INDEX($E$9:$E$158,MATCH(U65,$D$9:$D$158,0))="","",INDEX($E$9:$E$158,MATCH(U65,$D$9:$D$158,0))),""))</f>
        <v/>
      </c>
      <c r="Y65" s="14" t="str">
        <f>IF(V65="","",IFERROR(IF(INDEX($E$9:$E$158,MATCH(V65,$D$9:$D$158,0))="","",INDEX($E$9:$E$158,MATCH(V65,$D$9:$D$158,0))),""))</f>
        <v/>
      </c>
      <c r="Z65" s="14">
        <f>IF(AND(T65&lt;&gt;"",W65&lt;&gt;"",E65&lt;&gt;""),IF(W65=E65,1,0),0)</f>
        <v>0</v>
      </c>
      <c r="AA65" s="14">
        <f>IF(AND(U65&lt;&gt;"",X65&lt;&gt;"",E65&lt;&gt;""),IF(X65=E65,1,0),0)</f>
        <v>0</v>
      </c>
      <c r="AB65" s="14">
        <f>IF(AND(V65&lt;&gt;"",Y65&lt;&gt;"",E65&lt;&gt;""),IF(Y65=E65,1,0),0)</f>
        <v>0</v>
      </c>
      <c r="AC65" s="14" t="str">
        <f>IF(OR(T65="",E65=""),"",T65&amp;"|"&amp;E65)</f>
        <v/>
      </c>
      <c r="AD65" s="14" t="str">
        <f>IF(OR(U65="",E65=""),"",U65&amp;"|"&amp;E65)</f>
        <v/>
      </c>
      <c r="AE65" s="14" t="str">
        <f>IF(OR(V65="",E65=""),"",V65&amp;"|"&amp;E65)</f>
        <v/>
      </c>
      <c r="AF65" s="14">
        <f>IF(OR(D65="",E65=""),0,COUNTIF($AC$9:$AC$158,D65&amp;"|"&amp;E65)+COUNTIF($AD$9:$AD$158,D65&amp;"|"&amp;E65)+COUNTIF($AE$9:$AE$158,D65&amp;"|"&amp;E65))</f>
        <v>0</v>
      </c>
      <c r="AG65" s="14">
        <f>Z65+AA65+AB65+AF65</f>
        <v>0</v>
      </c>
      <c r="AH65" s="14" t="str">
        <f>IF(OR(D65="",E65=""),"",IFERROR(MATCH(D65&amp;"|"&amp;E65,$AC$9:$AC$158,0),""))</f>
        <v/>
      </c>
      <c r="AI65" s="14" t="str">
        <f>IF(OR(D65="",E65=""),"",IFERROR(MATCH(D65&amp;"|"&amp;E65,$AD$9:$AD$158,0),""))</f>
        <v/>
      </c>
      <c r="AJ65" s="14" t="str">
        <f>IF(OR(D65="",E65=""),"",IFERROR(MATCH(D65&amp;"|"&amp;E65,$AE$9:$AE$158,0),""))</f>
        <v/>
      </c>
      <c r="AK65" s="14" t="str">
        <f>IF(Z65=1,IFERROR(INDEX($F$9:$F$158,MATCH(T65,$D$9:$D$158,0)),"")&amp;"、","")&amp;IF(AA65=1,IFERROR(INDEX($F$9:$F$158,MATCH(U65,$D$9:$D$158,0)),"")&amp;"、","")&amp;IF(AB65=1,IFERROR(INDEX($F$9:$F$158,MATCH(V65,$D$9:$D$158,0)),"")&amp;"、","")</f>
        <v/>
      </c>
      <c r="AL65" s="14" t="str">
        <f>IF(OR(AH65=""),"",IF(OR(INDEX($D$9:$D$158,AH65)=T65,INDEX($D$9:$D$158,AH65)=U65,INDEX($D$9:$D$158,AH65)=V65),"",INDEX($F$9:$F$158,AH65)&amp;"、"))&amp;IF(OR(AI65="",AI65=AH65),"",IF(OR(INDEX($D$9:$D$158,AI65)=T65,INDEX($D$9:$D$158,AI65)=U65,INDEX($D$9:$D$158,AI65)=V65),"",INDEX($F$9:$F$158,AI65)&amp;"、"))&amp;IF(OR(AJ65="",AJ65=AH65,AJ65=AI65),"",IF(OR(INDEX($D$9:$D$158,AJ65)=T65,INDEX($D$9:$D$158,AJ65)=U65,INDEX($D$9:$D$158,AJ65)=V65),"",INDEX($F$9:$F$158,AJ65)&amp;"、"))</f>
        <v/>
      </c>
      <c r="AM65" s="14" t="str">
        <f>IF(T65="","",IFERROR(INDEX('①名簿入力'!$C$4:$C$153,MATCH(T65,'①名簿入力'!$A$4:$A$153,0)),"?")&amp;IF(W65="","","("&amp;W65&amp;"組)"))</f>
        <v/>
      </c>
      <c r="AN65" s="14" t="str">
        <f>IF(U65="","",IFERROR(INDEX('①名簿入力'!$C$4:$C$153,MATCH(U65,'①名簿入力'!$A$4:$A$153,0)),"?")&amp;IF(X65="","","("&amp;X65&amp;"組)"))</f>
        <v/>
      </c>
      <c r="AO65" s="14" t="str">
        <f>IF(V65="","",IFERROR(INDEX('①名簿入力'!$C$4:$C$153,MATCH(V65,'①名簿入力'!$A$4:$A$153,0)),"?")&amp;IF(Y65="","","("&amp;Y65&amp;"組)"))</f>
        <v/>
      </c>
      <c r="AP65" s="14">
        <f>IF(G65="男",1,IF(G65="女",2,3))</f>
        <v>1</v>
      </c>
      <c r="AQ65" s="14">
        <f>IF(OR(S65="",E65=""),"",IFERROR(IF('③クラス一覧'!$AD$6="番号順",0,AP65*1000000000)+D65,""))</f>
        <v>1000002222</v>
      </c>
      <c r="AR65" s="14">
        <f>IF(AQ65="","",COUNTIFS($E$9:$E$158,E65,$AQ$9:$AQ$158,"&lt;"&amp;AQ65)+1)</f>
        <v>10</v>
      </c>
      <c r="AS65" s="14" t="str">
        <f>IF(AR65="","",E65&amp;"-"&amp;AR65)</f>
        <v>2-10</v>
      </c>
      <c r="AT65" s="14">
        <f>IF(S65="","",IF(INDEX('①名簿入力'!$F$4:$F$153,S65)="","",INDEX('①名簿入力'!$F$4:$F$153,S65)))</f>
        <v>58</v>
      </c>
      <c r="AU65" s="14">
        <f>IF(S65="","",IF(INDEX('①名簿入力'!$G$4:$G$153,S65)="","",INDEX('①名簿入力'!$G$4:$G$153,S65)))</f>
        <v>75</v>
      </c>
      <c r="AV65" s="14">
        <f>IF(S65="","",IF(INDEX('①名簿入力'!$H$4:$H$153,S65)="","",INDEX('①名簿入力'!$H$4:$H$153,S65)))</f>
        <v>65</v>
      </c>
      <c r="AW65" s="14">
        <f>IF(S65="","",IF(INDEX('①名簿入力'!$I$4:$I$153,S65)="","",INDEX('①名簿入力'!$I$4:$I$153,S65)))</f>
        <v>45</v>
      </c>
      <c r="AX65" s="14">
        <f>IF(S65="","",IF(INDEX('①名簿入力'!$J$4:$J$153,S65)="","",INDEX('①名簿入力'!$J$4:$J$153,S65)))</f>
        <v>75</v>
      </c>
    </row>
    <row r="66">
      <c r="A66" s="23">
        <f>IF('①名簿入力'!A61="","",'①名簿入力'!A61)</f>
        <v>2223</v>
      </c>
      <c r="B66" s="23">
        <f>IF(A66="","",'①名簿入力'!U61)</f>
        <v>3</v>
      </c>
      <c r="D66" s="8" t="n">
        <v>2223</v>
      </c>
      <c r="E66" s="24" t="n">
        <v>3</v>
      </c>
      <c r="F66" s="25" t="str">
        <f>IF(D66="","",IF(S66="","（名簿にない番号）",INDEX('①名簿入力'!$C$4:$C$153,S66)&amp;""))</f>
        <v>橋本　琴音</v>
      </c>
      <c r="G66" s="13" t="str">
        <f>IF(S66="","",INDEX('①名簿入力'!$E$4:$E$153,S66)&amp;"")</f>
        <v>女</v>
      </c>
      <c r="H66" s="13">
        <f>IF(S66="","",IF(INDEX('①名簿入力'!$B$4:$B$153,S66)="","",INDEX('①名簿入力'!$B$4:$B$153,S66)))</f>
        <v>2</v>
      </c>
      <c r="I66" s="10">
        <f>IF(S66="","",IF(INDEX('①名簿入力'!$K$4:$K$153,S66)="","",INDEX('①名簿入力'!$K$4:$K$153,S66)))</f>
        <v>69.6</v>
      </c>
      <c r="J66" s="10">
        <f>IF(S66="","",IF(INDEX('①名簿入力'!$L$4:$L$153,S66)="","",INDEX('①名簿入力'!$L$4:$L$153,S66)))</f>
        <v>9.1</v>
      </c>
      <c r="K66" s="13" t="str">
        <f>IF(S66="","",IF(INDEX('①名簿入力'!$Y$4:$Y$153,S66)=1,"〇",""))</f>
        <v/>
      </c>
      <c r="L66" s="13" t="str">
        <f>IF(S66="","",IF(INDEX('①名簿入力'!$Z$4:$Z$153,S66)=1,"〇",""))</f>
        <v>〇</v>
      </c>
      <c r="M66" s="13" t="str">
        <f>IF(S66="","",IF(INDEX('①名簿入力'!$AA$4:$AA$153,S66)=1,"〇",""))</f>
        <v/>
      </c>
      <c r="N66" s="13" t="str">
        <f>IF(S66="","",IF(INDEX('①名簿入力'!$AB$4:$AB$153,S66)=1,"〇",""))</f>
        <v/>
      </c>
      <c r="O66" s="25" t="str">
        <f>AM66&amp;IF(AND(AM66&lt;&gt;"",AN66&lt;&gt;""),"、","")&amp;AN66&amp;IF(AND(AM66&amp;AN66&lt;&gt;"",AO66&lt;&gt;""),"、","")&amp;AO66</f>
        <v/>
      </c>
      <c r="P66" s="25" t="str">
        <f>IF(AG66=0,"",IF(AK66&amp;AL66="","⚠",LEFT(AK66&amp;AL66,LEN(AK66&amp;AL66)-1)))</f>
        <v/>
      </c>
      <c r="Q66" s="25" t="str">
        <f>IF(S66="","",INDEX('①名簿入力'!$T$4:$T$153,S66)&amp;"")</f>
        <v/>
      </c>
      <c r="S66" s="14">
        <f>IF(D66="","",IFERROR(MATCH(D66,'①名簿入力'!$A$4:$A$153,0),""))</f>
        <v>58</v>
      </c>
      <c r="T66" s="14" t="str">
        <f>IF(S66="","",IF(INDEX('①名簿入力'!$AG$4:$AG$153,S66)=D66,"",INDEX('①名簿入力'!$AG$4:$AG$153,S66)))</f>
        <v/>
      </c>
      <c r="U66" s="14" t="str">
        <f>IF(S66="","",IF(INDEX('①名簿入力'!$AH$4:$AH$153,S66)=D66,"",INDEX('①名簿入力'!$AH$4:$AH$153,S66)))</f>
        <v/>
      </c>
      <c r="V66" s="14" t="str">
        <f>IF(S66="","",IF(INDEX('①名簿入力'!$AI$4:$AI$153,S66)=D66,"",INDEX('①名簿入力'!$AI$4:$AI$153,S66)))</f>
        <v/>
      </c>
      <c r="W66" s="14" t="str">
        <f>IF(T66="","",IFERROR(IF(INDEX($E$9:$E$158,MATCH(T66,$D$9:$D$158,0))="","",INDEX($E$9:$E$158,MATCH(T66,$D$9:$D$158,0))),""))</f>
        <v/>
      </c>
      <c r="X66" s="14" t="str">
        <f>IF(U66="","",IFERROR(IF(INDEX($E$9:$E$158,MATCH(U66,$D$9:$D$158,0))="","",INDEX($E$9:$E$158,MATCH(U66,$D$9:$D$158,0))),""))</f>
        <v/>
      </c>
      <c r="Y66" s="14" t="str">
        <f>IF(V66="","",IFERROR(IF(INDEX($E$9:$E$158,MATCH(V66,$D$9:$D$158,0))="","",INDEX($E$9:$E$158,MATCH(V66,$D$9:$D$158,0))),""))</f>
        <v/>
      </c>
      <c r="Z66" s="14">
        <f>IF(AND(T66&lt;&gt;"",W66&lt;&gt;"",E66&lt;&gt;""),IF(W66=E66,1,0),0)</f>
        <v>0</v>
      </c>
      <c r="AA66" s="14">
        <f>IF(AND(U66&lt;&gt;"",X66&lt;&gt;"",E66&lt;&gt;""),IF(X66=E66,1,0),0)</f>
        <v>0</v>
      </c>
      <c r="AB66" s="14">
        <f>IF(AND(V66&lt;&gt;"",Y66&lt;&gt;"",E66&lt;&gt;""),IF(Y66=E66,1,0),0)</f>
        <v>0</v>
      </c>
      <c r="AC66" s="14" t="str">
        <f>IF(OR(T66="",E66=""),"",T66&amp;"|"&amp;E66)</f>
        <v/>
      </c>
      <c r="AD66" s="14" t="str">
        <f>IF(OR(U66="",E66=""),"",U66&amp;"|"&amp;E66)</f>
        <v/>
      </c>
      <c r="AE66" s="14" t="str">
        <f>IF(OR(V66="",E66=""),"",V66&amp;"|"&amp;E66)</f>
        <v/>
      </c>
      <c r="AF66" s="14">
        <f>IF(OR(D66="",E66=""),0,COUNTIF($AC$9:$AC$158,D66&amp;"|"&amp;E66)+COUNTIF($AD$9:$AD$158,D66&amp;"|"&amp;E66)+COUNTIF($AE$9:$AE$158,D66&amp;"|"&amp;E66))</f>
        <v>0</v>
      </c>
      <c r="AG66" s="14">
        <f>Z66+AA66+AB66+AF66</f>
        <v>0</v>
      </c>
      <c r="AH66" s="14" t="str">
        <f>IF(OR(D66="",E66=""),"",IFERROR(MATCH(D66&amp;"|"&amp;E66,$AC$9:$AC$158,0),""))</f>
        <v/>
      </c>
      <c r="AI66" s="14" t="str">
        <f>IF(OR(D66="",E66=""),"",IFERROR(MATCH(D66&amp;"|"&amp;E66,$AD$9:$AD$158,0),""))</f>
        <v/>
      </c>
      <c r="AJ66" s="14" t="str">
        <f>IF(OR(D66="",E66=""),"",IFERROR(MATCH(D66&amp;"|"&amp;E66,$AE$9:$AE$158,0),""))</f>
        <v/>
      </c>
      <c r="AK66" s="14" t="str">
        <f>IF(Z66=1,IFERROR(INDEX($F$9:$F$158,MATCH(T66,$D$9:$D$158,0)),"")&amp;"、","")&amp;IF(AA66=1,IFERROR(INDEX($F$9:$F$158,MATCH(U66,$D$9:$D$158,0)),"")&amp;"、","")&amp;IF(AB66=1,IFERROR(INDEX($F$9:$F$158,MATCH(V66,$D$9:$D$158,0)),"")&amp;"、","")</f>
        <v/>
      </c>
      <c r="AL66" s="14" t="str">
        <f>IF(OR(AH66=""),"",IF(OR(INDEX($D$9:$D$158,AH66)=T66,INDEX($D$9:$D$158,AH66)=U66,INDEX($D$9:$D$158,AH66)=V66),"",INDEX($F$9:$F$158,AH66)&amp;"、"))&amp;IF(OR(AI66="",AI66=AH66),"",IF(OR(INDEX($D$9:$D$158,AI66)=T66,INDEX($D$9:$D$158,AI66)=U66,INDEX($D$9:$D$158,AI66)=V66),"",INDEX($F$9:$F$158,AI66)&amp;"、"))&amp;IF(OR(AJ66="",AJ66=AH66,AJ66=AI66),"",IF(OR(INDEX($D$9:$D$158,AJ66)=T66,INDEX($D$9:$D$158,AJ66)=U66,INDEX($D$9:$D$158,AJ66)=V66),"",INDEX($F$9:$F$158,AJ66)&amp;"、"))</f>
        <v/>
      </c>
      <c r="AM66" s="14" t="str">
        <f>IF(T66="","",IFERROR(INDEX('①名簿入力'!$C$4:$C$153,MATCH(T66,'①名簿入力'!$A$4:$A$153,0)),"?")&amp;IF(W66="","","("&amp;W66&amp;"組)"))</f>
        <v/>
      </c>
      <c r="AN66" s="14" t="str">
        <f>IF(U66="","",IFERROR(INDEX('①名簿入力'!$C$4:$C$153,MATCH(U66,'①名簿入力'!$A$4:$A$153,0)),"?")&amp;IF(X66="","","("&amp;X66&amp;"組)"))</f>
        <v/>
      </c>
      <c r="AO66" s="14" t="str">
        <f>IF(V66="","",IFERROR(INDEX('①名簿入力'!$C$4:$C$153,MATCH(V66,'①名簿入力'!$A$4:$A$153,0)),"?")&amp;IF(Y66="","","("&amp;Y66&amp;"組)"))</f>
        <v/>
      </c>
      <c r="AP66" s="14">
        <f>IF(G66="男",1,IF(G66="女",2,3))</f>
        <v>2</v>
      </c>
      <c r="AQ66" s="14">
        <f>IF(OR(S66="",E66=""),"",IFERROR(IF('③クラス一覧'!$AD$6="番号順",0,AP66*1000000000)+D66,""))</f>
        <v>2000002223</v>
      </c>
      <c r="AR66" s="14">
        <f>IF(AQ66="","",COUNTIFS($E$9:$E$158,E66,$AQ$9:$AQ$158,"&lt;"&amp;AQ66)+1)</f>
        <v>26</v>
      </c>
      <c r="AS66" s="14" t="str">
        <f>IF(AR66="","",E66&amp;"-"&amp;AR66)</f>
        <v>3-26</v>
      </c>
      <c r="AT66" s="14">
        <f>IF(S66="","",IF(INDEX('①名簿入力'!$F$4:$F$153,S66)="","",INDEX('①名簿入力'!$F$4:$F$153,S66)))</f>
        <v>65</v>
      </c>
      <c r="AU66" s="14">
        <f>IF(S66="","",IF(INDEX('①名簿入力'!$G$4:$G$153,S66)="","",INDEX('①名簿入力'!$G$4:$G$153,S66)))</f>
        <v>88</v>
      </c>
      <c r="AV66" s="14">
        <f>IF(S66="","",IF(INDEX('①名簿入力'!$H$4:$H$153,S66)="","",INDEX('①名簿入力'!$H$4:$H$153,S66)))</f>
        <v>74</v>
      </c>
      <c r="AW66" s="14">
        <f>IF(S66="","",IF(INDEX('①名簿入力'!$I$4:$I$153,S66)="","",INDEX('①名簿入力'!$I$4:$I$153,S66)))</f>
        <v>58</v>
      </c>
      <c r="AX66" s="14">
        <f>IF(S66="","",IF(INDEX('①名簿入力'!$J$4:$J$153,S66)="","",INDEX('①名簿入力'!$J$4:$J$153,S66)))</f>
        <v>63</v>
      </c>
    </row>
    <row r="67">
      <c r="A67" s="23">
        <f>IF('①名簿入力'!A62="","",'①名簿入力'!A62)</f>
        <v>2224</v>
      </c>
      <c r="B67" s="23">
        <f>IF(A67="","",'①名簿入力'!U62)</f>
        <v>3</v>
      </c>
      <c r="D67" s="8" t="n">
        <v>2224</v>
      </c>
      <c r="E67" s="24" t="n">
        <v>3</v>
      </c>
      <c r="F67" s="25" t="str">
        <f>IF(D67="","",IF(S67="","（名簿にない番号）",INDEX('①名簿入力'!$C$4:$C$153,S67)&amp;""))</f>
        <v>福田　美咲</v>
      </c>
      <c r="G67" s="13" t="str">
        <f>IF(S67="","",INDEX('①名簿入力'!$E$4:$E$153,S67)&amp;"")</f>
        <v>女</v>
      </c>
      <c r="H67" s="13">
        <f>IF(S67="","",IF(INDEX('①名簿入力'!$B$4:$B$153,S67)="","",INDEX('①名簿入力'!$B$4:$B$153,S67)))</f>
        <v>2</v>
      </c>
      <c r="I67" s="10">
        <f>IF(S67="","",IF(INDEX('①名簿入力'!$K$4:$K$153,S67)="","",INDEX('①名簿入力'!$K$4:$K$153,S67)))</f>
        <v>38.8</v>
      </c>
      <c r="J67" s="10">
        <f>IF(S67="","",IF(INDEX('①名簿入力'!$L$4:$L$153,S67)="","",INDEX('①名簿入力'!$L$4:$L$153,S67)))</f>
        <v>8.8</v>
      </c>
      <c r="K67" s="13" t="str">
        <f>IF(S67="","",IF(INDEX('①名簿入力'!$Y$4:$Y$153,S67)=1,"〇",""))</f>
        <v/>
      </c>
      <c r="L67" s="13" t="str">
        <f>IF(S67="","",IF(INDEX('①名簿入力'!$Z$4:$Z$153,S67)=1,"〇",""))</f>
        <v/>
      </c>
      <c r="M67" s="13" t="str">
        <f>IF(S67="","",IF(INDEX('①名簿入力'!$AA$4:$AA$153,S67)=1,"〇",""))</f>
        <v/>
      </c>
      <c r="N67" s="13" t="str">
        <f>IF(S67="","",IF(INDEX('①名簿入力'!$AB$4:$AB$153,S67)=1,"〇",""))</f>
        <v/>
      </c>
      <c r="O67" s="25" t="str">
        <f>AM67&amp;IF(AND(AM67&lt;&gt;"",AN67&lt;&gt;""),"、","")&amp;AN67&amp;IF(AND(AM67&amp;AN67&lt;&gt;"",AO67&lt;&gt;""),"、","")&amp;AO67</f>
        <v>後藤　美咲(2組)</v>
      </c>
      <c r="P67" s="25" t="str">
        <f>IF(AG67=0,"",IF(AK67&amp;AL67="","⚠",LEFT(AK67&amp;AL67,LEN(AK67&amp;AL67)-1)))</f>
        <v/>
      </c>
      <c r="Q67" s="25" t="str">
        <f>IF(S67="","",INDEX('①名簿入力'!$T$4:$T$153,S67)&amp;"")</f>
        <v/>
      </c>
      <c r="S67" s="14">
        <f>IF(D67="","",IFERROR(MATCH(D67,'①名簿入力'!$A$4:$A$153,0),""))</f>
        <v>59</v>
      </c>
      <c r="T67" s="14">
        <f>IF(S67="","",IF(INDEX('①名簿入力'!$AG$4:$AG$153,S67)=D67,"",INDEX('①名簿入力'!$AG$4:$AG$153,S67)))</f>
        <v>2216</v>
      </c>
      <c r="U67" s="14" t="str">
        <f>IF(S67="","",IF(INDEX('①名簿入力'!$AH$4:$AH$153,S67)=D67,"",INDEX('①名簿入力'!$AH$4:$AH$153,S67)))</f>
        <v/>
      </c>
      <c r="V67" s="14" t="str">
        <f>IF(S67="","",IF(INDEX('①名簿入力'!$AI$4:$AI$153,S67)=D67,"",INDEX('①名簿入力'!$AI$4:$AI$153,S67)))</f>
        <v/>
      </c>
      <c r="W67" s="14">
        <f>IF(T67="","",IFERROR(IF(INDEX($E$9:$E$158,MATCH(T67,$D$9:$D$158,0))="","",INDEX($E$9:$E$158,MATCH(T67,$D$9:$D$158,0))),""))</f>
        <v>2</v>
      </c>
      <c r="X67" s="14" t="str">
        <f>IF(U67="","",IFERROR(IF(INDEX($E$9:$E$158,MATCH(U67,$D$9:$D$158,0))="","",INDEX($E$9:$E$158,MATCH(U67,$D$9:$D$158,0))),""))</f>
        <v/>
      </c>
      <c r="Y67" s="14" t="str">
        <f>IF(V67="","",IFERROR(IF(INDEX($E$9:$E$158,MATCH(V67,$D$9:$D$158,0))="","",INDEX($E$9:$E$158,MATCH(V67,$D$9:$D$158,0))),""))</f>
        <v/>
      </c>
      <c r="Z67" s="14">
        <f>IF(AND(T67&lt;&gt;"",W67&lt;&gt;"",E67&lt;&gt;""),IF(W67=E67,1,0),0)</f>
        <v>0</v>
      </c>
      <c r="AA67" s="14">
        <f>IF(AND(U67&lt;&gt;"",X67&lt;&gt;"",E67&lt;&gt;""),IF(X67=E67,1,0),0)</f>
        <v>0</v>
      </c>
      <c r="AB67" s="14">
        <f>IF(AND(V67&lt;&gt;"",Y67&lt;&gt;"",E67&lt;&gt;""),IF(Y67=E67,1,0),0)</f>
        <v>0</v>
      </c>
      <c r="AC67" s="14" t="str">
        <f>IF(OR(T67="",E67=""),"",T67&amp;"|"&amp;E67)</f>
        <v>2216|3</v>
      </c>
      <c r="AD67" s="14" t="str">
        <f>IF(OR(U67="",E67=""),"",U67&amp;"|"&amp;E67)</f>
        <v/>
      </c>
      <c r="AE67" s="14" t="str">
        <f>IF(OR(V67="",E67=""),"",V67&amp;"|"&amp;E67)</f>
        <v/>
      </c>
      <c r="AF67" s="14">
        <f>IF(OR(D67="",E67=""),0,COUNTIF($AC$9:$AC$158,D67&amp;"|"&amp;E67)+COUNTIF($AD$9:$AD$158,D67&amp;"|"&amp;E67)+COUNTIF($AE$9:$AE$158,D67&amp;"|"&amp;E67))</f>
        <v>0</v>
      </c>
      <c r="AG67" s="14">
        <f>Z67+AA67+AB67+AF67</f>
        <v>0</v>
      </c>
      <c r="AH67" s="14" t="str">
        <f>IF(OR(D67="",E67=""),"",IFERROR(MATCH(D67&amp;"|"&amp;E67,$AC$9:$AC$158,0),""))</f>
        <v/>
      </c>
      <c r="AI67" s="14" t="str">
        <f>IF(OR(D67="",E67=""),"",IFERROR(MATCH(D67&amp;"|"&amp;E67,$AD$9:$AD$158,0),""))</f>
        <v/>
      </c>
      <c r="AJ67" s="14" t="str">
        <f>IF(OR(D67="",E67=""),"",IFERROR(MATCH(D67&amp;"|"&amp;E67,$AE$9:$AE$158,0),""))</f>
        <v/>
      </c>
      <c r="AK67" s="14" t="str">
        <f>IF(Z67=1,IFERROR(INDEX($F$9:$F$158,MATCH(T67,$D$9:$D$158,0)),"")&amp;"、","")&amp;IF(AA67=1,IFERROR(INDEX($F$9:$F$158,MATCH(U67,$D$9:$D$158,0)),"")&amp;"、","")&amp;IF(AB67=1,IFERROR(INDEX($F$9:$F$158,MATCH(V67,$D$9:$D$158,0)),"")&amp;"、","")</f>
        <v/>
      </c>
      <c r="AL67" s="14" t="str">
        <f>IF(OR(AH67=""),"",IF(OR(INDEX($D$9:$D$158,AH67)=T67,INDEX($D$9:$D$158,AH67)=U67,INDEX($D$9:$D$158,AH67)=V67),"",INDEX($F$9:$F$158,AH67)&amp;"、"))&amp;IF(OR(AI67="",AI67=AH67),"",IF(OR(INDEX($D$9:$D$158,AI67)=T67,INDEX($D$9:$D$158,AI67)=U67,INDEX($D$9:$D$158,AI67)=V67),"",INDEX($F$9:$F$158,AI67)&amp;"、"))&amp;IF(OR(AJ67="",AJ67=AH67,AJ67=AI67),"",IF(OR(INDEX($D$9:$D$158,AJ67)=T67,INDEX($D$9:$D$158,AJ67)=U67,INDEX($D$9:$D$158,AJ67)=V67),"",INDEX($F$9:$F$158,AJ67)&amp;"、"))</f>
        <v/>
      </c>
      <c r="AM67" s="14" t="str">
        <f>IF(T67="","",IFERROR(INDEX('①名簿入力'!$C$4:$C$153,MATCH(T67,'①名簿入力'!$A$4:$A$153,0)),"?")&amp;IF(W67="","","("&amp;W67&amp;"組)"))</f>
        <v>後藤　美咲(2組)</v>
      </c>
      <c r="AN67" s="14" t="str">
        <f>IF(U67="","",IFERROR(INDEX('①名簿入力'!$C$4:$C$153,MATCH(U67,'①名簿入力'!$A$4:$A$153,0)),"?")&amp;IF(X67="","","("&amp;X67&amp;"組)"))</f>
        <v/>
      </c>
      <c r="AO67" s="14" t="str">
        <f>IF(V67="","",IFERROR(INDEX('①名簿入力'!$C$4:$C$153,MATCH(V67,'①名簿入力'!$A$4:$A$153,0)),"?")&amp;IF(Y67="","","("&amp;Y67&amp;"組)"))</f>
        <v/>
      </c>
      <c r="AP67" s="14">
        <f>IF(G67="男",1,IF(G67="女",2,3))</f>
        <v>2</v>
      </c>
      <c r="AQ67" s="14">
        <f>IF(OR(S67="",E67=""),"",IFERROR(IF('③クラス一覧'!$AD$6="番号順",0,AP67*1000000000)+D67,""))</f>
        <v>2000002224</v>
      </c>
      <c r="AR67" s="14">
        <f>IF(AQ67="","",COUNTIFS($E$9:$E$158,E67,$AQ$9:$AQ$158,"&lt;"&amp;AQ67)+1)</f>
        <v>27</v>
      </c>
      <c r="AS67" s="14" t="str">
        <f>IF(AR67="","",E67&amp;"-"&amp;AR67)</f>
        <v>3-27</v>
      </c>
      <c r="AT67" s="14">
        <f>IF(S67="","",IF(INDEX('①名簿入力'!$F$4:$F$153,S67)="","",INDEX('①名簿入力'!$F$4:$F$153,S67)))</f>
        <v>30</v>
      </c>
      <c r="AU67" s="14">
        <f>IF(S67="","",IF(INDEX('①名簿入力'!$G$4:$G$153,S67)="","",INDEX('①名簿入力'!$G$4:$G$153,S67)))</f>
        <v>54</v>
      </c>
      <c r="AV67" s="14">
        <f>IF(S67="","",IF(INDEX('①名簿入力'!$H$4:$H$153,S67)="","",INDEX('①名簿入力'!$H$4:$H$153,S67)))</f>
        <v>40</v>
      </c>
      <c r="AW67" s="14">
        <f>IF(S67="","",IF(INDEX('①名簿入力'!$I$4:$I$153,S67)="","",INDEX('①名簿入力'!$I$4:$I$153,S67)))</f>
        <v>28</v>
      </c>
      <c r="AX67" s="14">
        <f>IF(S67="","",IF(INDEX('①名簿入力'!$J$4:$J$153,S67)="","",INDEX('①名簿入力'!$J$4:$J$153,S67)))</f>
        <v>42</v>
      </c>
    </row>
    <row r="68">
      <c r="A68" s="23">
        <f>IF('①名簿入力'!A63="","",'①名簿入力'!A63)</f>
        <v>2225</v>
      </c>
      <c r="B68" s="23">
        <f>IF(A68="","",'①名簿入力'!U63)</f>
        <v>3</v>
      </c>
      <c r="D68" s="8" t="n">
        <v>2225</v>
      </c>
      <c r="E68" s="24" t="n">
        <v>3</v>
      </c>
      <c r="F68" s="25" t="str">
        <f>IF(D68="","",IF(S68="","（名簿にない番号）",INDEX('①名簿入力'!$C$4:$C$153,S68)&amp;""))</f>
        <v>藤井　大和</v>
      </c>
      <c r="G68" s="13" t="str">
        <f>IF(S68="","",INDEX('①名簿入力'!$E$4:$E$153,S68)&amp;"")</f>
        <v>男</v>
      </c>
      <c r="H68" s="13">
        <f>IF(S68="","",IF(INDEX('①名簿入力'!$B$4:$B$153,S68)="","",INDEX('①名簿入力'!$B$4:$B$153,S68)))</f>
        <v>2</v>
      </c>
      <c r="I68" s="10">
        <f>IF(S68="","",IF(INDEX('①名簿入力'!$K$4:$K$153,S68)="","",INDEX('①名簿入力'!$K$4:$K$153,S68)))</f>
        <v>78</v>
      </c>
      <c r="J68" s="10">
        <f>IF(S68="","",IF(INDEX('①名簿入力'!$L$4:$L$153,S68)="","",INDEX('①名簿入力'!$L$4:$L$153,S68)))</f>
        <v>7.2</v>
      </c>
      <c r="K68" s="13" t="str">
        <f>IF(S68="","",IF(INDEX('①名簿入力'!$Y$4:$Y$153,S68)=1,"〇",""))</f>
        <v/>
      </c>
      <c r="L68" s="13" t="str">
        <f>IF(S68="","",IF(INDEX('①名簿入力'!$Z$4:$Z$153,S68)=1,"〇",""))</f>
        <v/>
      </c>
      <c r="M68" s="13" t="str">
        <f>IF(S68="","",IF(INDEX('①名簿入力'!$AA$4:$AA$153,S68)=1,"〇",""))</f>
        <v/>
      </c>
      <c r="N68" s="13" t="str">
        <f>IF(S68="","",IF(INDEX('①名簿入力'!$AB$4:$AB$153,S68)=1,"〇",""))</f>
        <v/>
      </c>
      <c r="O68" s="25" t="str">
        <f>AM68&amp;IF(AND(AM68&lt;&gt;"",AN68&lt;&gt;""),"、","")&amp;AN68&amp;IF(AND(AM68&amp;AN68&lt;&gt;"",AO68&lt;&gt;""),"、","")&amp;AO68</f>
        <v/>
      </c>
      <c r="P68" s="25" t="str">
        <f>IF(AG68=0,"",IF(AK68&amp;AL68="","⚠",LEFT(AK68&amp;AL68,LEN(AK68&amp;AL68)-1)))</f>
        <v/>
      </c>
      <c r="Q68" s="25" t="str">
        <f>IF(S68="","",INDEX('①名簿入力'!$T$4:$T$153,S68)&amp;"")</f>
        <v/>
      </c>
      <c r="S68" s="14">
        <f>IF(D68="","",IFERROR(MATCH(D68,'①名簿入力'!$A$4:$A$153,0),""))</f>
        <v>60</v>
      </c>
      <c r="T68" s="14" t="str">
        <f>IF(S68="","",IF(INDEX('①名簿入力'!$AG$4:$AG$153,S68)=D68,"",INDEX('①名簿入力'!$AG$4:$AG$153,S68)))</f>
        <v/>
      </c>
      <c r="U68" s="14" t="str">
        <f>IF(S68="","",IF(INDEX('①名簿入力'!$AH$4:$AH$153,S68)=D68,"",INDEX('①名簿入力'!$AH$4:$AH$153,S68)))</f>
        <v/>
      </c>
      <c r="V68" s="14" t="str">
        <f>IF(S68="","",IF(INDEX('①名簿入力'!$AI$4:$AI$153,S68)=D68,"",INDEX('①名簿入力'!$AI$4:$AI$153,S68)))</f>
        <v/>
      </c>
      <c r="W68" s="14" t="str">
        <f>IF(T68="","",IFERROR(IF(INDEX($E$9:$E$158,MATCH(T68,$D$9:$D$158,0))="","",INDEX($E$9:$E$158,MATCH(T68,$D$9:$D$158,0))),""))</f>
        <v/>
      </c>
      <c r="X68" s="14" t="str">
        <f>IF(U68="","",IFERROR(IF(INDEX($E$9:$E$158,MATCH(U68,$D$9:$D$158,0))="","",INDEX($E$9:$E$158,MATCH(U68,$D$9:$D$158,0))),""))</f>
        <v/>
      </c>
      <c r="Y68" s="14" t="str">
        <f>IF(V68="","",IFERROR(IF(INDEX($E$9:$E$158,MATCH(V68,$D$9:$D$158,0))="","",INDEX($E$9:$E$158,MATCH(V68,$D$9:$D$158,0))),""))</f>
        <v/>
      </c>
      <c r="Z68" s="14">
        <f>IF(AND(T68&lt;&gt;"",W68&lt;&gt;"",E68&lt;&gt;""),IF(W68=E68,1,0),0)</f>
        <v>0</v>
      </c>
      <c r="AA68" s="14">
        <f>IF(AND(U68&lt;&gt;"",X68&lt;&gt;"",E68&lt;&gt;""),IF(X68=E68,1,0),0)</f>
        <v>0</v>
      </c>
      <c r="AB68" s="14">
        <f>IF(AND(V68&lt;&gt;"",Y68&lt;&gt;"",E68&lt;&gt;""),IF(Y68=E68,1,0),0)</f>
        <v>0</v>
      </c>
      <c r="AC68" s="14" t="str">
        <f>IF(OR(T68="",E68=""),"",T68&amp;"|"&amp;E68)</f>
        <v/>
      </c>
      <c r="AD68" s="14" t="str">
        <f>IF(OR(U68="",E68=""),"",U68&amp;"|"&amp;E68)</f>
        <v/>
      </c>
      <c r="AE68" s="14" t="str">
        <f>IF(OR(V68="",E68=""),"",V68&amp;"|"&amp;E68)</f>
        <v/>
      </c>
      <c r="AF68" s="14">
        <f>IF(OR(D68="",E68=""),0,COUNTIF($AC$9:$AC$158,D68&amp;"|"&amp;E68)+COUNTIF($AD$9:$AD$158,D68&amp;"|"&amp;E68)+COUNTIF($AE$9:$AE$158,D68&amp;"|"&amp;E68))</f>
        <v>0</v>
      </c>
      <c r="AG68" s="14">
        <f>Z68+AA68+AB68+AF68</f>
        <v>0</v>
      </c>
      <c r="AH68" s="14" t="str">
        <f>IF(OR(D68="",E68=""),"",IFERROR(MATCH(D68&amp;"|"&amp;E68,$AC$9:$AC$158,0),""))</f>
        <v/>
      </c>
      <c r="AI68" s="14" t="str">
        <f>IF(OR(D68="",E68=""),"",IFERROR(MATCH(D68&amp;"|"&amp;E68,$AD$9:$AD$158,0),""))</f>
        <v/>
      </c>
      <c r="AJ68" s="14" t="str">
        <f>IF(OR(D68="",E68=""),"",IFERROR(MATCH(D68&amp;"|"&amp;E68,$AE$9:$AE$158,0),""))</f>
        <v/>
      </c>
      <c r="AK68" s="14" t="str">
        <f>IF(Z68=1,IFERROR(INDEX($F$9:$F$158,MATCH(T68,$D$9:$D$158,0)),"")&amp;"、","")&amp;IF(AA68=1,IFERROR(INDEX($F$9:$F$158,MATCH(U68,$D$9:$D$158,0)),"")&amp;"、","")&amp;IF(AB68=1,IFERROR(INDEX($F$9:$F$158,MATCH(V68,$D$9:$D$158,0)),"")&amp;"、","")</f>
        <v/>
      </c>
      <c r="AL68" s="14" t="str">
        <f>IF(OR(AH68=""),"",IF(OR(INDEX($D$9:$D$158,AH68)=T68,INDEX($D$9:$D$158,AH68)=U68,INDEX($D$9:$D$158,AH68)=V68),"",INDEX($F$9:$F$158,AH68)&amp;"、"))&amp;IF(OR(AI68="",AI68=AH68),"",IF(OR(INDEX($D$9:$D$158,AI68)=T68,INDEX($D$9:$D$158,AI68)=U68,INDEX($D$9:$D$158,AI68)=V68),"",INDEX($F$9:$F$158,AI68)&amp;"、"))&amp;IF(OR(AJ68="",AJ68=AH68,AJ68=AI68),"",IF(OR(INDEX($D$9:$D$158,AJ68)=T68,INDEX($D$9:$D$158,AJ68)=U68,INDEX($D$9:$D$158,AJ68)=V68),"",INDEX($F$9:$F$158,AJ68)&amp;"、"))</f>
        <v/>
      </c>
      <c r="AM68" s="14" t="str">
        <f>IF(T68="","",IFERROR(INDEX('①名簿入力'!$C$4:$C$153,MATCH(T68,'①名簿入力'!$A$4:$A$153,0)),"?")&amp;IF(W68="","","("&amp;W68&amp;"組)"))</f>
        <v/>
      </c>
      <c r="AN68" s="14" t="str">
        <f>IF(U68="","",IFERROR(INDEX('①名簿入力'!$C$4:$C$153,MATCH(U68,'①名簿入力'!$A$4:$A$153,0)),"?")&amp;IF(X68="","","("&amp;X68&amp;"組)"))</f>
        <v/>
      </c>
      <c r="AO68" s="14" t="str">
        <f>IF(V68="","",IFERROR(INDEX('①名簿入力'!$C$4:$C$153,MATCH(V68,'①名簿入力'!$A$4:$A$153,0)),"?")&amp;IF(Y68="","","("&amp;Y68&amp;"組)"))</f>
        <v/>
      </c>
      <c r="AP68" s="14">
        <f>IF(G68="男",1,IF(G68="女",2,3))</f>
        <v>1</v>
      </c>
      <c r="AQ68" s="14">
        <f>IF(OR(S68="",E68=""),"",IFERROR(IF('③クラス一覧'!$AD$6="番号順",0,AP68*1000000000)+D68,""))</f>
        <v>1000002225</v>
      </c>
      <c r="AR68" s="14">
        <f>IF(AQ68="","",COUNTIFS($E$9:$E$158,E68,$AQ$9:$AQ$158,"&lt;"&amp;AQ68)+1)</f>
        <v>10</v>
      </c>
      <c r="AS68" s="14" t="str">
        <f>IF(AR68="","",E68&amp;"-"&amp;AR68)</f>
        <v>3-10</v>
      </c>
      <c r="AT68" s="14">
        <f>IF(S68="","",IF(INDEX('①名簿入力'!$F$4:$F$153,S68)="","",INDEX('①名簿入力'!$F$4:$F$153,S68)))</f>
        <v>78</v>
      </c>
      <c r="AU68" s="14">
        <f>IF(S68="","",IF(INDEX('①名簿入力'!$G$4:$G$153,S68)="","",INDEX('①名簿入力'!$G$4:$G$153,S68)))</f>
        <v>79</v>
      </c>
      <c r="AV68" s="14">
        <f>IF(S68="","",IF(INDEX('①名簿入力'!$H$4:$H$153,S68)="","",INDEX('①名簿入力'!$H$4:$H$153,S68)))</f>
        <v>84</v>
      </c>
      <c r="AW68" s="14">
        <f>IF(S68="","",IF(INDEX('①名簿入力'!$I$4:$I$153,S68)="","",INDEX('①名簿入力'!$I$4:$I$153,S68)))</f>
        <v>70</v>
      </c>
      <c r="AX68" s="14">
        <f>IF(S68="","",IF(INDEX('①名簿入力'!$J$4:$J$153,S68)="","",INDEX('①名簿入力'!$J$4:$J$153,S68)))</f>
        <v>79</v>
      </c>
    </row>
    <row r="69">
      <c r="A69" s="23">
        <f>IF('①名簿入力'!A64="","",'①名簿入力'!A64)</f>
        <v>2226</v>
      </c>
      <c r="B69" s="23">
        <f>IF(A69="","",'①名簿入力'!U64)</f>
        <v>1</v>
      </c>
      <c r="D69" s="8" t="n">
        <v>2226</v>
      </c>
      <c r="E69" s="24" t="n">
        <v>1</v>
      </c>
      <c r="F69" s="25" t="str">
        <f>IF(D69="","",IF(S69="","（名簿にない番号）",INDEX('①名簿入力'!$C$4:$C$153,S69)&amp;""))</f>
        <v>藤田　彩花</v>
      </c>
      <c r="G69" s="13" t="str">
        <f>IF(S69="","",INDEX('①名簿入力'!$E$4:$E$153,S69)&amp;"")</f>
        <v>女</v>
      </c>
      <c r="H69" s="13">
        <f>IF(S69="","",IF(INDEX('①名簿入力'!$B$4:$B$153,S69)="","",INDEX('①名簿入力'!$B$4:$B$153,S69)))</f>
        <v>2</v>
      </c>
      <c r="I69" s="10">
        <f>IF(S69="","",IF(INDEX('①名簿入力'!$K$4:$K$153,S69)="","",INDEX('①名簿入力'!$K$4:$K$153,S69)))</f>
        <v>59.4</v>
      </c>
      <c r="J69" s="10">
        <f>IF(S69="","",IF(INDEX('①名簿入力'!$L$4:$L$153,S69)="","",INDEX('①名簿入力'!$L$4:$L$153,S69)))</f>
        <v>8.9</v>
      </c>
      <c r="K69" s="13" t="str">
        <f>IF(S69="","",IF(INDEX('①名簿入力'!$Y$4:$Y$153,S69)=1,"〇",""))</f>
        <v/>
      </c>
      <c r="L69" s="13" t="str">
        <f>IF(S69="","",IF(INDEX('①名簿入力'!$Z$4:$Z$153,S69)=1,"〇",""))</f>
        <v/>
      </c>
      <c r="M69" s="13" t="str">
        <f>IF(S69="","",IF(INDEX('①名簿入力'!$AA$4:$AA$153,S69)=1,"〇",""))</f>
        <v/>
      </c>
      <c r="N69" s="13" t="str">
        <f>IF(S69="","",IF(INDEX('①名簿入力'!$AB$4:$AB$153,S69)=1,"〇",""))</f>
        <v/>
      </c>
      <c r="O69" s="25" t="str">
        <f>AM69&amp;IF(AND(AM69&lt;&gt;"",AN69&lt;&gt;""),"、","")&amp;AN69&amp;IF(AND(AM69&amp;AN69&lt;&gt;"",AO69&lt;&gt;""),"、","")&amp;AO69</f>
        <v>森田　美羽(1組)</v>
      </c>
      <c r="P69" s="25" t="str">
        <f>IF(AG69=0,"",IF(AK69&amp;AL69="","⚠",LEFT(AK69&amp;AL69,LEN(AK69&amp;AL69)-1)))</f>
        <v>森田　美羽</v>
      </c>
      <c r="Q69" s="25" t="str">
        <f>IF(S69="","",INDEX('①名簿入力'!$T$4:$T$153,S69)&amp;"")</f>
        <v/>
      </c>
      <c r="S69" s="14">
        <f>IF(D69="","",IFERROR(MATCH(D69,'①名簿入力'!$A$4:$A$153,0),""))</f>
        <v>61</v>
      </c>
      <c r="T69" s="14">
        <f>IF(S69="","",IF(INDEX('①名簿入力'!$AG$4:$AG$153,S69)=D69,"",INDEX('①名簿入力'!$AG$4:$AG$153,S69)))</f>
        <v>2231</v>
      </c>
      <c r="U69" s="14" t="str">
        <f>IF(S69="","",IF(INDEX('①名簿入力'!$AH$4:$AH$153,S69)=D69,"",INDEX('①名簿入力'!$AH$4:$AH$153,S69)))</f>
        <v/>
      </c>
      <c r="V69" s="14" t="str">
        <f>IF(S69="","",IF(INDEX('①名簿入力'!$AI$4:$AI$153,S69)=D69,"",INDEX('①名簿入力'!$AI$4:$AI$153,S69)))</f>
        <v/>
      </c>
      <c r="W69" s="14">
        <f>IF(T69="","",IFERROR(IF(INDEX($E$9:$E$158,MATCH(T69,$D$9:$D$158,0))="","",INDEX($E$9:$E$158,MATCH(T69,$D$9:$D$158,0))),""))</f>
        <v>1</v>
      </c>
      <c r="X69" s="14" t="str">
        <f>IF(U69="","",IFERROR(IF(INDEX($E$9:$E$158,MATCH(U69,$D$9:$D$158,0))="","",INDEX($E$9:$E$158,MATCH(U69,$D$9:$D$158,0))),""))</f>
        <v/>
      </c>
      <c r="Y69" s="14" t="str">
        <f>IF(V69="","",IFERROR(IF(INDEX($E$9:$E$158,MATCH(V69,$D$9:$D$158,0))="","",INDEX($E$9:$E$158,MATCH(V69,$D$9:$D$158,0))),""))</f>
        <v/>
      </c>
      <c r="Z69" s="14">
        <f>IF(AND(T69&lt;&gt;"",W69&lt;&gt;"",E69&lt;&gt;""),IF(W69=E69,1,0),0)</f>
        <v>1</v>
      </c>
      <c r="AA69" s="14">
        <f>IF(AND(U69&lt;&gt;"",X69&lt;&gt;"",E69&lt;&gt;""),IF(X69=E69,1,0),0)</f>
        <v>0</v>
      </c>
      <c r="AB69" s="14">
        <f>IF(AND(V69&lt;&gt;"",Y69&lt;&gt;"",E69&lt;&gt;""),IF(Y69=E69,1,0),0)</f>
        <v>0</v>
      </c>
      <c r="AC69" s="14" t="str">
        <f>IF(OR(T69="",E69=""),"",T69&amp;"|"&amp;E69)</f>
        <v>2231|1</v>
      </c>
      <c r="AD69" s="14" t="str">
        <f>IF(OR(U69="",E69=""),"",U69&amp;"|"&amp;E69)</f>
        <v/>
      </c>
      <c r="AE69" s="14" t="str">
        <f>IF(OR(V69="",E69=""),"",V69&amp;"|"&amp;E69)</f>
        <v/>
      </c>
      <c r="AF69" s="14">
        <f>IF(OR(D69="",E69=""),0,COUNTIF($AC$9:$AC$158,D69&amp;"|"&amp;E69)+COUNTIF($AD$9:$AD$158,D69&amp;"|"&amp;E69)+COUNTIF($AE$9:$AE$158,D69&amp;"|"&amp;E69))</f>
        <v>0</v>
      </c>
      <c r="AG69" s="14">
        <f>Z69+AA69+AB69+AF69</f>
        <v>1</v>
      </c>
      <c r="AH69" s="14" t="str">
        <f>IF(OR(D69="",E69=""),"",IFERROR(MATCH(D69&amp;"|"&amp;E69,$AC$9:$AC$158,0),""))</f>
        <v/>
      </c>
      <c r="AI69" s="14" t="str">
        <f>IF(OR(D69="",E69=""),"",IFERROR(MATCH(D69&amp;"|"&amp;E69,$AD$9:$AD$158,0),""))</f>
        <v/>
      </c>
      <c r="AJ69" s="14" t="str">
        <f>IF(OR(D69="",E69=""),"",IFERROR(MATCH(D69&amp;"|"&amp;E69,$AE$9:$AE$158,0),""))</f>
        <v/>
      </c>
      <c r="AK69" s="14" t="str">
        <f>IF(Z69=1,IFERROR(INDEX($F$9:$F$158,MATCH(T69,$D$9:$D$158,0)),"")&amp;"、","")&amp;IF(AA69=1,IFERROR(INDEX($F$9:$F$158,MATCH(U69,$D$9:$D$158,0)),"")&amp;"、","")&amp;IF(AB69=1,IFERROR(INDEX($F$9:$F$158,MATCH(V69,$D$9:$D$158,0)),"")&amp;"、","")</f>
        <v>森田　美羽、</v>
      </c>
      <c r="AL69" s="14" t="str">
        <f>IF(OR(AH69=""),"",IF(OR(INDEX($D$9:$D$158,AH69)=T69,INDEX($D$9:$D$158,AH69)=U69,INDEX($D$9:$D$158,AH69)=V69),"",INDEX($F$9:$F$158,AH69)&amp;"、"))&amp;IF(OR(AI69="",AI69=AH69),"",IF(OR(INDEX($D$9:$D$158,AI69)=T69,INDEX($D$9:$D$158,AI69)=U69,INDEX($D$9:$D$158,AI69)=V69),"",INDEX($F$9:$F$158,AI69)&amp;"、"))&amp;IF(OR(AJ69="",AJ69=AH69,AJ69=AI69),"",IF(OR(INDEX($D$9:$D$158,AJ69)=T69,INDEX($D$9:$D$158,AJ69)=U69,INDEX($D$9:$D$158,AJ69)=V69),"",INDEX($F$9:$F$158,AJ69)&amp;"、"))</f>
        <v/>
      </c>
      <c r="AM69" s="14" t="str">
        <f>IF(T69="","",IFERROR(INDEX('①名簿入力'!$C$4:$C$153,MATCH(T69,'①名簿入力'!$A$4:$A$153,0)),"?")&amp;IF(W69="","","("&amp;W69&amp;"組)"))</f>
        <v>森田　美羽(1組)</v>
      </c>
      <c r="AN69" s="14" t="str">
        <f>IF(U69="","",IFERROR(INDEX('①名簿入力'!$C$4:$C$153,MATCH(U69,'①名簿入力'!$A$4:$A$153,0)),"?")&amp;IF(X69="","","("&amp;X69&amp;"組)"))</f>
        <v/>
      </c>
      <c r="AO69" s="14" t="str">
        <f>IF(V69="","",IFERROR(INDEX('①名簿入力'!$C$4:$C$153,MATCH(V69,'①名簿入力'!$A$4:$A$153,0)),"?")&amp;IF(Y69="","","("&amp;Y69&amp;"組)"))</f>
        <v/>
      </c>
      <c r="AP69" s="14">
        <f>IF(G69="男",1,IF(G69="女",2,3))</f>
        <v>2</v>
      </c>
      <c r="AQ69" s="14">
        <f>IF(OR(S69="",E69=""),"",IFERROR(IF('③クラス一覧'!$AD$6="番号順",0,AP69*1000000000)+D69,""))</f>
        <v>2000002226</v>
      </c>
      <c r="AR69" s="14">
        <f>IF(AQ69="","",COUNTIFS($E$9:$E$158,E69,$AQ$9:$AQ$158,"&lt;"&amp;AQ69)+1)</f>
        <v>29</v>
      </c>
      <c r="AS69" s="14" t="str">
        <f>IF(AR69="","",E69&amp;"-"&amp;AR69)</f>
        <v>1-29</v>
      </c>
      <c r="AT69" s="14">
        <f>IF(S69="","",IF(INDEX('①名簿入力'!$F$4:$F$153,S69)="","",INDEX('①名簿入力'!$F$4:$F$153,S69)))</f>
        <v>61</v>
      </c>
      <c r="AU69" s="14">
        <f>IF(S69="","",IF(INDEX('①名簿入力'!$G$4:$G$153,S69)="","",INDEX('①名簿入力'!$G$4:$G$153,S69)))</f>
        <v>67</v>
      </c>
      <c r="AV69" s="14">
        <f>IF(S69="","",IF(INDEX('①名簿入力'!$H$4:$H$153,S69)="","",INDEX('①名簿入力'!$H$4:$H$153,S69)))</f>
        <v>48</v>
      </c>
      <c r="AW69" s="14">
        <f>IF(S69="","",IF(INDEX('①名簿入力'!$I$4:$I$153,S69)="","",INDEX('①名簿入力'!$I$4:$I$153,S69)))</f>
        <v>66</v>
      </c>
      <c r="AX69" s="14">
        <f>IF(S69="","",IF(INDEX('①名簿入力'!$J$4:$J$153,S69)="","",INDEX('①名簿入力'!$J$4:$J$153,S69)))</f>
        <v>55</v>
      </c>
    </row>
    <row r="70">
      <c r="A70" s="23">
        <f>IF('①名簿入力'!A65="","",'①名簿入力'!A65)</f>
        <v>2227</v>
      </c>
      <c r="B70" s="23">
        <f>IF(A70="","",'①名簿入力'!U65)</f>
        <v>2</v>
      </c>
      <c r="D70" s="8" t="n">
        <v>2227</v>
      </c>
      <c r="E70" s="24" t="n">
        <v>2</v>
      </c>
      <c r="F70" s="25" t="str">
        <f>IF(D70="","",IF(S70="","（名簿にない番号）",INDEX('①名簿入力'!$C$4:$C$153,S70)&amp;""))</f>
        <v>三浦　蓮</v>
      </c>
      <c r="G70" s="13" t="str">
        <f>IF(S70="","",INDEX('①名簿入力'!$E$4:$E$153,S70)&amp;"")</f>
        <v>男</v>
      </c>
      <c r="H70" s="13">
        <f>IF(S70="","",IF(INDEX('①名簿入力'!$B$4:$B$153,S70)="","",INDEX('①名簿入力'!$B$4:$B$153,S70)))</f>
        <v>2</v>
      </c>
      <c r="I70" s="10">
        <f>IF(S70="","",IF(INDEX('①名簿入力'!$K$4:$K$153,S70)="","",INDEX('①名簿入力'!$K$4:$K$153,S70)))</f>
        <v>64.4</v>
      </c>
      <c r="J70" s="10">
        <f>IF(S70="","",IF(INDEX('①名簿入力'!$L$4:$L$153,S70)="","",INDEX('①名簿入力'!$L$4:$L$153,S70)))</f>
        <v>8.4</v>
      </c>
      <c r="K70" s="13" t="str">
        <f>IF(S70="","",IF(INDEX('①名簿入力'!$Y$4:$Y$153,S70)=1,"〇",""))</f>
        <v/>
      </c>
      <c r="L70" s="13" t="str">
        <f>IF(S70="","",IF(INDEX('①名簿入力'!$Z$4:$Z$153,S70)=1,"〇",""))</f>
        <v/>
      </c>
      <c r="M70" s="13" t="str">
        <f>IF(S70="","",IF(INDEX('①名簿入力'!$AA$4:$AA$153,S70)=1,"〇",""))</f>
        <v/>
      </c>
      <c r="N70" s="13" t="str">
        <f>IF(S70="","",IF(INDEX('①名簿入力'!$AB$4:$AB$153,S70)=1,"〇",""))</f>
        <v/>
      </c>
      <c r="O70" s="25" t="str">
        <f>AM70&amp;IF(AND(AM70&lt;&gt;"",AN70&lt;&gt;""),"、","")&amp;AN70&amp;IF(AND(AM70&amp;AN70&lt;&gt;"",AO70&lt;&gt;""),"、","")&amp;AO70</f>
        <v/>
      </c>
      <c r="P70" s="25" t="str">
        <f>IF(AG70=0,"",IF(AK70&amp;AL70="","⚠",LEFT(AK70&amp;AL70,LEN(AK70&amp;AL70)-1)))</f>
        <v/>
      </c>
      <c r="Q70" s="25" t="str">
        <f>IF(S70="","",INDEX('①名簿入力'!$T$4:$T$153,S70)&amp;"")</f>
        <v/>
      </c>
      <c r="S70" s="14">
        <f>IF(D70="","",IFERROR(MATCH(D70,'①名簿入力'!$A$4:$A$153,0),""))</f>
        <v>62</v>
      </c>
      <c r="T70" s="14" t="str">
        <f>IF(S70="","",IF(INDEX('①名簿入力'!$AG$4:$AG$153,S70)=D70,"",INDEX('①名簿入力'!$AG$4:$AG$153,S70)))</f>
        <v/>
      </c>
      <c r="U70" s="14" t="str">
        <f>IF(S70="","",IF(INDEX('①名簿入力'!$AH$4:$AH$153,S70)=D70,"",INDEX('①名簿入力'!$AH$4:$AH$153,S70)))</f>
        <v/>
      </c>
      <c r="V70" s="14" t="str">
        <f>IF(S70="","",IF(INDEX('①名簿入力'!$AI$4:$AI$153,S70)=D70,"",INDEX('①名簿入力'!$AI$4:$AI$153,S70)))</f>
        <v/>
      </c>
      <c r="W70" s="14" t="str">
        <f>IF(T70="","",IFERROR(IF(INDEX($E$9:$E$158,MATCH(T70,$D$9:$D$158,0))="","",INDEX($E$9:$E$158,MATCH(T70,$D$9:$D$158,0))),""))</f>
        <v/>
      </c>
      <c r="X70" s="14" t="str">
        <f>IF(U70="","",IFERROR(IF(INDEX($E$9:$E$158,MATCH(U70,$D$9:$D$158,0))="","",INDEX($E$9:$E$158,MATCH(U70,$D$9:$D$158,0))),""))</f>
        <v/>
      </c>
      <c r="Y70" s="14" t="str">
        <f>IF(V70="","",IFERROR(IF(INDEX($E$9:$E$158,MATCH(V70,$D$9:$D$158,0))="","",INDEX($E$9:$E$158,MATCH(V70,$D$9:$D$158,0))),""))</f>
        <v/>
      </c>
      <c r="Z70" s="14">
        <f>IF(AND(T70&lt;&gt;"",W70&lt;&gt;"",E70&lt;&gt;""),IF(W70=E70,1,0),0)</f>
        <v>0</v>
      </c>
      <c r="AA70" s="14">
        <f>IF(AND(U70&lt;&gt;"",X70&lt;&gt;"",E70&lt;&gt;""),IF(X70=E70,1,0),0)</f>
        <v>0</v>
      </c>
      <c r="AB70" s="14">
        <f>IF(AND(V70&lt;&gt;"",Y70&lt;&gt;"",E70&lt;&gt;""),IF(Y70=E70,1,0),0)</f>
        <v>0</v>
      </c>
      <c r="AC70" s="14" t="str">
        <f>IF(OR(T70="",E70=""),"",T70&amp;"|"&amp;E70)</f>
        <v/>
      </c>
      <c r="AD70" s="14" t="str">
        <f>IF(OR(U70="",E70=""),"",U70&amp;"|"&amp;E70)</f>
        <v/>
      </c>
      <c r="AE70" s="14" t="str">
        <f>IF(OR(V70="",E70=""),"",V70&amp;"|"&amp;E70)</f>
        <v/>
      </c>
      <c r="AF70" s="14">
        <f>IF(OR(D70="",E70=""),0,COUNTIF($AC$9:$AC$158,D70&amp;"|"&amp;E70)+COUNTIF($AD$9:$AD$158,D70&amp;"|"&amp;E70)+COUNTIF($AE$9:$AE$158,D70&amp;"|"&amp;E70))</f>
        <v>0</v>
      </c>
      <c r="AG70" s="14">
        <f>Z70+AA70+AB70+AF70</f>
        <v>0</v>
      </c>
      <c r="AH70" s="14" t="str">
        <f>IF(OR(D70="",E70=""),"",IFERROR(MATCH(D70&amp;"|"&amp;E70,$AC$9:$AC$158,0),""))</f>
        <v/>
      </c>
      <c r="AI70" s="14" t="str">
        <f>IF(OR(D70="",E70=""),"",IFERROR(MATCH(D70&amp;"|"&amp;E70,$AD$9:$AD$158,0),""))</f>
        <v/>
      </c>
      <c r="AJ70" s="14" t="str">
        <f>IF(OR(D70="",E70=""),"",IFERROR(MATCH(D70&amp;"|"&amp;E70,$AE$9:$AE$158,0),""))</f>
        <v/>
      </c>
      <c r="AK70" s="14" t="str">
        <f>IF(Z70=1,IFERROR(INDEX($F$9:$F$158,MATCH(T70,$D$9:$D$158,0)),"")&amp;"、","")&amp;IF(AA70=1,IFERROR(INDEX($F$9:$F$158,MATCH(U70,$D$9:$D$158,0)),"")&amp;"、","")&amp;IF(AB70=1,IFERROR(INDEX($F$9:$F$158,MATCH(V70,$D$9:$D$158,0)),"")&amp;"、","")</f>
        <v/>
      </c>
      <c r="AL70" s="14" t="str">
        <f>IF(OR(AH70=""),"",IF(OR(INDEX($D$9:$D$158,AH70)=T70,INDEX($D$9:$D$158,AH70)=U70,INDEX($D$9:$D$158,AH70)=V70),"",INDEX($F$9:$F$158,AH70)&amp;"、"))&amp;IF(OR(AI70="",AI70=AH70),"",IF(OR(INDEX($D$9:$D$158,AI70)=T70,INDEX($D$9:$D$158,AI70)=U70,INDEX($D$9:$D$158,AI70)=V70),"",INDEX($F$9:$F$158,AI70)&amp;"、"))&amp;IF(OR(AJ70="",AJ70=AH70,AJ70=AI70),"",IF(OR(INDEX($D$9:$D$158,AJ70)=T70,INDEX($D$9:$D$158,AJ70)=U70,INDEX($D$9:$D$158,AJ70)=V70),"",INDEX($F$9:$F$158,AJ70)&amp;"、"))</f>
        <v/>
      </c>
      <c r="AM70" s="14" t="str">
        <f>IF(T70="","",IFERROR(INDEX('①名簿入力'!$C$4:$C$153,MATCH(T70,'①名簿入力'!$A$4:$A$153,0)),"?")&amp;IF(W70="","","("&amp;W70&amp;"組)"))</f>
        <v/>
      </c>
      <c r="AN70" s="14" t="str">
        <f>IF(U70="","",IFERROR(INDEX('①名簿入力'!$C$4:$C$153,MATCH(U70,'①名簿入力'!$A$4:$A$153,0)),"?")&amp;IF(X70="","","("&amp;X70&amp;"組)"))</f>
        <v/>
      </c>
      <c r="AO70" s="14" t="str">
        <f>IF(V70="","",IFERROR(INDEX('①名簿入力'!$C$4:$C$153,MATCH(V70,'①名簿入力'!$A$4:$A$153,0)),"?")&amp;IF(Y70="","","("&amp;Y70&amp;"組)"))</f>
        <v/>
      </c>
      <c r="AP70" s="14">
        <f>IF(G70="男",1,IF(G70="女",2,3))</f>
        <v>1</v>
      </c>
      <c r="AQ70" s="14">
        <f>IF(OR(S70="",E70=""),"",IFERROR(IF('③クラス一覧'!$AD$6="番号順",0,AP70*1000000000)+D70,""))</f>
        <v>1000002227</v>
      </c>
      <c r="AR70" s="14">
        <f>IF(AQ70="","",COUNTIFS($E$9:$E$158,E70,$AQ$9:$AQ$158,"&lt;"&amp;AQ70)+1)</f>
        <v>11</v>
      </c>
      <c r="AS70" s="14" t="str">
        <f>IF(AR70="","",E70&amp;"-"&amp;AR70)</f>
        <v>2-11</v>
      </c>
      <c r="AT70" s="14">
        <f>IF(S70="","",IF(INDEX('①名簿入力'!$F$4:$F$153,S70)="","",INDEX('①名簿入力'!$F$4:$F$153,S70)))</f>
        <v>60</v>
      </c>
      <c r="AU70" s="14">
        <f>IF(S70="","",IF(INDEX('①名簿入力'!$G$4:$G$153,S70)="","",INDEX('①名簿入力'!$G$4:$G$153,S70)))</f>
        <v>71</v>
      </c>
      <c r="AV70" s="14">
        <f>IF(S70="","",IF(INDEX('①名簿入力'!$H$4:$H$153,S70)="","",INDEX('①名簿入力'!$H$4:$H$153,S70)))</f>
        <v>59</v>
      </c>
      <c r="AW70" s="14">
        <f>IF(S70="","",IF(INDEX('①名簿入力'!$I$4:$I$153,S70)="","",INDEX('①名簿入力'!$I$4:$I$153,S70)))</f>
        <v>74</v>
      </c>
      <c r="AX70" s="14">
        <f>IF(S70="","",IF(INDEX('①名簿入力'!$J$4:$J$153,S70)="","",INDEX('①名簿入力'!$J$4:$J$153,S70)))</f>
        <v>58</v>
      </c>
    </row>
    <row r="71">
      <c r="A71" s="23">
        <f>IF('①名簿入力'!A66="","",'①名簿入力'!A66)</f>
        <v>2228</v>
      </c>
      <c r="B71" s="23">
        <f>IF(A71="","",'①名簿入力'!U66)</f>
        <v>3</v>
      </c>
      <c r="D71" s="8" t="n">
        <v>2228</v>
      </c>
      <c r="E71" s="24" t="n">
        <v>3</v>
      </c>
      <c r="F71" s="25" t="str">
        <f>IF(D71="","",IF(S71="","（名簿にない番号）",INDEX('①名簿入力'!$C$4:$C$153,S71)&amp;""))</f>
        <v>宮崎　紬</v>
      </c>
      <c r="G71" s="13" t="str">
        <f>IF(S71="","",INDEX('①名簿入力'!$E$4:$E$153,S71)&amp;"")</f>
        <v>女</v>
      </c>
      <c r="H71" s="13">
        <f>IF(S71="","",IF(INDEX('①名簿入力'!$B$4:$B$153,S71)="","",INDEX('①名簿入力'!$B$4:$B$153,S71)))</f>
        <v>2</v>
      </c>
      <c r="I71" s="10">
        <f>IF(S71="","",IF(INDEX('①名簿入力'!$K$4:$K$153,S71)="","",INDEX('①名簿入力'!$K$4:$K$153,S71)))</f>
        <v>83</v>
      </c>
      <c r="J71" s="10">
        <f>IF(S71="","",IF(INDEX('①名簿入力'!$L$4:$L$153,S71)="","",INDEX('①名簿入力'!$L$4:$L$153,S71)))</f>
        <v>9.4</v>
      </c>
      <c r="K71" s="13" t="str">
        <f>IF(S71="","",IF(INDEX('①名簿入力'!$Y$4:$Y$153,S71)=1,"〇",""))</f>
        <v/>
      </c>
      <c r="L71" s="13" t="str">
        <f>IF(S71="","",IF(INDEX('①名簿入力'!$Z$4:$Z$153,S71)=1,"〇",""))</f>
        <v/>
      </c>
      <c r="M71" s="13" t="str">
        <f>IF(S71="","",IF(INDEX('①名簿入力'!$AA$4:$AA$153,S71)=1,"〇",""))</f>
        <v/>
      </c>
      <c r="N71" s="13" t="str">
        <f>IF(S71="","",IF(INDEX('①名簿入力'!$AB$4:$AB$153,S71)=1,"〇",""))</f>
        <v/>
      </c>
      <c r="O71" s="25" t="str">
        <f>AM71&amp;IF(AND(AM71&lt;&gt;"",AN71&lt;&gt;""),"、","")&amp;AN71&amp;IF(AND(AM71&amp;AN71&lt;&gt;"",AO71&lt;&gt;""),"、","")&amp;AO71</f>
        <v/>
      </c>
      <c r="P71" s="25" t="str">
        <f>IF(AG71=0,"",IF(AK71&amp;AL71="","⚠",LEFT(AK71&amp;AL71,LEN(AK71&amp;AL71)-1)))</f>
        <v/>
      </c>
      <c r="Q71" s="25" t="str">
        <f>IF(S71="","",INDEX('①名簿入力'!$T$4:$T$153,S71)&amp;"")</f>
        <v/>
      </c>
      <c r="S71" s="14">
        <f>IF(D71="","",IFERROR(MATCH(D71,'①名簿入力'!$A$4:$A$153,0),""))</f>
        <v>63</v>
      </c>
      <c r="T71" s="14" t="str">
        <f>IF(S71="","",IF(INDEX('①名簿入力'!$AG$4:$AG$153,S71)=D71,"",INDEX('①名簿入力'!$AG$4:$AG$153,S71)))</f>
        <v/>
      </c>
      <c r="U71" s="14" t="str">
        <f>IF(S71="","",IF(INDEX('①名簿入力'!$AH$4:$AH$153,S71)=D71,"",INDEX('①名簿入力'!$AH$4:$AH$153,S71)))</f>
        <v/>
      </c>
      <c r="V71" s="14" t="str">
        <f>IF(S71="","",IF(INDEX('①名簿入力'!$AI$4:$AI$153,S71)=D71,"",INDEX('①名簿入力'!$AI$4:$AI$153,S71)))</f>
        <v/>
      </c>
      <c r="W71" s="14" t="str">
        <f>IF(T71="","",IFERROR(IF(INDEX($E$9:$E$158,MATCH(T71,$D$9:$D$158,0))="","",INDEX($E$9:$E$158,MATCH(T71,$D$9:$D$158,0))),""))</f>
        <v/>
      </c>
      <c r="X71" s="14" t="str">
        <f>IF(U71="","",IFERROR(IF(INDEX($E$9:$E$158,MATCH(U71,$D$9:$D$158,0))="","",INDEX($E$9:$E$158,MATCH(U71,$D$9:$D$158,0))),""))</f>
        <v/>
      </c>
      <c r="Y71" s="14" t="str">
        <f>IF(V71="","",IFERROR(IF(INDEX($E$9:$E$158,MATCH(V71,$D$9:$D$158,0))="","",INDEX($E$9:$E$158,MATCH(V71,$D$9:$D$158,0))),""))</f>
        <v/>
      </c>
      <c r="Z71" s="14">
        <f>IF(AND(T71&lt;&gt;"",W71&lt;&gt;"",E71&lt;&gt;""),IF(W71=E71,1,0),0)</f>
        <v>0</v>
      </c>
      <c r="AA71" s="14">
        <f>IF(AND(U71&lt;&gt;"",X71&lt;&gt;"",E71&lt;&gt;""),IF(X71=E71,1,0),0)</f>
        <v>0</v>
      </c>
      <c r="AB71" s="14">
        <f>IF(AND(V71&lt;&gt;"",Y71&lt;&gt;"",E71&lt;&gt;""),IF(Y71=E71,1,0),0)</f>
        <v>0</v>
      </c>
      <c r="AC71" s="14" t="str">
        <f>IF(OR(T71="",E71=""),"",T71&amp;"|"&amp;E71)</f>
        <v/>
      </c>
      <c r="AD71" s="14" t="str">
        <f>IF(OR(U71="",E71=""),"",U71&amp;"|"&amp;E71)</f>
        <v/>
      </c>
      <c r="AE71" s="14" t="str">
        <f>IF(OR(V71="",E71=""),"",V71&amp;"|"&amp;E71)</f>
        <v/>
      </c>
      <c r="AF71" s="14">
        <f>IF(OR(D71="",E71=""),0,COUNTIF($AC$9:$AC$158,D71&amp;"|"&amp;E71)+COUNTIF($AD$9:$AD$158,D71&amp;"|"&amp;E71)+COUNTIF($AE$9:$AE$158,D71&amp;"|"&amp;E71))</f>
        <v>0</v>
      </c>
      <c r="AG71" s="14">
        <f>Z71+AA71+AB71+AF71</f>
        <v>0</v>
      </c>
      <c r="AH71" s="14" t="str">
        <f>IF(OR(D71="",E71=""),"",IFERROR(MATCH(D71&amp;"|"&amp;E71,$AC$9:$AC$158,0),""))</f>
        <v/>
      </c>
      <c r="AI71" s="14" t="str">
        <f>IF(OR(D71="",E71=""),"",IFERROR(MATCH(D71&amp;"|"&amp;E71,$AD$9:$AD$158,0),""))</f>
        <v/>
      </c>
      <c r="AJ71" s="14" t="str">
        <f>IF(OR(D71="",E71=""),"",IFERROR(MATCH(D71&amp;"|"&amp;E71,$AE$9:$AE$158,0),""))</f>
        <v/>
      </c>
      <c r="AK71" s="14" t="str">
        <f>IF(Z71=1,IFERROR(INDEX($F$9:$F$158,MATCH(T71,$D$9:$D$158,0)),"")&amp;"、","")&amp;IF(AA71=1,IFERROR(INDEX($F$9:$F$158,MATCH(U71,$D$9:$D$158,0)),"")&amp;"、","")&amp;IF(AB71=1,IFERROR(INDEX($F$9:$F$158,MATCH(V71,$D$9:$D$158,0)),"")&amp;"、","")</f>
        <v/>
      </c>
      <c r="AL71" s="14" t="str">
        <f>IF(OR(AH71=""),"",IF(OR(INDEX($D$9:$D$158,AH71)=T71,INDEX($D$9:$D$158,AH71)=U71,INDEX($D$9:$D$158,AH71)=V71),"",INDEX($F$9:$F$158,AH71)&amp;"、"))&amp;IF(OR(AI71="",AI71=AH71),"",IF(OR(INDEX($D$9:$D$158,AI71)=T71,INDEX($D$9:$D$158,AI71)=U71,INDEX($D$9:$D$158,AI71)=V71),"",INDEX($F$9:$F$158,AI71)&amp;"、"))&amp;IF(OR(AJ71="",AJ71=AH71,AJ71=AI71),"",IF(OR(INDEX($D$9:$D$158,AJ71)=T71,INDEX($D$9:$D$158,AJ71)=U71,INDEX($D$9:$D$158,AJ71)=V71),"",INDEX($F$9:$F$158,AJ71)&amp;"、"))</f>
        <v/>
      </c>
      <c r="AM71" s="14" t="str">
        <f>IF(T71="","",IFERROR(INDEX('①名簿入力'!$C$4:$C$153,MATCH(T71,'①名簿入力'!$A$4:$A$153,0)),"?")&amp;IF(W71="","","("&amp;W71&amp;"組)"))</f>
        <v/>
      </c>
      <c r="AN71" s="14" t="str">
        <f>IF(U71="","",IFERROR(INDEX('①名簿入力'!$C$4:$C$153,MATCH(U71,'①名簿入力'!$A$4:$A$153,0)),"?")&amp;IF(X71="","","("&amp;X71&amp;"組)"))</f>
        <v/>
      </c>
      <c r="AO71" s="14" t="str">
        <f>IF(V71="","",IFERROR(INDEX('①名簿入力'!$C$4:$C$153,MATCH(V71,'①名簿入力'!$A$4:$A$153,0)),"?")&amp;IF(Y71="","","("&amp;Y71&amp;"組)"))</f>
        <v/>
      </c>
      <c r="AP71" s="14">
        <f>IF(G71="男",1,IF(G71="女",2,3))</f>
        <v>2</v>
      </c>
      <c r="AQ71" s="14">
        <f>IF(OR(S71="",E71=""),"",IFERROR(IF('③クラス一覧'!$AD$6="番号順",0,AP71*1000000000)+D71,""))</f>
        <v>2000002228</v>
      </c>
      <c r="AR71" s="14">
        <f>IF(AQ71="","",COUNTIFS($E$9:$E$158,E71,$AQ$9:$AQ$158,"&lt;"&amp;AQ71)+1)</f>
        <v>28</v>
      </c>
      <c r="AS71" s="14" t="str">
        <f>IF(AR71="","",E71&amp;"-"&amp;AR71)</f>
        <v>3-28</v>
      </c>
      <c r="AT71" s="14">
        <f>IF(S71="","",IF(INDEX('①名簿入力'!$F$4:$F$153,S71)="","",INDEX('①名簿入力'!$F$4:$F$153,S71)))</f>
        <v>74</v>
      </c>
      <c r="AU71" s="14">
        <f>IF(S71="","",IF(INDEX('①名簿入力'!$G$4:$G$153,S71)="","",INDEX('①名簿入力'!$G$4:$G$153,S71)))</f>
        <v>84</v>
      </c>
      <c r="AV71" s="14">
        <f>IF(S71="","",IF(INDEX('①名簿入力'!$H$4:$H$153,S71)="","",INDEX('①名簿入力'!$H$4:$H$153,S71)))</f>
        <v>76</v>
      </c>
      <c r="AW71" s="14">
        <f>IF(S71="","",IF(INDEX('①名簿入力'!$I$4:$I$153,S71)="","",INDEX('①名簿入力'!$I$4:$I$153,S71)))</f>
        <v>100</v>
      </c>
      <c r="AX71" s="14">
        <f>IF(S71="","",IF(INDEX('①名簿入力'!$J$4:$J$153,S71)="","",INDEX('①名簿入力'!$J$4:$J$153,S71)))</f>
        <v>81</v>
      </c>
    </row>
    <row r="72">
      <c r="A72" s="23">
        <f>IF('①名簿入力'!A67="","",'①名簿入力'!A67)</f>
        <v>2229</v>
      </c>
      <c r="B72" s="23">
        <f>IF(A72="","",'①名簿入力'!U67)</f>
        <v>2</v>
      </c>
      <c r="D72" s="8" t="n">
        <v>2229</v>
      </c>
      <c r="E72" s="24" t="n">
        <v>2</v>
      </c>
      <c r="F72" s="25" t="str">
        <f>IF(D72="","",IF(S72="","（名簿にない番号）",INDEX('①名簿入力'!$C$4:$C$153,S72)&amp;""))</f>
        <v>森　大翔</v>
      </c>
      <c r="G72" s="13" t="str">
        <f>IF(S72="","",INDEX('①名簿入力'!$E$4:$E$153,S72)&amp;"")</f>
        <v>男</v>
      </c>
      <c r="H72" s="13">
        <f>IF(S72="","",IF(INDEX('①名簿入力'!$B$4:$B$153,S72)="","",INDEX('①名簿入力'!$B$4:$B$153,S72)))</f>
        <v>2</v>
      </c>
      <c r="I72" s="10">
        <f>IF(S72="","",IF(INDEX('①名簿入力'!$K$4:$K$153,S72)="","",INDEX('①名簿入力'!$K$4:$K$153,S72)))</f>
        <v>79.8</v>
      </c>
      <c r="J72" s="10">
        <f>IF(S72="","",IF(INDEX('①名簿入力'!$L$4:$L$153,S72)="","",INDEX('①名簿入力'!$L$4:$L$153,S72)))</f>
        <v>7.7</v>
      </c>
      <c r="K72" s="13" t="str">
        <f>IF(S72="","",IF(INDEX('①名簿入力'!$Y$4:$Y$153,S72)=1,"〇",""))</f>
        <v/>
      </c>
      <c r="L72" s="13" t="str">
        <f>IF(S72="","",IF(INDEX('①名簿入力'!$Z$4:$Z$153,S72)=1,"〇",""))</f>
        <v/>
      </c>
      <c r="M72" s="13" t="str">
        <f>IF(S72="","",IF(INDEX('①名簿入力'!$AA$4:$AA$153,S72)=1,"〇",""))</f>
        <v/>
      </c>
      <c r="N72" s="13" t="str">
        <f>IF(S72="","",IF(INDEX('①名簿入力'!$AB$4:$AB$153,S72)=1,"〇",""))</f>
        <v>〇</v>
      </c>
      <c r="O72" s="25" t="str">
        <f>AM72&amp;IF(AND(AM72&lt;&gt;"",AN72&lt;&gt;""),"、","")&amp;AN72&amp;IF(AND(AM72&amp;AN72&lt;&gt;"",AO72&lt;&gt;""),"、","")&amp;AO72</f>
        <v/>
      </c>
      <c r="P72" s="25" t="str">
        <f>IF(AG72=0,"",IF(AK72&amp;AL72="","⚠",LEFT(AK72&amp;AL72,LEN(AK72&amp;AL72)-1)))</f>
        <v/>
      </c>
      <c r="Q72" s="25" t="str">
        <f>IF(S72="","",INDEX('①名簿入力'!$T$4:$T$153,S72)&amp;"")</f>
        <v/>
      </c>
      <c r="S72" s="14">
        <f>IF(D72="","",IFERROR(MATCH(D72,'①名簿入力'!$A$4:$A$153,0),""))</f>
        <v>64</v>
      </c>
      <c r="T72" s="14" t="str">
        <f>IF(S72="","",IF(INDEX('①名簿入力'!$AG$4:$AG$153,S72)=D72,"",INDEX('①名簿入力'!$AG$4:$AG$153,S72)))</f>
        <v/>
      </c>
      <c r="U72" s="14" t="str">
        <f>IF(S72="","",IF(INDEX('①名簿入力'!$AH$4:$AH$153,S72)=D72,"",INDEX('①名簿入力'!$AH$4:$AH$153,S72)))</f>
        <v/>
      </c>
      <c r="V72" s="14" t="str">
        <f>IF(S72="","",IF(INDEX('①名簿入力'!$AI$4:$AI$153,S72)=D72,"",INDEX('①名簿入力'!$AI$4:$AI$153,S72)))</f>
        <v/>
      </c>
      <c r="W72" s="14" t="str">
        <f>IF(T72="","",IFERROR(IF(INDEX($E$9:$E$158,MATCH(T72,$D$9:$D$158,0))="","",INDEX($E$9:$E$158,MATCH(T72,$D$9:$D$158,0))),""))</f>
        <v/>
      </c>
      <c r="X72" s="14" t="str">
        <f>IF(U72="","",IFERROR(IF(INDEX($E$9:$E$158,MATCH(U72,$D$9:$D$158,0))="","",INDEX($E$9:$E$158,MATCH(U72,$D$9:$D$158,0))),""))</f>
        <v/>
      </c>
      <c r="Y72" s="14" t="str">
        <f>IF(V72="","",IFERROR(IF(INDEX($E$9:$E$158,MATCH(V72,$D$9:$D$158,0))="","",INDEX($E$9:$E$158,MATCH(V72,$D$9:$D$158,0))),""))</f>
        <v/>
      </c>
      <c r="Z72" s="14">
        <f>IF(AND(T72&lt;&gt;"",W72&lt;&gt;"",E72&lt;&gt;""),IF(W72=E72,1,0),0)</f>
        <v>0</v>
      </c>
      <c r="AA72" s="14">
        <f>IF(AND(U72&lt;&gt;"",X72&lt;&gt;"",E72&lt;&gt;""),IF(X72=E72,1,0),0)</f>
        <v>0</v>
      </c>
      <c r="AB72" s="14">
        <f>IF(AND(V72&lt;&gt;"",Y72&lt;&gt;"",E72&lt;&gt;""),IF(Y72=E72,1,0),0)</f>
        <v>0</v>
      </c>
      <c r="AC72" s="14" t="str">
        <f>IF(OR(T72="",E72=""),"",T72&amp;"|"&amp;E72)</f>
        <v/>
      </c>
      <c r="AD72" s="14" t="str">
        <f>IF(OR(U72="",E72=""),"",U72&amp;"|"&amp;E72)</f>
        <v/>
      </c>
      <c r="AE72" s="14" t="str">
        <f>IF(OR(V72="",E72=""),"",V72&amp;"|"&amp;E72)</f>
        <v/>
      </c>
      <c r="AF72" s="14">
        <f>IF(OR(D72="",E72=""),0,COUNTIF($AC$9:$AC$158,D72&amp;"|"&amp;E72)+COUNTIF($AD$9:$AD$158,D72&amp;"|"&amp;E72)+COUNTIF($AE$9:$AE$158,D72&amp;"|"&amp;E72))</f>
        <v>0</v>
      </c>
      <c r="AG72" s="14">
        <f>Z72+AA72+AB72+AF72</f>
        <v>0</v>
      </c>
      <c r="AH72" s="14" t="str">
        <f>IF(OR(D72="",E72=""),"",IFERROR(MATCH(D72&amp;"|"&amp;E72,$AC$9:$AC$158,0),""))</f>
        <v/>
      </c>
      <c r="AI72" s="14" t="str">
        <f>IF(OR(D72="",E72=""),"",IFERROR(MATCH(D72&amp;"|"&amp;E72,$AD$9:$AD$158,0),""))</f>
        <v/>
      </c>
      <c r="AJ72" s="14" t="str">
        <f>IF(OR(D72="",E72=""),"",IFERROR(MATCH(D72&amp;"|"&amp;E72,$AE$9:$AE$158,0),""))</f>
        <v/>
      </c>
      <c r="AK72" s="14" t="str">
        <f>IF(Z72=1,IFERROR(INDEX($F$9:$F$158,MATCH(T72,$D$9:$D$158,0)),"")&amp;"、","")&amp;IF(AA72=1,IFERROR(INDEX($F$9:$F$158,MATCH(U72,$D$9:$D$158,0)),"")&amp;"、","")&amp;IF(AB72=1,IFERROR(INDEX($F$9:$F$158,MATCH(V72,$D$9:$D$158,0)),"")&amp;"、","")</f>
        <v/>
      </c>
      <c r="AL72" s="14" t="str">
        <f>IF(OR(AH72=""),"",IF(OR(INDEX($D$9:$D$158,AH72)=T72,INDEX($D$9:$D$158,AH72)=U72,INDEX($D$9:$D$158,AH72)=V72),"",INDEX($F$9:$F$158,AH72)&amp;"、"))&amp;IF(OR(AI72="",AI72=AH72),"",IF(OR(INDEX($D$9:$D$158,AI72)=T72,INDEX($D$9:$D$158,AI72)=U72,INDEX($D$9:$D$158,AI72)=V72),"",INDEX($F$9:$F$158,AI72)&amp;"、"))&amp;IF(OR(AJ72="",AJ72=AH72,AJ72=AI72),"",IF(OR(INDEX($D$9:$D$158,AJ72)=T72,INDEX($D$9:$D$158,AJ72)=U72,INDEX($D$9:$D$158,AJ72)=V72),"",INDEX($F$9:$F$158,AJ72)&amp;"、"))</f>
        <v/>
      </c>
      <c r="AM72" s="14" t="str">
        <f>IF(T72="","",IFERROR(INDEX('①名簿入力'!$C$4:$C$153,MATCH(T72,'①名簿入力'!$A$4:$A$153,0)),"?")&amp;IF(W72="","","("&amp;W72&amp;"組)"))</f>
        <v/>
      </c>
      <c r="AN72" s="14" t="str">
        <f>IF(U72="","",IFERROR(INDEX('①名簿入力'!$C$4:$C$153,MATCH(U72,'①名簿入力'!$A$4:$A$153,0)),"?")&amp;IF(X72="","","("&amp;X72&amp;"組)"))</f>
        <v/>
      </c>
      <c r="AO72" s="14" t="str">
        <f>IF(V72="","",IFERROR(INDEX('①名簿入力'!$C$4:$C$153,MATCH(V72,'①名簿入力'!$A$4:$A$153,0)),"?")&amp;IF(Y72="","","("&amp;Y72&amp;"組)"))</f>
        <v/>
      </c>
      <c r="AP72" s="14">
        <f>IF(G72="男",1,IF(G72="女",2,3))</f>
        <v>1</v>
      </c>
      <c r="AQ72" s="14">
        <f>IF(OR(S72="",E72=""),"",IFERROR(IF('③クラス一覧'!$AD$6="番号順",0,AP72*1000000000)+D72,""))</f>
        <v>1000002229</v>
      </c>
      <c r="AR72" s="14">
        <f>IF(AQ72="","",COUNTIFS($E$9:$E$158,E72,$AQ$9:$AQ$158,"&lt;"&amp;AQ72)+1)</f>
        <v>12</v>
      </c>
      <c r="AS72" s="14" t="str">
        <f>IF(AR72="","",E72&amp;"-"&amp;AR72)</f>
        <v>2-12</v>
      </c>
      <c r="AT72" s="14">
        <f>IF(S72="","",IF(INDEX('①名簿入力'!$F$4:$F$153,S72)="","",INDEX('①名簿入力'!$F$4:$F$153,S72)))</f>
        <v>86</v>
      </c>
      <c r="AU72" s="14">
        <f>IF(S72="","",IF(INDEX('①名簿入力'!$G$4:$G$153,S72)="","",INDEX('①名簿入力'!$G$4:$G$153,S72)))</f>
        <v>71</v>
      </c>
      <c r="AV72" s="14">
        <f>IF(S72="","",IF(INDEX('①名簿入力'!$H$4:$H$153,S72)="","",INDEX('①名簿入力'!$H$4:$H$153,S72)))</f>
        <v>87</v>
      </c>
      <c r="AW72" s="14">
        <f>IF(S72="","",IF(INDEX('①名簿入力'!$I$4:$I$153,S72)="","",INDEX('①名簿入力'!$I$4:$I$153,S72)))</f>
        <v>69</v>
      </c>
      <c r="AX72" s="14">
        <f>IF(S72="","",IF(INDEX('①名簿入力'!$J$4:$J$153,S72)="","",INDEX('①名簿入力'!$J$4:$J$153,S72)))</f>
        <v>86</v>
      </c>
    </row>
    <row r="73">
      <c r="A73" s="23">
        <f>IF('①名簿入力'!A68="","",'①名簿入力'!A68)</f>
        <v>2230</v>
      </c>
      <c r="B73" s="23">
        <f>IF(A73="","",'①名簿入力'!U68)</f>
        <v>3</v>
      </c>
      <c r="D73" s="8" t="n">
        <v>2230</v>
      </c>
      <c r="E73" s="24" t="n">
        <v>3</v>
      </c>
      <c r="F73" s="25" t="str">
        <f>IF(D73="","",IF(S73="","（名簿にない番号）",INDEX('①名簿入力'!$C$4:$C$153,S73)&amp;""))</f>
        <v>森田　奏太</v>
      </c>
      <c r="G73" s="13" t="str">
        <f>IF(S73="","",INDEX('①名簿入力'!$E$4:$E$153,S73)&amp;"")</f>
        <v>男</v>
      </c>
      <c r="H73" s="13">
        <f>IF(S73="","",IF(INDEX('①名簿入力'!$B$4:$B$153,S73)="","",INDEX('①名簿入力'!$B$4:$B$153,S73)))</f>
        <v>2</v>
      </c>
      <c r="I73" s="10">
        <f>IF(S73="","",IF(INDEX('①名簿入力'!$K$4:$K$153,S73)="","",INDEX('①名簿入力'!$K$4:$K$153,S73)))</f>
        <v>61</v>
      </c>
      <c r="J73" s="10">
        <f>IF(S73="","",IF(INDEX('①名簿入力'!$L$4:$L$153,S73)="","",INDEX('①名簿入力'!$L$4:$L$153,S73)))</f>
        <v>7.8</v>
      </c>
      <c r="K73" s="13" t="str">
        <f>IF(S73="","",IF(INDEX('①名簿入力'!$Y$4:$Y$153,S73)=1,"〇",""))</f>
        <v/>
      </c>
      <c r="L73" s="13" t="str">
        <f>IF(S73="","",IF(INDEX('①名簿入力'!$Z$4:$Z$153,S73)=1,"〇",""))</f>
        <v/>
      </c>
      <c r="M73" s="13" t="str">
        <f>IF(S73="","",IF(INDEX('①名簿入力'!$AA$4:$AA$153,S73)=1,"〇",""))</f>
        <v/>
      </c>
      <c r="N73" s="13" t="str">
        <f>IF(S73="","",IF(INDEX('①名簿入力'!$AB$4:$AB$153,S73)=1,"〇",""))</f>
        <v/>
      </c>
      <c r="O73" s="25" t="str">
        <f>AM73&amp;IF(AND(AM73&lt;&gt;"",AN73&lt;&gt;""),"、","")&amp;AN73&amp;IF(AND(AM73&amp;AN73&lt;&gt;"",AO73&lt;&gt;""),"、","")&amp;AO73</f>
        <v/>
      </c>
      <c r="P73" s="25" t="str">
        <f>IF(AG73=0,"",IF(AK73&amp;AL73="","⚠",LEFT(AK73&amp;AL73,LEN(AK73&amp;AL73)-1)))</f>
        <v/>
      </c>
      <c r="Q73" s="25" t="str">
        <f>IF(S73="","",INDEX('①名簿入力'!$T$4:$T$153,S73)&amp;"")</f>
        <v/>
      </c>
      <c r="S73" s="14">
        <f>IF(D73="","",IFERROR(MATCH(D73,'①名簿入力'!$A$4:$A$153,0),""))</f>
        <v>65</v>
      </c>
      <c r="T73" s="14" t="str">
        <f>IF(S73="","",IF(INDEX('①名簿入力'!$AG$4:$AG$153,S73)=D73,"",INDEX('①名簿入力'!$AG$4:$AG$153,S73)))</f>
        <v/>
      </c>
      <c r="U73" s="14" t="str">
        <f>IF(S73="","",IF(INDEX('①名簿入力'!$AH$4:$AH$153,S73)=D73,"",INDEX('①名簿入力'!$AH$4:$AH$153,S73)))</f>
        <v/>
      </c>
      <c r="V73" s="14" t="str">
        <f>IF(S73="","",IF(INDEX('①名簿入力'!$AI$4:$AI$153,S73)=D73,"",INDEX('①名簿入力'!$AI$4:$AI$153,S73)))</f>
        <v/>
      </c>
      <c r="W73" s="14" t="str">
        <f>IF(T73="","",IFERROR(IF(INDEX($E$9:$E$158,MATCH(T73,$D$9:$D$158,0))="","",INDEX($E$9:$E$158,MATCH(T73,$D$9:$D$158,0))),""))</f>
        <v/>
      </c>
      <c r="X73" s="14" t="str">
        <f>IF(U73="","",IFERROR(IF(INDEX($E$9:$E$158,MATCH(U73,$D$9:$D$158,0))="","",INDEX($E$9:$E$158,MATCH(U73,$D$9:$D$158,0))),""))</f>
        <v/>
      </c>
      <c r="Y73" s="14" t="str">
        <f>IF(V73="","",IFERROR(IF(INDEX($E$9:$E$158,MATCH(V73,$D$9:$D$158,0))="","",INDEX($E$9:$E$158,MATCH(V73,$D$9:$D$158,0))),""))</f>
        <v/>
      </c>
      <c r="Z73" s="14">
        <f>IF(AND(T73&lt;&gt;"",W73&lt;&gt;"",E73&lt;&gt;""),IF(W73=E73,1,0),0)</f>
        <v>0</v>
      </c>
      <c r="AA73" s="14">
        <f>IF(AND(U73&lt;&gt;"",X73&lt;&gt;"",E73&lt;&gt;""),IF(X73=E73,1,0),0)</f>
        <v>0</v>
      </c>
      <c r="AB73" s="14">
        <f>IF(AND(V73&lt;&gt;"",Y73&lt;&gt;"",E73&lt;&gt;""),IF(Y73=E73,1,0),0)</f>
        <v>0</v>
      </c>
      <c r="AC73" s="14" t="str">
        <f>IF(OR(T73="",E73=""),"",T73&amp;"|"&amp;E73)</f>
        <v/>
      </c>
      <c r="AD73" s="14" t="str">
        <f>IF(OR(U73="",E73=""),"",U73&amp;"|"&amp;E73)</f>
        <v/>
      </c>
      <c r="AE73" s="14" t="str">
        <f>IF(OR(V73="",E73=""),"",V73&amp;"|"&amp;E73)</f>
        <v/>
      </c>
      <c r="AF73" s="14">
        <f>IF(OR(D73="",E73=""),0,COUNTIF($AC$9:$AC$158,D73&amp;"|"&amp;E73)+COUNTIF($AD$9:$AD$158,D73&amp;"|"&amp;E73)+COUNTIF($AE$9:$AE$158,D73&amp;"|"&amp;E73))</f>
        <v>0</v>
      </c>
      <c r="AG73" s="14">
        <f>Z73+AA73+AB73+AF73</f>
        <v>0</v>
      </c>
      <c r="AH73" s="14" t="str">
        <f>IF(OR(D73="",E73=""),"",IFERROR(MATCH(D73&amp;"|"&amp;E73,$AC$9:$AC$158,0),""))</f>
        <v/>
      </c>
      <c r="AI73" s="14" t="str">
        <f>IF(OR(D73="",E73=""),"",IFERROR(MATCH(D73&amp;"|"&amp;E73,$AD$9:$AD$158,0),""))</f>
        <v/>
      </c>
      <c r="AJ73" s="14" t="str">
        <f>IF(OR(D73="",E73=""),"",IFERROR(MATCH(D73&amp;"|"&amp;E73,$AE$9:$AE$158,0),""))</f>
        <v/>
      </c>
      <c r="AK73" s="14" t="str">
        <f>IF(Z73=1,IFERROR(INDEX($F$9:$F$158,MATCH(T73,$D$9:$D$158,0)),"")&amp;"、","")&amp;IF(AA73=1,IFERROR(INDEX($F$9:$F$158,MATCH(U73,$D$9:$D$158,0)),"")&amp;"、","")&amp;IF(AB73=1,IFERROR(INDEX($F$9:$F$158,MATCH(V73,$D$9:$D$158,0)),"")&amp;"、","")</f>
        <v/>
      </c>
      <c r="AL73" s="14" t="str">
        <f>IF(OR(AH73=""),"",IF(OR(INDEX($D$9:$D$158,AH73)=T73,INDEX($D$9:$D$158,AH73)=U73,INDEX($D$9:$D$158,AH73)=V73),"",INDEX($F$9:$F$158,AH73)&amp;"、"))&amp;IF(OR(AI73="",AI73=AH73),"",IF(OR(INDEX($D$9:$D$158,AI73)=T73,INDEX($D$9:$D$158,AI73)=U73,INDEX($D$9:$D$158,AI73)=V73),"",INDEX($F$9:$F$158,AI73)&amp;"、"))&amp;IF(OR(AJ73="",AJ73=AH73,AJ73=AI73),"",IF(OR(INDEX($D$9:$D$158,AJ73)=T73,INDEX($D$9:$D$158,AJ73)=U73,INDEX($D$9:$D$158,AJ73)=V73),"",INDEX($F$9:$F$158,AJ73)&amp;"、"))</f>
        <v/>
      </c>
      <c r="AM73" s="14" t="str">
        <f>IF(T73="","",IFERROR(INDEX('①名簿入力'!$C$4:$C$153,MATCH(T73,'①名簿入力'!$A$4:$A$153,0)),"?")&amp;IF(W73="","","("&amp;W73&amp;"組)"))</f>
        <v/>
      </c>
      <c r="AN73" s="14" t="str">
        <f>IF(U73="","",IFERROR(INDEX('①名簿入力'!$C$4:$C$153,MATCH(U73,'①名簿入力'!$A$4:$A$153,0)),"?")&amp;IF(X73="","","("&amp;X73&amp;"組)"))</f>
        <v/>
      </c>
      <c r="AO73" s="14" t="str">
        <f>IF(V73="","",IFERROR(INDEX('①名簿入力'!$C$4:$C$153,MATCH(V73,'①名簿入力'!$A$4:$A$153,0)),"?")&amp;IF(Y73="","","("&amp;Y73&amp;"組)"))</f>
        <v/>
      </c>
      <c r="AP73" s="14">
        <f>IF(G73="男",1,IF(G73="女",2,3))</f>
        <v>1</v>
      </c>
      <c r="AQ73" s="14">
        <f>IF(OR(S73="",E73=""),"",IFERROR(IF('③クラス一覧'!$AD$6="番号順",0,AP73*1000000000)+D73,""))</f>
        <v>1000002230</v>
      </c>
      <c r="AR73" s="14">
        <f>IF(AQ73="","",COUNTIFS($E$9:$E$158,E73,$AQ$9:$AQ$158,"&lt;"&amp;AQ73)+1)</f>
        <v>11</v>
      </c>
      <c r="AS73" s="14" t="str">
        <f>IF(AR73="","",E73&amp;"-"&amp;AR73)</f>
        <v>3-11</v>
      </c>
      <c r="AT73" s="14">
        <f>IF(S73="","",IF(INDEX('①名簿入力'!$F$4:$F$153,S73)="","",INDEX('①名簿入力'!$F$4:$F$153,S73)))</f>
        <v>54</v>
      </c>
      <c r="AU73" s="14">
        <f>IF(S73="","",IF(INDEX('①名簿入力'!$G$4:$G$153,S73)="","",INDEX('①名簿入力'!$G$4:$G$153,S73)))</f>
        <v>76</v>
      </c>
      <c r="AV73" s="14">
        <f>IF(S73="","",IF(INDEX('①名簿入力'!$H$4:$H$153,S73)="","",INDEX('①名簿入力'!$H$4:$H$153,S73)))</f>
        <v>57</v>
      </c>
      <c r="AW73" s="14">
        <f>IF(S73="","",IF(INDEX('①名簿入力'!$I$4:$I$153,S73)="","",INDEX('①名簿入力'!$I$4:$I$153,S73)))</f>
        <v>52</v>
      </c>
      <c r="AX73" s="14">
        <f>IF(S73="","",IF(INDEX('①名簿入力'!$J$4:$J$153,S73)="","",INDEX('①名簿入力'!$J$4:$J$153,S73)))</f>
        <v>66</v>
      </c>
    </row>
    <row r="74">
      <c r="A74" s="23">
        <f>IF('①名簿入力'!A69="","",'①名簿入力'!A69)</f>
        <v>2231</v>
      </c>
      <c r="B74" s="23">
        <f>IF(A74="","",'①名簿入力'!U69)</f>
        <v>1</v>
      </c>
      <c r="D74" s="8" t="n">
        <v>2231</v>
      </c>
      <c r="E74" s="24" t="n">
        <v>1</v>
      </c>
      <c r="F74" s="25" t="str">
        <f>IF(D74="","",IF(S74="","（名簿にない番号）",INDEX('①名簿入力'!$C$4:$C$153,S74)&amp;""))</f>
        <v>森田　美羽</v>
      </c>
      <c r="G74" s="13" t="str">
        <f>IF(S74="","",INDEX('①名簿入力'!$E$4:$E$153,S74)&amp;"")</f>
        <v>女</v>
      </c>
      <c r="H74" s="13">
        <f>IF(S74="","",IF(INDEX('①名簿入力'!$B$4:$B$153,S74)="","",INDEX('①名簿入力'!$B$4:$B$153,S74)))</f>
        <v>2</v>
      </c>
      <c r="I74" s="10">
        <f>IF(S74="","",IF(INDEX('①名簿入力'!$K$4:$K$153,S74)="","",INDEX('①名簿入力'!$K$4:$K$153,S74)))</f>
        <v>74.4</v>
      </c>
      <c r="J74" s="10">
        <f>IF(S74="","",IF(INDEX('①名簿入力'!$L$4:$L$153,S74)="","",INDEX('①名簿入力'!$L$4:$L$153,S74)))</f>
        <v>9</v>
      </c>
      <c r="K74" s="13" t="str">
        <f>IF(S74="","",IF(INDEX('①名簿入力'!$Y$4:$Y$153,S74)=1,"〇",""))</f>
        <v/>
      </c>
      <c r="L74" s="13" t="str">
        <f>IF(S74="","",IF(INDEX('①名簿入力'!$Z$4:$Z$153,S74)=1,"〇",""))</f>
        <v>〇</v>
      </c>
      <c r="M74" s="13" t="str">
        <f>IF(S74="","",IF(INDEX('①名簿入力'!$AA$4:$AA$153,S74)=1,"〇",""))</f>
        <v/>
      </c>
      <c r="N74" s="13" t="str">
        <f>IF(S74="","",IF(INDEX('①名簿入力'!$AB$4:$AB$153,S74)=1,"〇",""))</f>
        <v/>
      </c>
      <c r="O74" s="25" t="str">
        <f>AM74&amp;IF(AND(AM74&lt;&gt;"",AN74&lt;&gt;""),"、","")&amp;AN74&amp;IF(AND(AM74&amp;AN74&lt;&gt;"",AO74&lt;&gt;""),"、","")&amp;AO74</f>
        <v/>
      </c>
      <c r="P74" s="25" t="str">
        <f>IF(AG74=0,"",IF(AK74&amp;AL74="","⚠",LEFT(AK74&amp;AL74,LEN(AK74&amp;AL74)-1)))</f>
        <v>藤田　彩花</v>
      </c>
      <c r="Q74" s="25" t="str">
        <f>IF(S74="","",INDEX('①名簿入力'!$T$4:$T$153,S74)&amp;"")</f>
        <v>部活：陸上</v>
      </c>
      <c r="S74" s="14">
        <f>IF(D74="","",IFERROR(MATCH(D74,'①名簿入力'!$A$4:$A$153,0),""))</f>
        <v>66</v>
      </c>
      <c r="T74" s="14" t="str">
        <f>IF(S74="","",IF(INDEX('①名簿入力'!$AG$4:$AG$153,S74)=D74,"",INDEX('①名簿入力'!$AG$4:$AG$153,S74)))</f>
        <v/>
      </c>
      <c r="U74" s="14" t="str">
        <f>IF(S74="","",IF(INDEX('①名簿入力'!$AH$4:$AH$153,S74)=D74,"",INDEX('①名簿入力'!$AH$4:$AH$153,S74)))</f>
        <v/>
      </c>
      <c r="V74" s="14" t="str">
        <f>IF(S74="","",IF(INDEX('①名簿入力'!$AI$4:$AI$153,S74)=D74,"",INDEX('①名簿入力'!$AI$4:$AI$153,S74)))</f>
        <v/>
      </c>
      <c r="W74" s="14" t="str">
        <f>IF(T74="","",IFERROR(IF(INDEX($E$9:$E$158,MATCH(T74,$D$9:$D$158,0))="","",INDEX($E$9:$E$158,MATCH(T74,$D$9:$D$158,0))),""))</f>
        <v/>
      </c>
      <c r="X74" s="14" t="str">
        <f>IF(U74="","",IFERROR(IF(INDEX($E$9:$E$158,MATCH(U74,$D$9:$D$158,0))="","",INDEX($E$9:$E$158,MATCH(U74,$D$9:$D$158,0))),""))</f>
        <v/>
      </c>
      <c r="Y74" s="14" t="str">
        <f>IF(V74="","",IFERROR(IF(INDEX($E$9:$E$158,MATCH(V74,$D$9:$D$158,0))="","",INDEX($E$9:$E$158,MATCH(V74,$D$9:$D$158,0))),""))</f>
        <v/>
      </c>
      <c r="Z74" s="14">
        <f>IF(AND(T74&lt;&gt;"",W74&lt;&gt;"",E74&lt;&gt;""),IF(W74=E74,1,0),0)</f>
        <v>0</v>
      </c>
      <c r="AA74" s="14">
        <f>IF(AND(U74&lt;&gt;"",X74&lt;&gt;"",E74&lt;&gt;""),IF(X74=E74,1,0),0)</f>
        <v>0</v>
      </c>
      <c r="AB74" s="14">
        <f>IF(AND(V74&lt;&gt;"",Y74&lt;&gt;"",E74&lt;&gt;""),IF(Y74=E74,1,0),0)</f>
        <v>0</v>
      </c>
      <c r="AC74" s="14" t="str">
        <f>IF(OR(T74="",E74=""),"",T74&amp;"|"&amp;E74)</f>
        <v/>
      </c>
      <c r="AD74" s="14" t="str">
        <f>IF(OR(U74="",E74=""),"",U74&amp;"|"&amp;E74)</f>
        <v/>
      </c>
      <c r="AE74" s="14" t="str">
        <f>IF(OR(V74="",E74=""),"",V74&amp;"|"&amp;E74)</f>
        <v/>
      </c>
      <c r="AF74" s="14">
        <f>IF(OR(D74="",E74=""),0,COUNTIF($AC$9:$AC$158,D74&amp;"|"&amp;E74)+COUNTIF($AD$9:$AD$158,D74&amp;"|"&amp;E74)+COUNTIF($AE$9:$AE$158,D74&amp;"|"&amp;E74))</f>
        <v>1</v>
      </c>
      <c r="AG74" s="14">
        <f>Z74+AA74+AB74+AF74</f>
        <v>1</v>
      </c>
      <c r="AH74" s="14">
        <f>IF(OR(D74="",E74=""),"",IFERROR(MATCH(D74&amp;"|"&amp;E74,$AC$9:$AC$158,0),""))</f>
        <v>61</v>
      </c>
      <c r="AI74" s="14" t="str">
        <f>IF(OR(D74="",E74=""),"",IFERROR(MATCH(D74&amp;"|"&amp;E74,$AD$9:$AD$158,0),""))</f>
        <v/>
      </c>
      <c r="AJ74" s="14" t="str">
        <f>IF(OR(D74="",E74=""),"",IFERROR(MATCH(D74&amp;"|"&amp;E74,$AE$9:$AE$158,0),""))</f>
        <v/>
      </c>
      <c r="AK74" s="14" t="str">
        <f>IF(Z74=1,IFERROR(INDEX($F$9:$F$158,MATCH(T74,$D$9:$D$158,0)),"")&amp;"、","")&amp;IF(AA74=1,IFERROR(INDEX($F$9:$F$158,MATCH(U74,$D$9:$D$158,0)),"")&amp;"、","")&amp;IF(AB74=1,IFERROR(INDEX($F$9:$F$158,MATCH(V74,$D$9:$D$158,0)),"")&amp;"、","")</f>
        <v/>
      </c>
      <c r="AL74" s="14" t="str">
        <f>IF(OR(AH74=""),"",IF(OR(INDEX($D$9:$D$158,AH74)=T74,INDEX($D$9:$D$158,AH74)=U74,INDEX($D$9:$D$158,AH74)=V74),"",INDEX($F$9:$F$158,AH74)&amp;"、"))&amp;IF(OR(AI74="",AI74=AH74),"",IF(OR(INDEX($D$9:$D$158,AI74)=T74,INDEX($D$9:$D$158,AI74)=U74,INDEX($D$9:$D$158,AI74)=V74),"",INDEX($F$9:$F$158,AI74)&amp;"、"))&amp;IF(OR(AJ74="",AJ74=AH74,AJ74=AI74),"",IF(OR(INDEX($D$9:$D$158,AJ74)=T74,INDEX($D$9:$D$158,AJ74)=U74,INDEX($D$9:$D$158,AJ74)=V74),"",INDEX($F$9:$F$158,AJ74)&amp;"、"))</f>
        <v>藤田　彩花、</v>
      </c>
      <c r="AM74" s="14" t="str">
        <f>IF(T74="","",IFERROR(INDEX('①名簿入力'!$C$4:$C$153,MATCH(T74,'①名簿入力'!$A$4:$A$153,0)),"?")&amp;IF(W74="","","("&amp;W74&amp;"組)"))</f>
        <v/>
      </c>
      <c r="AN74" s="14" t="str">
        <f>IF(U74="","",IFERROR(INDEX('①名簿入力'!$C$4:$C$153,MATCH(U74,'①名簿入力'!$A$4:$A$153,0)),"?")&amp;IF(X74="","","("&amp;X74&amp;"組)"))</f>
        <v/>
      </c>
      <c r="AO74" s="14" t="str">
        <f>IF(V74="","",IFERROR(INDEX('①名簿入力'!$C$4:$C$153,MATCH(V74,'①名簿入力'!$A$4:$A$153,0)),"?")&amp;IF(Y74="","","("&amp;Y74&amp;"組)"))</f>
        <v/>
      </c>
      <c r="AP74" s="14">
        <f>IF(G74="男",1,IF(G74="女",2,3))</f>
        <v>2</v>
      </c>
      <c r="AQ74" s="14">
        <f>IF(OR(S74="",E74=""),"",IFERROR(IF('③クラス一覧'!$AD$6="番号順",0,AP74*1000000000)+D74,""))</f>
        <v>2000002231</v>
      </c>
      <c r="AR74" s="14">
        <f>IF(AQ74="","",COUNTIFS($E$9:$E$158,E74,$AQ$9:$AQ$158,"&lt;"&amp;AQ74)+1)</f>
        <v>30</v>
      </c>
      <c r="AS74" s="14" t="str">
        <f>IF(AR74="","",E74&amp;"-"&amp;AR74)</f>
        <v>1-30</v>
      </c>
      <c r="AT74" s="14">
        <f>IF(S74="","",IF(INDEX('①名簿入力'!$F$4:$F$153,S74)="","",INDEX('①名簿入力'!$F$4:$F$153,S74)))</f>
        <v>76</v>
      </c>
      <c r="AU74" s="14">
        <f>IF(S74="","",IF(INDEX('①名簿入力'!$G$4:$G$153,S74)="","",INDEX('①名簿入力'!$G$4:$G$153,S74)))</f>
        <v>65</v>
      </c>
      <c r="AV74" s="14">
        <f>IF(S74="","",IF(INDEX('①名簿入力'!$H$4:$H$153,S74)="","",INDEX('①名簿入力'!$H$4:$H$153,S74)))</f>
        <v>81</v>
      </c>
      <c r="AW74" s="14">
        <f>IF(S74="","",IF(INDEX('①名簿入力'!$I$4:$I$153,S74)="","",INDEX('①名簿入力'!$I$4:$I$153,S74)))</f>
        <v>69</v>
      </c>
      <c r="AX74" s="14">
        <f>IF(S74="","",IF(INDEX('①名簿入力'!$J$4:$J$153,S74)="","",INDEX('①名簿入力'!$J$4:$J$153,S74)))</f>
        <v>81</v>
      </c>
    </row>
    <row r="75">
      <c r="A75" s="23">
        <f>IF('①名簿入力'!A70="","",'①名簿入力'!A70)</f>
        <v>2232</v>
      </c>
      <c r="B75" s="23">
        <f>IF(A75="","",'①名簿入力'!U70)</f>
        <v>2</v>
      </c>
      <c r="D75" s="8" t="n">
        <v>2232</v>
      </c>
      <c r="E75" s="24" t="n">
        <v>2</v>
      </c>
      <c r="F75" s="25" t="str">
        <f>IF(D75="","",IF(S75="","（名簿にない番号）",INDEX('①名簿入力'!$C$4:$C$153,S75)&amp;""))</f>
        <v>山田　誠</v>
      </c>
      <c r="G75" s="13" t="str">
        <f>IF(S75="","",INDEX('①名簿入力'!$E$4:$E$153,S75)&amp;"")</f>
        <v>男</v>
      </c>
      <c r="H75" s="13">
        <f>IF(S75="","",IF(INDEX('①名簿入力'!$B$4:$B$153,S75)="","",INDEX('①名簿入力'!$B$4:$B$153,S75)))</f>
        <v>2</v>
      </c>
      <c r="I75" s="10">
        <f>IF(S75="","",IF(INDEX('①名簿入力'!$K$4:$K$153,S75)="","",INDEX('①名簿入力'!$K$4:$K$153,S75)))</f>
        <v>78.2</v>
      </c>
      <c r="J75" s="10">
        <f>IF(S75="","",IF(INDEX('①名簿入力'!$L$4:$L$153,S75)="","",INDEX('①名簿入力'!$L$4:$L$153,S75)))</f>
        <v>7.3</v>
      </c>
      <c r="K75" s="13" t="str">
        <f>IF(S75="","",IF(INDEX('①名簿入力'!$Y$4:$Y$153,S75)=1,"〇",""))</f>
        <v/>
      </c>
      <c r="L75" s="13" t="str">
        <f>IF(S75="","",IF(INDEX('①名簿入力'!$Z$4:$Z$153,S75)=1,"〇",""))</f>
        <v/>
      </c>
      <c r="M75" s="13" t="str">
        <f>IF(S75="","",IF(INDEX('①名簿入力'!$AA$4:$AA$153,S75)=1,"〇",""))</f>
        <v/>
      </c>
      <c r="N75" s="13" t="str">
        <f>IF(S75="","",IF(INDEX('①名簿入力'!$AB$4:$AB$153,S75)=1,"〇",""))</f>
        <v/>
      </c>
      <c r="O75" s="25" t="str">
        <f>AM75&amp;IF(AND(AM75&lt;&gt;"",AN75&lt;&gt;""),"、","")&amp;AN75&amp;IF(AND(AM75&amp;AN75&lt;&gt;"",AO75&lt;&gt;""),"、","")&amp;AO75</f>
        <v/>
      </c>
      <c r="P75" s="25" t="str">
        <f>IF(AG75=0,"",IF(AK75&amp;AL75="","⚠",LEFT(AK75&amp;AL75,LEN(AK75&amp;AL75)-1)))</f>
        <v/>
      </c>
      <c r="Q75" s="25" t="str">
        <f>IF(S75="","",INDEX('①名簿入力'!$T$4:$T$153,S75)&amp;"")</f>
        <v/>
      </c>
      <c r="S75" s="14">
        <f>IF(D75="","",IFERROR(MATCH(D75,'①名簿入力'!$A$4:$A$153,0),""))</f>
        <v>67</v>
      </c>
      <c r="T75" s="14" t="str">
        <f>IF(S75="","",IF(INDEX('①名簿入力'!$AG$4:$AG$153,S75)=D75,"",INDEX('①名簿入力'!$AG$4:$AG$153,S75)))</f>
        <v/>
      </c>
      <c r="U75" s="14" t="str">
        <f>IF(S75="","",IF(INDEX('①名簿入力'!$AH$4:$AH$153,S75)=D75,"",INDEX('①名簿入力'!$AH$4:$AH$153,S75)))</f>
        <v/>
      </c>
      <c r="V75" s="14" t="str">
        <f>IF(S75="","",IF(INDEX('①名簿入力'!$AI$4:$AI$153,S75)=D75,"",INDEX('①名簿入力'!$AI$4:$AI$153,S75)))</f>
        <v/>
      </c>
      <c r="W75" s="14" t="str">
        <f>IF(T75="","",IFERROR(IF(INDEX($E$9:$E$158,MATCH(T75,$D$9:$D$158,0))="","",INDEX($E$9:$E$158,MATCH(T75,$D$9:$D$158,0))),""))</f>
        <v/>
      </c>
      <c r="X75" s="14" t="str">
        <f>IF(U75="","",IFERROR(IF(INDEX($E$9:$E$158,MATCH(U75,$D$9:$D$158,0))="","",INDEX($E$9:$E$158,MATCH(U75,$D$9:$D$158,0))),""))</f>
        <v/>
      </c>
      <c r="Y75" s="14" t="str">
        <f>IF(V75="","",IFERROR(IF(INDEX($E$9:$E$158,MATCH(V75,$D$9:$D$158,0))="","",INDEX($E$9:$E$158,MATCH(V75,$D$9:$D$158,0))),""))</f>
        <v/>
      </c>
      <c r="Z75" s="14">
        <f>IF(AND(T75&lt;&gt;"",W75&lt;&gt;"",E75&lt;&gt;""),IF(W75=E75,1,0),0)</f>
        <v>0</v>
      </c>
      <c r="AA75" s="14">
        <f>IF(AND(U75&lt;&gt;"",X75&lt;&gt;"",E75&lt;&gt;""),IF(X75=E75,1,0),0)</f>
        <v>0</v>
      </c>
      <c r="AB75" s="14">
        <f>IF(AND(V75&lt;&gt;"",Y75&lt;&gt;"",E75&lt;&gt;""),IF(Y75=E75,1,0),0)</f>
        <v>0</v>
      </c>
      <c r="AC75" s="14" t="str">
        <f>IF(OR(T75="",E75=""),"",T75&amp;"|"&amp;E75)</f>
        <v/>
      </c>
      <c r="AD75" s="14" t="str">
        <f>IF(OR(U75="",E75=""),"",U75&amp;"|"&amp;E75)</f>
        <v/>
      </c>
      <c r="AE75" s="14" t="str">
        <f>IF(OR(V75="",E75=""),"",V75&amp;"|"&amp;E75)</f>
        <v/>
      </c>
      <c r="AF75" s="14">
        <f>IF(OR(D75="",E75=""),0,COUNTIF($AC$9:$AC$158,D75&amp;"|"&amp;E75)+COUNTIF($AD$9:$AD$158,D75&amp;"|"&amp;E75)+COUNTIF($AE$9:$AE$158,D75&amp;"|"&amp;E75))</f>
        <v>0</v>
      </c>
      <c r="AG75" s="14">
        <f>Z75+AA75+AB75+AF75</f>
        <v>0</v>
      </c>
      <c r="AH75" s="14" t="str">
        <f>IF(OR(D75="",E75=""),"",IFERROR(MATCH(D75&amp;"|"&amp;E75,$AC$9:$AC$158,0),""))</f>
        <v/>
      </c>
      <c r="AI75" s="14" t="str">
        <f>IF(OR(D75="",E75=""),"",IFERROR(MATCH(D75&amp;"|"&amp;E75,$AD$9:$AD$158,0),""))</f>
        <v/>
      </c>
      <c r="AJ75" s="14" t="str">
        <f>IF(OR(D75="",E75=""),"",IFERROR(MATCH(D75&amp;"|"&amp;E75,$AE$9:$AE$158,0),""))</f>
        <v/>
      </c>
      <c r="AK75" s="14" t="str">
        <f>IF(Z75=1,IFERROR(INDEX($F$9:$F$158,MATCH(T75,$D$9:$D$158,0)),"")&amp;"、","")&amp;IF(AA75=1,IFERROR(INDEX($F$9:$F$158,MATCH(U75,$D$9:$D$158,0)),"")&amp;"、","")&amp;IF(AB75=1,IFERROR(INDEX($F$9:$F$158,MATCH(V75,$D$9:$D$158,0)),"")&amp;"、","")</f>
        <v/>
      </c>
      <c r="AL75" s="14" t="str">
        <f>IF(OR(AH75=""),"",IF(OR(INDEX($D$9:$D$158,AH75)=T75,INDEX($D$9:$D$158,AH75)=U75,INDEX($D$9:$D$158,AH75)=V75),"",INDEX($F$9:$F$158,AH75)&amp;"、"))&amp;IF(OR(AI75="",AI75=AH75),"",IF(OR(INDEX($D$9:$D$158,AI75)=T75,INDEX($D$9:$D$158,AI75)=U75,INDEX($D$9:$D$158,AI75)=V75),"",INDEX($F$9:$F$158,AI75)&amp;"、"))&amp;IF(OR(AJ75="",AJ75=AH75,AJ75=AI75),"",IF(OR(INDEX($D$9:$D$158,AJ75)=T75,INDEX($D$9:$D$158,AJ75)=U75,INDEX($D$9:$D$158,AJ75)=V75),"",INDEX($F$9:$F$158,AJ75)&amp;"、"))</f>
        <v/>
      </c>
      <c r="AM75" s="14" t="str">
        <f>IF(T75="","",IFERROR(INDEX('①名簿入力'!$C$4:$C$153,MATCH(T75,'①名簿入力'!$A$4:$A$153,0)),"?")&amp;IF(W75="","","("&amp;W75&amp;"組)"))</f>
        <v/>
      </c>
      <c r="AN75" s="14" t="str">
        <f>IF(U75="","",IFERROR(INDEX('①名簿入力'!$C$4:$C$153,MATCH(U75,'①名簿入力'!$A$4:$A$153,0)),"?")&amp;IF(X75="","","("&amp;X75&amp;"組)"))</f>
        <v/>
      </c>
      <c r="AO75" s="14" t="str">
        <f>IF(V75="","",IFERROR(INDEX('①名簿入力'!$C$4:$C$153,MATCH(V75,'①名簿入力'!$A$4:$A$153,0)),"?")&amp;IF(Y75="","","("&amp;Y75&amp;"組)"))</f>
        <v/>
      </c>
      <c r="AP75" s="14">
        <f>IF(G75="男",1,IF(G75="女",2,3))</f>
        <v>1</v>
      </c>
      <c r="AQ75" s="14">
        <f>IF(OR(S75="",E75=""),"",IFERROR(IF('③クラス一覧'!$AD$6="番号順",0,AP75*1000000000)+D75,""))</f>
        <v>1000002232</v>
      </c>
      <c r="AR75" s="14">
        <f>IF(AQ75="","",COUNTIFS($E$9:$E$158,E75,$AQ$9:$AQ$158,"&lt;"&amp;AQ75)+1)</f>
        <v>13</v>
      </c>
      <c r="AS75" s="14" t="str">
        <f>IF(AR75="","",E75&amp;"-"&amp;AR75)</f>
        <v>2-13</v>
      </c>
      <c r="AT75" s="14">
        <f>IF(S75="","",IF(INDEX('①名簿入力'!$F$4:$F$153,S75)="","",INDEX('①名簿入力'!$F$4:$F$153,S75)))</f>
        <v>78</v>
      </c>
      <c r="AU75" s="14">
        <f>IF(S75="","",IF(INDEX('①名簿入力'!$G$4:$G$153,S75)="","",INDEX('①名簿入力'!$G$4:$G$153,S75)))</f>
        <v>79</v>
      </c>
      <c r="AV75" s="14">
        <f>IF(S75="","",IF(INDEX('①名簿入力'!$H$4:$H$153,S75)="","",INDEX('①名簿入力'!$H$4:$H$153,S75)))</f>
        <v>88</v>
      </c>
      <c r="AW75" s="14">
        <f>IF(S75="","",IF(INDEX('①名簿入力'!$I$4:$I$153,S75)="","",INDEX('①名簿入力'!$I$4:$I$153,S75)))</f>
        <v>65</v>
      </c>
      <c r="AX75" s="14">
        <f>IF(S75="","",IF(INDEX('①名簿入力'!$J$4:$J$153,S75)="","",INDEX('①名簿入力'!$J$4:$J$153,S75)))</f>
        <v>81</v>
      </c>
    </row>
    <row r="76">
      <c r="A76" s="23">
        <f>IF('①名簿入力'!A71="","",'①名簿入力'!A71)</f>
        <v>2233</v>
      </c>
      <c r="B76" s="23">
        <f>IF(A76="","",'①名簿入力'!U71)</f>
        <v>3</v>
      </c>
      <c r="D76" s="8" t="n">
        <v>2233</v>
      </c>
      <c r="E76" s="24" t="n">
        <v>3</v>
      </c>
      <c r="F76" s="25" t="str">
        <f>IF(D76="","",IF(S76="","（名簿にない番号）",INDEX('①名簿入力'!$C$4:$C$153,S76)&amp;""))</f>
        <v>吉田　遥</v>
      </c>
      <c r="G76" s="13" t="str">
        <f>IF(S76="","",INDEX('①名簿入力'!$E$4:$E$153,S76)&amp;"")</f>
        <v>女</v>
      </c>
      <c r="H76" s="13">
        <f>IF(S76="","",IF(INDEX('①名簿入力'!$B$4:$B$153,S76)="","",INDEX('①名簿入力'!$B$4:$B$153,S76)))</f>
        <v>2</v>
      </c>
      <c r="I76" s="10">
        <f>IF(S76="","",IF(INDEX('①名簿入力'!$K$4:$K$153,S76)="","",INDEX('①名簿入力'!$K$4:$K$153,S76)))</f>
        <v>52</v>
      </c>
      <c r="J76" s="10">
        <f>IF(S76="","",IF(INDEX('①名簿入力'!$L$4:$L$153,S76)="","",INDEX('①名簿入力'!$L$4:$L$153,S76)))</f>
        <v>9.6</v>
      </c>
      <c r="K76" s="13" t="str">
        <f>IF(S76="","",IF(INDEX('①名簿入力'!$Y$4:$Y$153,S76)=1,"〇",""))</f>
        <v/>
      </c>
      <c r="L76" s="13" t="str">
        <f>IF(S76="","",IF(INDEX('①名簿入力'!$Z$4:$Z$153,S76)=1,"〇",""))</f>
        <v/>
      </c>
      <c r="M76" s="13" t="str">
        <f>IF(S76="","",IF(INDEX('①名簿入力'!$AA$4:$AA$153,S76)=1,"〇",""))</f>
        <v/>
      </c>
      <c r="N76" s="13" t="str">
        <f>IF(S76="","",IF(INDEX('①名簿入力'!$AB$4:$AB$153,S76)=1,"〇",""))</f>
        <v/>
      </c>
      <c r="O76" s="25" t="str">
        <f>AM76&amp;IF(AND(AM76&lt;&gt;"",AN76&lt;&gt;""),"、","")&amp;AN76&amp;IF(AND(AM76&amp;AN76&lt;&gt;"",AO76&lt;&gt;""),"、","")&amp;AO76</f>
        <v/>
      </c>
      <c r="P76" s="25" t="str">
        <f>IF(AG76=0,"",IF(AK76&amp;AL76="","⚠",LEFT(AK76&amp;AL76,LEN(AK76&amp;AL76)-1)))</f>
        <v/>
      </c>
      <c r="Q76" s="25" t="str">
        <f>IF(S76="","",INDEX('①名簿入力'!$T$4:$T$153,S76)&amp;"")</f>
        <v/>
      </c>
      <c r="S76" s="14">
        <f>IF(D76="","",IFERROR(MATCH(D76,'①名簿入力'!$A$4:$A$153,0),""))</f>
        <v>68</v>
      </c>
      <c r="T76" s="14" t="str">
        <f>IF(S76="","",IF(INDEX('①名簿入力'!$AG$4:$AG$153,S76)=D76,"",INDEX('①名簿入力'!$AG$4:$AG$153,S76)))</f>
        <v/>
      </c>
      <c r="U76" s="14" t="str">
        <f>IF(S76="","",IF(INDEX('①名簿入力'!$AH$4:$AH$153,S76)=D76,"",INDEX('①名簿入力'!$AH$4:$AH$153,S76)))</f>
        <v/>
      </c>
      <c r="V76" s="14" t="str">
        <f>IF(S76="","",IF(INDEX('①名簿入力'!$AI$4:$AI$153,S76)=D76,"",INDEX('①名簿入力'!$AI$4:$AI$153,S76)))</f>
        <v/>
      </c>
      <c r="W76" s="14" t="str">
        <f>IF(T76="","",IFERROR(IF(INDEX($E$9:$E$158,MATCH(T76,$D$9:$D$158,0))="","",INDEX($E$9:$E$158,MATCH(T76,$D$9:$D$158,0))),""))</f>
        <v/>
      </c>
      <c r="X76" s="14" t="str">
        <f>IF(U76="","",IFERROR(IF(INDEX($E$9:$E$158,MATCH(U76,$D$9:$D$158,0))="","",INDEX($E$9:$E$158,MATCH(U76,$D$9:$D$158,0))),""))</f>
        <v/>
      </c>
      <c r="Y76" s="14" t="str">
        <f>IF(V76="","",IFERROR(IF(INDEX($E$9:$E$158,MATCH(V76,$D$9:$D$158,0))="","",INDEX($E$9:$E$158,MATCH(V76,$D$9:$D$158,0))),""))</f>
        <v/>
      </c>
      <c r="Z76" s="14">
        <f>IF(AND(T76&lt;&gt;"",W76&lt;&gt;"",E76&lt;&gt;""),IF(W76=E76,1,0),0)</f>
        <v>0</v>
      </c>
      <c r="AA76" s="14">
        <f>IF(AND(U76&lt;&gt;"",X76&lt;&gt;"",E76&lt;&gt;""),IF(X76=E76,1,0),0)</f>
        <v>0</v>
      </c>
      <c r="AB76" s="14">
        <f>IF(AND(V76&lt;&gt;"",Y76&lt;&gt;"",E76&lt;&gt;""),IF(Y76=E76,1,0),0)</f>
        <v>0</v>
      </c>
      <c r="AC76" s="14" t="str">
        <f>IF(OR(T76="",E76=""),"",T76&amp;"|"&amp;E76)</f>
        <v/>
      </c>
      <c r="AD76" s="14" t="str">
        <f>IF(OR(U76="",E76=""),"",U76&amp;"|"&amp;E76)</f>
        <v/>
      </c>
      <c r="AE76" s="14" t="str">
        <f>IF(OR(V76="",E76=""),"",V76&amp;"|"&amp;E76)</f>
        <v/>
      </c>
      <c r="AF76" s="14">
        <f>IF(OR(D76="",E76=""),0,COUNTIF($AC$9:$AC$158,D76&amp;"|"&amp;E76)+COUNTIF($AD$9:$AD$158,D76&amp;"|"&amp;E76)+COUNTIF($AE$9:$AE$158,D76&amp;"|"&amp;E76))</f>
        <v>0</v>
      </c>
      <c r="AG76" s="14">
        <f>Z76+AA76+AB76+AF76</f>
        <v>0</v>
      </c>
      <c r="AH76" s="14" t="str">
        <f>IF(OR(D76="",E76=""),"",IFERROR(MATCH(D76&amp;"|"&amp;E76,$AC$9:$AC$158,0),""))</f>
        <v/>
      </c>
      <c r="AI76" s="14" t="str">
        <f>IF(OR(D76="",E76=""),"",IFERROR(MATCH(D76&amp;"|"&amp;E76,$AD$9:$AD$158,0),""))</f>
        <v/>
      </c>
      <c r="AJ76" s="14" t="str">
        <f>IF(OR(D76="",E76=""),"",IFERROR(MATCH(D76&amp;"|"&amp;E76,$AE$9:$AE$158,0),""))</f>
        <v/>
      </c>
      <c r="AK76" s="14" t="str">
        <f>IF(Z76=1,IFERROR(INDEX($F$9:$F$158,MATCH(T76,$D$9:$D$158,0)),"")&amp;"、","")&amp;IF(AA76=1,IFERROR(INDEX($F$9:$F$158,MATCH(U76,$D$9:$D$158,0)),"")&amp;"、","")&amp;IF(AB76=1,IFERROR(INDEX($F$9:$F$158,MATCH(V76,$D$9:$D$158,0)),"")&amp;"、","")</f>
        <v/>
      </c>
      <c r="AL76" s="14" t="str">
        <f>IF(OR(AH76=""),"",IF(OR(INDEX($D$9:$D$158,AH76)=T76,INDEX($D$9:$D$158,AH76)=U76,INDEX($D$9:$D$158,AH76)=V76),"",INDEX($F$9:$F$158,AH76)&amp;"、"))&amp;IF(OR(AI76="",AI76=AH76),"",IF(OR(INDEX($D$9:$D$158,AI76)=T76,INDEX($D$9:$D$158,AI76)=U76,INDEX($D$9:$D$158,AI76)=V76),"",INDEX($F$9:$F$158,AI76)&amp;"、"))&amp;IF(OR(AJ76="",AJ76=AH76,AJ76=AI76),"",IF(OR(INDEX($D$9:$D$158,AJ76)=T76,INDEX($D$9:$D$158,AJ76)=U76,INDEX($D$9:$D$158,AJ76)=V76),"",INDEX($F$9:$F$158,AJ76)&amp;"、"))</f>
        <v/>
      </c>
      <c r="AM76" s="14" t="str">
        <f>IF(T76="","",IFERROR(INDEX('①名簿入力'!$C$4:$C$153,MATCH(T76,'①名簿入力'!$A$4:$A$153,0)),"?")&amp;IF(W76="","","("&amp;W76&amp;"組)"))</f>
        <v/>
      </c>
      <c r="AN76" s="14" t="str">
        <f>IF(U76="","",IFERROR(INDEX('①名簿入力'!$C$4:$C$153,MATCH(U76,'①名簿入力'!$A$4:$A$153,0)),"?")&amp;IF(X76="","","("&amp;X76&amp;"組)"))</f>
        <v/>
      </c>
      <c r="AO76" s="14" t="str">
        <f>IF(V76="","",IFERROR(INDEX('①名簿入力'!$C$4:$C$153,MATCH(V76,'①名簿入力'!$A$4:$A$153,0)),"?")&amp;IF(Y76="","","("&amp;Y76&amp;"組)"))</f>
        <v/>
      </c>
      <c r="AP76" s="14">
        <f>IF(G76="男",1,IF(G76="女",2,3))</f>
        <v>2</v>
      </c>
      <c r="AQ76" s="14">
        <f>IF(OR(S76="",E76=""),"",IFERROR(IF('③クラス一覧'!$AD$6="番号順",0,AP76*1000000000)+D76,""))</f>
        <v>2000002233</v>
      </c>
      <c r="AR76" s="14">
        <f>IF(AQ76="","",COUNTIFS($E$9:$E$158,E76,$AQ$9:$AQ$158,"&lt;"&amp;AQ76)+1)</f>
        <v>29</v>
      </c>
      <c r="AS76" s="14" t="str">
        <f>IF(AR76="","",E76&amp;"-"&amp;AR76)</f>
        <v>3-29</v>
      </c>
      <c r="AT76" s="14">
        <f>IF(S76="","",IF(INDEX('①名簿入力'!$F$4:$F$153,S76)="","",INDEX('①名簿入力'!$F$4:$F$153,S76)))</f>
        <v>53</v>
      </c>
      <c r="AU76" s="14">
        <f>IF(S76="","",IF(INDEX('①名簿入力'!$G$4:$G$153,S76)="","",INDEX('①名簿入力'!$G$4:$G$153,S76)))</f>
        <v>43</v>
      </c>
      <c r="AV76" s="14">
        <f>IF(S76="","",IF(INDEX('①名簿入力'!$H$4:$H$153,S76)="","",INDEX('①名簿入力'!$H$4:$H$153,S76)))</f>
        <v>45</v>
      </c>
      <c r="AW76" s="14">
        <f>IF(S76="","",IF(INDEX('①名簿入力'!$I$4:$I$153,S76)="","",INDEX('①名簿入力'!$I$4:$I$153,S76)))</f>
        <v>68</v>
      </c>
      <c r="AX76" s="14">
        <f>IF(S76="","",IF(INDEX('①名簿入力'!$J$4:$J$153,S76)="","",INDEX('①名簿入力'!$J$4:$J$153,S76)))</f>
        <v>51</v>
      </c>
    </row>
    <row r="77">
      <c r="A77" s="23">
        <f>IF('①名簿入力'!A72="","",'①名簿入力'!A72)</f>
        <v>2234</v>
      </c>
      <c r="B77" s="23">
        <f>IF(A77="","",'①名簿入力'!U72)</f>
        <v>1</v>
      </c>
      <c r="D77" s="8" t="n">
        <v>2234</v>
      </c>
      <c r="E77" s="24" t="n">
        <v>1</v>
      </c>
      <c r="F77" s="25" t="str">
        <f>IF(D77="","",IF(S77="","（名簿にない番号）",INDEX('①名簿入力'!$C$4:$C$153,S77)&amp;""))</f>
        <v>吉田　陽翔</v>
      </c>
      <c r="G77" s="13" t="str">
        <f>IF(S77="","",INDEX('①名簿入力'!$E$4:$E$153,S77)&amp;"")</f>
        <v>男</v>
      </c>
      <c r="H77" s="13">
        <f>IF(S77="","",IF(INDEX('①名簿入力'!$B$4:$B$153,S77)="","",INDEX('①名簿入力'!$B$4:$B$153,S77)))</f>
        <v>2</v>
      </c>
      <c r="I77" s="10">
        <f>IF(S77="","",IF(INDEX('①名簿入力'!$K$4:$K$153,S77)="","",INDEX('①名簿入力'!$K$4:$K$153,S77)))</f>
        <v>55</v>
      </c>
      <c r="J77" s="10">
        <f>IF(S77="","",IF(INDEX('①名簿入力'!$L$4:$L$153,S77)="","",INDEX('①名簿入力'!$L$4:$L$153,S77)))</f>
        <v>7.9</v>
      </c>
      <c r="K77" s="13" t="str">
        <f>IF(S77="","",IF(INDEX('①名簿入力'!$Y$4:$Y$153,S77)=1,"〇",""))</f>
        <v/>
      </c>
      <c r="L77" s="13" t="str">
        <f>IF(S77="","",IF(INDEX('①名簿入力'!$Z$4:$Z$153,S77)=1,"〇",""))</f>
        <v/>
      </c>
      <c r="M77" s="13" t="str">
        <f>IF(S77="","",IF(INDEX('①名簿入力'!$AA$4:$AA$153,S77)=1,"〇",""))</f>
        <v/>
      </c>
      <c r="N77" s="13" t="str">
        <f>IF(S77="","",IF(INDEX('①名簿入力'!$AB$4:$AB$153,S77)=1,"〇",""))</f>
        <v/>
      </c>
      <c r="O77" s="25" t="str">
        <f>AM77&amp;IF(AND(AM77&lt;&gt;"",AN77&lt;&gt;""),"、","")&amp;AN77&amp;IF(AND(AM77&amp;AN77&lt;&gt;"",AO77&lt;&gt;""),"、","")&amp;AO77</f>
        <v>伊藤　美桜(1組)</v>
      </c>
      <c r="P77" s="25" t="str">
        <f>IF(AG77=0,"",IF(AK77&amp;AL77="","⚠",LEFT(AK77&amp;AL77,LEN(AK77&amp;AL77)-1)))</f>
        <v>伊藤　美桜</v>
      </c>
      <c r="Q77" s="25" t="str">
        <f>IF(S77="","",INDEX('①名簿入力'!$T$4:$T$153,S77)&amp;"")</f>
        <v/>
      </c>
      <c r="S77" s="14">
        <f>IF(D77="","",IFERROR(MATCH(D77,'①名簿入力'!$A$4:$A$153,0),""))</f>
        <v>69</v>
      </c>
      <c r="T77" s="14" t="str">
        <f>IF(S77="","",IF(INDEX('①名簿入力'!$AG$4:$AG$153,S77)=D77,"",INDEX('①名簿入力'!$AG$4:$AG$153,S77)))</f>
        <v/>
      </c>
      <c r="U77" s="14" t="str">
        <f>IF(S77="","",IF(INDEX('①名簿入力'!$AH$4:$AH$153,S77)=D77,"",INDEX('①名簿入力'!$AH$4:$AH$153,S77)))</f>
        <v/>
      </c>
      <c r="V77" s="14">
        <f>IF(S77="","",IF(INDEX('①名簿入力'!$AI$4:$AI$153,S77)=D77,"",INDEX('①名簿入力'!$AI$4:$AI$153,S77)))</f>
        <v>2207</v>
      </c>
      <c r="W77" s="14" t="str">
        <f>IF(T77="","",IFERROR(IF(INDEX($E$9:$E$158,MATCH(T77,$D$9:$D$158,0))="","",INDEX($E$9:$E$158,MATCH(T77,$D$9:$D$158,0))),""))</f>
        <v/>
      </c>
      <c r="X77" s="14" t="str">
        <f>IF(U77="","",IFERROR(IF(INDEX($E$9:$E$158,MATCH(U77,$D$9:$D$158,0))="","",INDEX($E$9:$E$158,MATCH(U77,$D$9:$D$158,0))),""))</f>
        <v/>
      </c>
      <c r="Y77" s="14">
        <f>IF(V77="","",IFERROR(IF(INDEX($E$9:$E$158,MATCH(V77,$D$9:$D$158,0))="","",INDEX($E$9:$E$158,MATCH(V77,$D$9:$D$158,0))),""))</f>
        <v>1</v>
      </c>
      <c r="Z77" s="14">
        <f>IF(AND(T77&lt;&gt;"",W77&lt;&gt;"",E77&lt;&gt;""),IF(W77=E77,1,0),0)</f>
        <v>0</v>
      </c>
      <c r="AA77" s="14">
        <f>IF(AND(U77&lt;&gt;"",X77&lt;&gt;"",E77&lt;&gt;""),IF(X77=E77,1,0),0)</f>
        <v>0</v>
      </c>
      <c r="AB77" s="14">
        <f>IF(AND(V77&lt;&gt;"",Y77&lt;&gt;"",E77&lt;&gt;""),IF(Y77=E77,1,0),0)</f>
        <v>1</v>
      </c>
      <c r="AC77" s="14" t="str">
        <f>IF(OR(T77="",E77=""),"",T77&amp;"|"&amp;E77)</f>
        <v/>
      </c>
      <c r="AD77" s="14" t="str">
        <f>IF(OR(U77="",E77=""),"",U77&amp;"|"&amp;E77)</f>
        <v/>
      </c>
      <c r="AE77" s="14" t="str">
        <f>IF(OR(V77="",E77=""),"",V77&amp;"|"&amp;E77)</f>
        <v>2207|1</v>
      </c>
      <c r="AF77" s="14">
        <f>IF(OR(D77="",E77=""),0,COUNTIF($AC$9:$AC$158,D77&amp;"|"&amp;E77)+COUNTIF($AD$9:$AD$158,D77&amp;"|"&amp;E77)+COUNTIF($AE$9:$AE$158,D77&amp;"|"&amp;E77))</f>
        <v>1</v>
      </c>
      <c r="AG77" s="14">
        <f>Z77+AA77+AB77+AF77</f>
        <v>2</v>
      </c>
      <c r="AH77" s="14" t="str">
        <f>IF(OR(D77="",E77=""),"",IFERROR(MATCH(D77&amp;"|"&amp;E77,$AC$9:$AC$158,0),""))</f>
        <v/>
      </c>
      <c r="AI77" s="14" t="str">
        <f>IF(OR(D77="",E77=""),"",IFERROR(MATCH(D77&amp;"|"&amp;E77,$AD$9:$AD$158,0),""))</f>
        <v/>
      </c>
      <c r="AJ77" s="14">
        <f>IF(OR(D77="",E77=""),"",IFERROR(MATCH(D77&amp;"|"&amp;E77,$AE$9:$AE$158,0),""))</f>
        <v>42</v>
      </c>
      <c r="AK77" s="14" t="str">
        <f>IF(Z77=1,IFERROR(INDEX($F$9:$F$158,MATCH(T77,$D$9:$D$158,0)),"")&amp;"、","")&amp;IF(AA77=1,IFERROR(INDEX($F$9:$F$158,MATCH(U77,$D$9:$D$158,0)),"")&amp;"、","")&amp;IF(AB77=1,IFERROR(INDEX($F$9:$F$158,MATCH(V77,$D$9:$D$158,0)),"")&amp;"、","")</f>
        <v>伊藤　美桜、</v>
      </c>
      <c r="AL77" s="14" t="str">
        <f>IF(OR(AH77=""),"",IF(OR(INDEX($D$9:$D$158,AH77)=T77,INDEX($D$9:$D$158,AH77)=U77,INDEX($D$9:$D$158,AH77)=V77),"",INDEX($F$9:$F$158,AH77)&amp;"、"))&amp;IF(OR(AI77="",AI77=AH77),"",IF(OR(INDEX($D$9:$D$158,AI77)=T77,INDEX($D$9:$D$158,AI77)=U77,INDEX($D$9:$D$158,AI77)=V77),"",INDEX($F$9:$F$158,AI77)&amp;"、"))&amp;IF(OR(AJ77="",AJ77=AH77,AJ77=AI77),"",IF(OR(INDEX($D$9:$D$158,AJ77)=T77,INDEX($D$9:$D$158,AJ77)=U77,INDEX($D$9:$D$158,AJ77)=V77),"",INDEX($F$9:$F$158,AJ77)&amp;"、"))</f>
        <v/>
      </c>
      <c r="AM77" s="14" t="str">
        <f>IF(T77="","",IFERROR(INDEX('①名簿入力'!$C$4:$C$153,MATCH(T77,'①名簿入力'!$A$4:$A$153,0)),"?")&amp;IF(W77="","","("&amp;W77&amp;"組)"))</f>
        <v/>
      </c>
      <c r="AN77" s="14" t="str">
        <f>IF(U77="","",IFERROR(INDEX('①名簿入力'!$C$4:$C$153,MATCH(U77,'①名簿入力'!$A$4:$A$153,0)),"?")&amp;IF(X77="","","("&amp;X77&amp;"組)"))</f>
        <v/>
      </c>
      <c r="AO77" s="14" t="str">
        <f>IF(V77="","",IFERROR(INDEX('①名簿入力'!$C$4:$C$153,MATCH(V77,'①名簿入力'!$A$4:$A$153,0)),"?")&amp;IF(Y77="","","("&amp;Y77&amp;"組)"))</f>
        <v>伊藤　美桜(1組)</v>
      </c>
      <c r="AP77" s="14">
        <f>IF(G77="男",1,IF(G77="女",2,3))</f>
        <v>1</v>
      </c>
      <c r="AQ77" s="14">
        <f>IF(OR(S77="",E77=""),"",IFERROR(IF('③クラス一覧'!$AD$6="番号順",0,AP77*1000000000)+D77,""))</f>
        <v>1000002234</v>
      </c>
      <c r="AR77" s="14">
        <f>IF(AQ77="","",COUNTIFS($E$9:$E$158,E77,$AQ$9:$AQ$158,"&lt;"&amp;AQ77)+1)</f>
        <v>11</v>
      </c>
      <c r="AS77" s="14" t="str">
        <f>IF(AR77="","",E77&amp;"-"&amp;AR77)</f>
        <v>1-11</v>
      </c>
      <c r="AT77" s="14">
        <f>IF(S77="","",IF(INDEX('①名簿入力'!$F$4:$F$153,S77)="","",INDEX('①名簿入力'!$F$4:$F$153,S77)))</f>
        <v>53</v>
      </c>
      <c r="AU77" s="14">
        <f>IF(S77="","",IF(INDEX('①名簿入力'!$G$4:$G$153,S77)="","",INDEX('①名簿入力'!$G$4:$G$153,S77)))</f>
        <v>60</v>
      </c>
      <c r="AV77" s="14">
        <f>IF(S77="","",IF(INDEX('①名簿入力'!$H$4:$H$153,S77)="","",INDEX('①名簿入力'!$H$4:$H$153,S77)))</f>
        <v>63</v>
      </c>
      <c r="AW77" s="14">
        <f>IF(S77="","",IF(INDEX('①名簿入力'!$I$4:$I$153,S77)="","",INDEX('①名簿入力'!$I$4:$I$153,S77)))</f>
        <v>47</v>
      </c>
      <c r="AX77" s="14">
        <f>IF(S77="","",IF(INDEX('①名簿入力'!$J$4:$J$153,S77)="","",INDEX('①名簿入力'!$J$4:$J$153,S77)))</f>
        <v>52</v>
      </c>
    </row>
    <row r="78">
      <c r="A78" s="23">
        <f>IF('①名簿入力'!A73="","",'①名簿入力'!A73)</f>
        <v>2235</v>
      </c>
      <c r="B78" s="23">
        <f>IF(A78="","",'①名簿入力'!U73)</f>
        <v>1</v>
      </c>
      <c r="D78" s="8" t="n">
        <v>2235</v>
      </c>
      <c r="E78" s="24" t="n">
        <v>1</v>
      </c>
      <c r="F78" s="25" t="str">
        <f>IF(D78="","",IF(S78="","（名簿にない番号）",INDEX('①名簿入力'!$C$4:$C$153,S78)&amp;""))</f>
        <v>渡辺　奏太</v>
      </c>
      <c r="G78" s="13" t="str">
        <f>IF(S78="","",INDEX('①名簿入力'!$E$4:$E$153,S78)&amp;"")</f>
        <v>男</v>
      </c>
      <c r="H78" s="13">
        <f>IF(S78="","",IF(INDEX('①名簿入力'!$B$4:$B$153,S78)="","",INDEX('①名簿入力'!$B$4:$B$153,S78)))</f>
        <v>2</v>
      </c>
      <c r="I78" s="10">
        <f>IF(S78="","",IF(INDEX('①名簿入力'!$K$4:$K$153,S78)="","",INDEX('①名簿入力'!$K$4:$K$153,S78)))</f>
        <v>45.2</v>
      </c>
      <c r="J78" s="10">
        <f>IF(S78="","",IF(INDEX('①名簿入力'!$L$4:$L$153,S78)="","",INDEX('①名簿入力'!$L$4:$L$153,S78)))</f>
        <v>8.1</v>
      </c>
      <c r="K78" s="13" t="str">
        <f>IF(S78="","",IF(INDEX('①名簿入力'!$Y$4:$Y$153,S78)=1,"〇",""))</f>
        <v/>
      </c>
      <c r="L78" s="13" t="str">
        <f>IF(S78="","",IF(INDEX('①名簿入力'!$Z$4:$Z$153,S78)=1,"〇",""))</f>
        <v/>
      </c>
      <c r="M78" s="13" t="str">
        <f>IF(S78="","",IF(INDEX('①名簿入力'!$AA$4:$AA$153,S78)=1,"〇",""))</f>
        <v/>
      </c>
      <c r="N78" s="13" t="str">
        <f>IF(S78="","",IF(INDEX('①名簿入力'!$AB$4:$AB$153,S78)=1,"〇",""))</f>
        <v/>
      </c>
      <c r="O78" s="25" t="str">
        <f>AM78&amp;IF(AND(AM78&lt;&gt;"",AN78&lt;&gt;""),"、","")&amp;AN78&amp;IF(AND(AM78&amp;AN78&lt;&gt;"",AO78&lt;&gt;""),"、","")&amp;AO78</f>
        <v/>
      </c>
      <c r="P78" s="25" t="str">
        <f>IF(AG78=0,"",IF(AK78&amp;AL78="","⚠",LEFT(AK78&amp;AL78,LEN(AK78&amp;AL78)-1)))</f>
        <v/>
      </c>
      <c r="Q78" s="25" t="str">
        <f>IF(S78="","",INDEX('①名簿入力'!$T$4:$T$153,S78)&amp;"")</f>
        <v/>
      </c>
      <c r="S78" s="14">
        <f>IF(D78="","",IFERROR(MATCH(D78,'①名簿入力'!$A$4:$A$153,0),""))</f>
        <v>70</v>
      </c>
      <c r="T78" s="14" t="str">
        <f>IF(S78="","",IF(INDEX('①名簿入力'!$AG$4:$AG$153,S78)=D78,"",INDEX('①名簿入力'!$AG$4:$AG$153,S78)))</f>
        <v/>
      </c>
      <c r="U78" s="14" t="str">
        <f>IF(S78="","",IF(INDEX('①名簿入力'!$AH$4:$AH$153,S78)=D78,"",INDEX('①名簿入力'!$AH$4:$AH$153,S78)))</f>
        <v/>
      </c>
      <c r="V78" s="14" t="str">
        <f>IF(S78="","",IF(INDEX('①名簿入力'!$AI$4:$AI$153,S78)=D78,"",INDEX('①名簿入力'!$AI$4:$AI$153,S78)))</f>
        <v/>
      </c>
      <c r="W78" s="14" t="str">
        <f>IF(T78="","",IFERROR(IF(INDEX($E$9:$E$158,MATCH(T78,$D$9:$D$158,0))="","",INDEX($E$9:$E$158,MATCH(T78,$D$9:$D$158,0))),""))</f>
        <v/>
      </c>
      <c r="X78" s="14" t="str">
        <f>IF(U78="","",IFERROR(IF(INDEX($E$9:$E$158,MATCH(U78,$D$9:$D$158,0))="","",INDEX($E$9:$E$158,MATCH(U78,$D$9:$D$158,0))),""))</f>
        <v/>
      </c>
      <c r="Y78" s="14" t="str">
        <f>IF(V78="","",IFERROR(IF(INDEX($E$9:$E$158,MATCH(V78,$D$9:$D$158,0))="","",INDEX($E$9:$E$158,MATCH(V78,$D$9:$D$158,0))),""))</f>
        <v/>
      </c>
      <c r="Z78" s="14">
        <f>IF(AND(T78&lt;&gt;"",W78&lt;&gt;"",E78&lt;&gt;""),IF(W78=E78,1,0),0)</f>
        <v>0</v>
      </c>
      <c r="AA78" s="14">
        <f>IF(AND(U78&lt;&gt;"",X78&lt;&gt;"",E78&lt;&gt;""),IF(X78=E78,1,0),0)</f>
        <v>0</v>
      </c>
      <c r="AB78" s="14">
        <f>IF(AND(V78&lt;&gt;"",Y78&lt;&gt;"",E78&lt;&gt;""),IF(Y78=E78,1,0),0)</f>
        <v>0</v>
      </c>
      <c r="AC78" s="14" t="str">
        <f>IF(OR(T78="",E78=""),"",T78&amp;"|"&amp;E78)</f>
        <v/>
      </c>
      <c r="AD78" s="14" t="str">
        <f>IF(OR(U78="",E78=""),"",U78&amp;"|"&amp;E78)</f>
        <v/>
      </c>
      <c r="AE78" s="14" t="str">
        <f>IF(OR(V78="",E78=""),"",V78&amp;"|"&amp;E78)</f>
        <v/>
      </c>
      <c r="AF78" s="14">
        <f>IF(OR(D78="",E78=""),0,COUNTIF($AC$9:$AC$158,D78&amp;"|"&amp;E78)+COUNTIF($AD$9:$AD$158,D78&amp;"|"&amp;E78)+COUNTIF($AE$9:$AE$158,D78&amp;"|"&amp;E78))</f>
        <v>0</v>
      </c>
      <c r="AG78" s="14">
        <f>Z78+AA78+AB78+AF78</f>
        <v>0</v>
      </c>
      <c r="AH78" s="14" t="str">
        <f>IF(OR(D78="",E78=""),"",IFERROR(MATCH(D78&amp;"|"&amp;E78,$AC$9:$AC$158,0),""))</f>
        <v/>
      </c>
      <c r="AI78" s="14" t="str">
        <f>IF(OR(D78="",E78=""),"",IFERROR(MATCH(D78&amp;"|"&amp;E78,$AD$9:$AD$158,0),""))</f>
        <v/>
      </c>
      <c r="AJ78" s="14" t="str">
        <f>IF(OR(D78="",E78=""),"",IFERROR(MATCH(D78&amp;"|"&amp;E78,$AE$9:$AE$158,0),""))</f>
        <v/>
      </c>
      <c r="AK78" s="14" t="str">
        <f>IF(Z78=1,IFERROR(INDEX($F$9:$F$158,MATCH(T78,$D$9:$D$158,0)),"")&amp;"、","")&amp;IF(AA78=1,IFERROR(INDEX($F$9:$F$158,MATCH(U78,$D$9:$D$158,0)),"")&amp;"、","")&amp;IF(AB78=1,IFERROR(INDEX($F$9:$F$158,MATCH(V78,$D$9:$D$158,0)),"")&amp;"、","")</f>
        <v/>
      </c>
      <c r="AL78" s="14" t="str">
        <f>IF(OR(AH78=""),"",IF(OR(INDEX($D$9:$D$158,AH78)=T78,INDEX($D$9:$D$158,AH78)=U78,INDEX($D$9:$D$158,AH78)=V78),"",INDEX($F$9:$F$158,AH78)&amp;"、"))&amp;IF(OR(AI78="",AI78=AH78),"",IF(OR(INDEX($D$9:$D$158,AI78)=T78,INDEX($D$9:$D$158,AI78)=U78,INDEX($D$9:$D$158,AI78)=V78),"",INDEX($F$9:$F$158,AI78)&amp;"、"))&amp;IF(OR(AJ78="",AJ78=AH78,AJ78=AI78),"",IF(OR(INDEX($D$9:$D$158,AJ78)=T78,INDEX($D$9:$D$158,AJ78)=U78,INDEX($D$9:$D$158,AJ78)=V78),"",INDEX($F$9:$F$158,AJ78)&amp;"、"))</f>
        <v/>
      </c>
      <c r="AM78" s="14" t="str">
        <f>IF(T78="","",IFERROR(INDEX('①名簿入力'!$C$4:$C$153,MATCH(T78,'①名簿入力'!$A$4:$A$153,0)),"?")&amp;IF(W78="","","("&amp;W78&amp;"組)"))</f>
        <v/>
      </c>
      <c r="AN78" s="14" t="str">
        <f>IF(U78="","",IFERROR(INDEX('①名簿入力'!$C$4:$C$153,MATCH(U78,'①名簿入力'!$A$4:$A$153,0)),"?")&amp;IF(X78="","","("&amp;X78&amp;"組)"))</f>
        <v/>
      </c>
      <c r="AO78" s="14" t="str">
        <f>IF(V78="","",IFERROR(INDEX('①名簿入力'!$C$4:$C$153,MATCH(V78,'①名簿入力'!$A$4:$A$153,0)),"?")&amp;IF(Y78="","","("&amp;Y78&amp;"組)"))</f>
        <v/>
      </c>
      <c r="AP78" s="14">
        <f>IF(G78="男",1,IF(G78="女",2,3))</f>
        <v>1</v>
      </c>
      <c r="AQ78" s="14">
        <f>IF(OR(S78="",E78=""),"",IFERROR(IF('③クラス一覧'!$AD$6="番号順",0,AP78*1000000000)+D78,""))</f>
        <v>1000002235</v>
      </c>
      <c r="AR78" s="14">
        <f>IF(AQ78="","",COUNTIFS($E$9:$E$158,E78,$AQ$9:$AQ$158,"&lt;"&amp;AQ78)+1)</f>
        <v>12</v>
      </c>
      <c r="AS78" s="14" t="str">
        <f>IF(AR78="","",E78&amp;"-"&amp;AR78)</f>
        <v>1-12</v>
      </c>
      <c r="AT78" s="14">
        <f>IF(S78="","",IF(INDEX('①名簿入力'!$F$4:$F$153,S78)="","",INDEX('①名簿入力'!$F$4:$F$153,S78)))</f>
        <v>30</v>
      </c>
      <c r="AU78" s="14">
        <f>IF(S78="","",IF(INDEX('①名簿入力'!$G$4:$G$153,S78)="","",INDEX('①名簿入力'!$G$4:$G$153,S78)))</f>
        <v>63</v>
      </c>
      <c r="AV78" s="14">
        <f>IF(S78="","",IF(INDEX('①名簿入力'!$H$4:$H$153,S78)="","",INDEX('①名簿入力'!$H$4:$H$153,S78)))</f>
        <v>34</v>
      </c>
      <c r="AW78" s="14">
        <f>IF(S78="","",IF(INDEX('①名簿入力'!$I$4:$I$153,S78)="","",INDEX('①名簿入力'!$I$4:$I$153,S78)))</f>
        <v>46</v>
      </c>
      <c r="AX78" s="14">
        <f>IF(S78="","",IF(INDEX('①名簿入力'!$J$4:$J$153,S78)="","",INDEX('①名簿入力'!$J$4:$J$153,S78)))</f>
        <v>53</v>
      </c>
    </row>
    <row r="79">
      <c r="A79" s="23">
        <f>IF('①名簿入力'!A74="","",'①名簿入力'!A74)</f>
        <v>2301</v>
      </c>
      <c r="B79" s="23">
        <f>IF(A79="","",'①名簿入力'!U74)</f>
        <v>3</v>
      </c>
      <c r="D79" s="8" t="n">
        <v>2301</v>
      </c>
      <c r="E79" s="24" t="n">
        <v>3</v>
      </c>
      <c r="F79" s="25" t="str">
        <f>IF(D79="","",IF(S79="","（名簿にない番号）",INDEX('①名簿入力'!$C$4:$C$153,S79)&amp;""))</f>
        <v>石井　大翔</v>
      </c>
      <c r="G79" s="13" t="str">
        <f>IF(S79="","",INDEX('①名簿入力'!$E$4:$E$153,S79)&amp;"")</f>
        <v>男</v>
      </c>
      <c r="H79" s="13">
        <f>IF(S79="","",IF(INDEX('①名簿入力'!$B$4:$B$153,S79)="","",INDEX('①名簿入力'!$B$4:$B$153,S79)))</f>
        <v>3</v>
      </c>
      <c r="I79" s="10">
        <f>IF(S79="","",IF(INDEX('①名簿入力'!$K$4:$K$153,S79)="","",INDEX('①名簿入力'!$K$4:$K$153,S79)))</f>
        <v>93.6</v>
      </c>
      <c r="J79" s="10">
        <f>IF(S79="","",IF(INDEX('①名簿入力'!$L$4:$L$153,S79)="","",INDEX('①名簿入力'!$L$4:$L$153,S79)))</f>
        <v>8.3</v>
      </c>
      <c r="K79" s="13" t="str">
        <f>IF(S79="","",IF(INDEX('①名簿入力'!$Y$4:$Y$153,S79)=1,"〇",""))</f>
        <v/>
      </c>
      <c r="L79" s="13" t="str">
        <f>IF(S79="","",IF(INDEX('①名簿入力'!$Z$4:$Z$153,S79)=1,"〇",""))</f>
        <v/>
      </c>
      <c r="M79" s="13" t="str">
        <f>IF(S79="","",IF(INDEX('①名簿入力'!$AA$4:$AA$153,S79)=1,"〇",""))</f>
        <v/>
      </c>
      <c r="N79" s="13" t="str">
        <f>IF(S79="","",IF(INDEX('①名簿入力'!$AB$4:$AB$153,S79)=1,"〇",""))</f>
        <v/>
      </c>
      <c r="O79" s="25" t="str">
        <f>AM79&amp;IF(AND(AM79&lt;&gt;"",AN79&lt;&gt;""),"、","")&amp;AN79&amp;IF(AND(AM79&amp;AN79&lt;&gt;"",AO79&lt;&gt;""),"、","")&amp;AO79</f>
        <v/>
      </c>
      <c r="P79" s="25" t="str">
        <f>IF(AG79=0,"",IF(AK79&amp;AL79="","⚠",LEFT(AK79&amp;AL79,LEN(AK79&amp;AL79)-1)))</f>
        <v/>
      </c>
      <c r="Q79" s="25" t="str">
        <f>IF(S79="","",INDEX('①名簿入力'!$T$4:$T$153,S79)&amp;"")</f>
        <v/>
      </c>
      <c r="S79" s="14">
        <f>IF(D79="","",IFERROR(MATCH(D79,'①名簿入力'!$A$4:$A$153,0),""))</f>
        <v>71</v>
      </c>
      <c r="T79" s="14" t="str">
        <f>IF(S79="","",IF(INDEX('①名簿入力'!$AG$4:$AG$153,S79)=D79,"",INDEX('①名簿入力'!$AG$4:$AG$153,S79)))</f>
        <v/>
      </c>
      <c r="U79" s="14" t="str">
        <f>IF(S79="","",IF(INDEX('①名簿入力'!$AH$4:$AH$153,S79)=D79,"",INDEX('①名簿入力'!$AH$4:$AH$153,S79)))</f>
        <v/>
      </c>
      <c r="V79" s="14" t="str">
        <f>IF(S79="","",IF(INDEX('①名簿入力'!$AI$4:$AI$153,S79)=D79,"",INDEX('①名簿入力'!$AI$4:$AI$153,S79)))</f>
        <v/>
      </c>
      <c r="W79" s="14" t="str">
        <f>IF(T79="","",IFERROR(IF(INDEX($E$9:$E$158,MATCH(T79,$D$9:$D$158,0))="","",INDEX($E$9:$E$158,MATCH(T79,$D$9:$D$158,0))),""))</f>
        <v/>
      </c>
      <c r="X79" s="14" t="str">
        <f>IF(U79="","",IFERROR(IF(INDEX($E$9:$E$158,MATCH(U79,$D$9:$D$158,0))="","",INDEX($E$9:$E$158,MATCH(U79,$D$9:$D$158,0))),""))</f>
        <v/>
      </c>
      <c r="Y79" s="14" t="str">
        <f>IF(V79="","",IFERROR(IF(INDEX($E$9:$E$158,MATCH(V79,$D$9:$D$158,0))="","",INDEX($E$9:$E$158,MATCH(V79,$D$9:$D$158,0))),""))</f>
        <v/>
      </c>
      <c r="Z79" s="14">
        <f>IF(AND(T79&lt;&gt;"",W79&lt;&gt;"",E79&lt;&gt;""),IF(W79=E79,1,0),0)</f>
        <v>0</v>
      </c>
      <c r="AA79" s="14">
        <f>IF(AND(U79&lt;&gt;"",X79&lt;&gt;"",E79&lt;&gt;""),IF(X79=E79,1,0),0)</f>
        <v>0</v>
      </c>
      <c r="AB79" s="14">
        <f>IF(AND(V79&lt;&gt;"",Y79&lt;&gt;"",E79&lt;&gt;""),IF(Y79=E79,1,0),0)</f>
        <v>0</v>
      </c>
      <c r="AC79" s="14" t="str">
        <f>IF(OR(T79="",E79=""),"",T79&amp;"|"&amp;E79)</f>
        <v/>
      </c>
      <c r="AD79" s="14" t="str">
        <f>IF(OR(U79="",E79=""),"",U79&amp;"|"&amp;E79)</f>
        <v/>
      </c>
      <c r="AE79" s="14" t="str">
        <f>IF(OR(V79="",E79=""),"",V79&amp;"|"&amp;E79)</f>
        <v/>
      </c>
      <c r="AF79" s="14">
        <f>IF(OR(D79="",E79=""),0,COUNTIF($AC$9:$AC$158,D79&amp;"|"&amp;E79)+COUNTIF($AD$9:$AD$158,D79&amp;"|"&amp;E79)+COUNTIF($AE$9:$AE$158,D79&amp;"|"&amp;E79))</f>
        <v>0</v>
      </c>
      <c r="AG79" s="14">
        <f>Z79+AA79+AB79+AF79</f>
        <v>0</v>
      </c>
      <c r="AH79" s="14" t="str">
        <f>IF(OR(D79="",E79=""),"",IFERROR(MATCH(D79&amp;"|"&amp;E79,$AC$9:$AC$158,0),""))</f>
        <v/>
      </c>
      <c r="AI79" s="14" t="str">
        <f>IF(OR(D79="",E79=""),"",IFERROR(MATCH(D79&amp;"|"&amp;E79,$AD$9:$AD$158,0),""))</f>
        <v/>
      </c>
      <c r="AJ79" s="14" t="str">
        <f>IF(OR(D79="",E79=""),"",IFERROR(MATCH(D79&amp;"|"&amp;E79,$AE$9:$AE$158,0),""))</f>
        <v/>
      </c>
      <c r="AK79" s="14" t="str">
        <f>IF(Z79=1,IFERROR(INDEX($F$9:$F$158,MATCH(T79,$D$9:$D$158,0)),"")&amp;"、","")&amp;IF(AA79=1,IFERROR(INDEX($F$9:$F$158,MATCH(U79,$D$9:$D$158,0)),"")&amp;"、","")&amp;IF(AB79=1,IFERROR(INDEX($F$9:$F$158,MATCH(V79,$D$9:$D$158,0)),"")&amp;"、","")</f>
        <v/>
      </c>
      <c r="AL79" s="14" t="str">
        <f>IF(OR(AH79=""),"",IF(OR(INDEX($D$9:$D$158,AH79)=T79,INDEX($D$9:$D$158,AH79)=U79,INDEX($D$9:$D$158,AH79)=V79),"",INDEX($F$9:$F$158,AH79)&amp;"、"))&amp;IF(OR(AI79="",AI79=AH79),"",IF(OR(INDEX($D$9:$D$158,AI79)=T79,INDEX($D$9:$D$158,AI79)=U79,INDEX($D$9:$D$158,AI79)=V79),"",INDEX($F$9:$F$158,AI79)&amp;"、"))&amp;IF(OR(AJ79="",AJ79=AH79,AJ79=AI79),"",IF(OR(INDEX($D$9:$D$158,AJ79)=T79,INDEX($D$9:$D$158,AJ79)=U79,INDEX($D$9:$D$158,AJ79)=V79),"",INDEX($F$9:$F$158,AJ79)&amp;"、"))</f>
        <v/>
      </c>
      <c r="AM79" s="14" t="str">
        <f>IF(T79="","",IFERROR(INDEX('①名簿入力'!$C$4:$C$153,MATCH(T79,'①名簿入力'!$A$4:$A$153,0)),"?")&amp;IF(W79="","","("&amp;W79&amp;"組)"))</f>
        <v/>
      </c>
      <c r="AN79" s="14" t="str">
        <f>IF(U79="","",IFERROR(INDEX('①名簿入力'!$C$4:$C$153,MATCH(U79,'①名簿入力'!$A$4:$A$153,0)),"?")&amp;IF(X79="","","("&amp;X79&amp;"組)"))</f>
        <v/>
      </c>
      <c r="AO79" s="14" t="str">
        <f>IF(V79="","",IFERROR(INDEX('①名簿入力'!$C$4:$C$153,MATCH(V79,'①名簿入力'!$A$4:$A$153,0)),"?")&amp;IF(Y79="","","("&amp;Y79&amp;"組)"))</f>
        <v/>
      </c>
      <c r="AP79" s="14">
        <f>IF(G79="男",1,IF(G79="女",2,3))</f>
        <v>1</v>
      </c>
      <c r="AQ79" s="14">
        <f>IF(OR(S79="",E79=""),"",IFERROR(IF('③クラス一覧'!$AD$6="番号順",0,AP79*1000000000)+D79,""))</f>
        <v>1000002301</v>
      </c>
      <c r="AR79" s="14">
        <f>IF(AQ79="","",COUNTIFS($E$9:$E$158,E79,$AQ$9:$AQ$158,"&lt;"&amp;AQ79)+1)</f>
        <v>12</v>
      </c>
      <c r="AS79" s="14" t="str">
        <f>IF(AR79="","",E79&amp;"-"&amp;AR79)</f>
        <v>3-12</v>
      </c>
      <c r="AT79" s="14">
        <f>IF(S79="","",IF(INDEX('①名簿入力'!$F$4:$F$153,S79)="","",INDEX('①名簿入力'!$F$4:$F$153,S79)))</f>
        <v>82</v>
      </c>
      <c r="AU79" s="14">
        <f>IF(S79="","",IF(INDEX('①名簿入力'!$G$4:$G$153,S79)="","",INDEX('①名簿入力'!$G$4:$G$153,S79)))</f>
        <v>96</v>
      </c>
      <c r="AV79" s="14">
        <f>IF(S79="","",IF(INDEX('①名簿入力'!$H$4:$H$153,S79)="","",INDEX('①名簿入力'!$H$4:$H$153,S79)))</f>
        <v>90</v>
      </c>
      <c r="AW79" s="14">
        <f>IF(S79="","",IF(INDEX('①名簿入力'!$I$4:$I$153,S79)="","",INDEX('①名簿入力'!$I$4:$I$153,S79)))</f>
        <v>100</v>
      </c>
      <c r="AX79" s="14">
        <f>IF(S79="","",IF(INDEX('①名簿入力'!$J$4:$J$153,S79)="","",INDEX('①名簿入力'!$J$4:$J$153,S79)))</f>
        <v>100</v>
      </c>
    </row>
    <row r="80">
      <c r="A80" s="23">
        <f>IF('①名簿入力'!A75="","",'①名簿入力'!A75)</f>
        <v>2302</v>
      </c>
      <c r="B80" s="23">
        <f>IF(A80="","",'①名簿入力'!U75)</f>
        <v>3</v>
      </c>
      <c r="D80" s="8" t="n">
        <v>2302</v>
      </c>
      <c r="E80" s="24" t="n">
        <v>3</v>
      </c>
      <c r="F80" s="25" t="str">
        <f>IF(D80="","",IF(S80="","（名簿にない番号）",INDEX('①名簿入力'!$C$4:$C$153,S80)&amp;""))</f>
        <v>石井　結衣</v>
      </c>
      <c r="G80" s="13" t="str">
        <f>IF(S80="","",INDEX('①名簿入力'!$E$4:$E$153,S80)&amp;"")</f>
        <v>女</v>
      </c>
      <c r="H80" s="13">
        <f>IF(S80="","",IF(INDEX('①名簿入力'!$B$4:$B$153,S80)="","",INDEX('①名簿入力'!$B$4:$B$153,S80)))</f>
        <v>3</v>
      </c>
      <c r="I80" s="10">
        <f>IF(S80="","",IF(INDEX('①名簿入力'!$K$4:$K$153,S80)="","",INDEX('①名簿入力'!$K$4:$K$153,S80)))</f>
        <v>79.6</v>
      </c>
      <c r="J80" s="10">
        <f>IF(S80="","",IF(INDEX('①名簿入力'!$L$4:$L$153,S80)="","",INDEX('①名簿入力'!$L$4:$L$153,S80)))</f>
        <v>9.3</v>
      </c>
      <c r="K80" s="13" t="str">
        <f>IF(S80="","",IF(INDEX('①名簿入力'!$Y$4:$Y$153,S80)=1,"〇",""))</f>
        <v>〇</v>
      </c>
      <c r="L80" s="13" t="str">
        <f>IF(S80="","",IF(INDEX('①名簿入力'!$Z$4:$Z$153,S80)=1,"〇",""))</f>
        <v/>
      </c>
      <c r="M80" s="13" t="str">
        <f>IF(S80="","",IF(INDEX('①名簿入力'!$AA$4:$AA$153,S80)=1,"〇",""))</f>
        <v/>
      </c>
      <c r="N80" s="13" t="str">
        <f>IF(S80="","",IF(INDEX('①名簿入力'!$AB$4:$AB$153,S80)=1,"〇",""))</f>
        <v/>
      </c>
      <c r="O80" s="25" t="str">
        <f>AM80&amp;IF(AND(AM80&lt;&gt;"",AN80&lt;&gt;""),"、","")&amp;AN80&amp;IF(AND(AM80&amp;AN80&lt;&gt;"",AO80&lt;&gt;""),"、","")&amp;AO80</f>
        <v>江口　駿(1組)</v>
      </c>
      <c r="P80" s="25" t="str">
        <f>IF(AG80=0,"",IF(AK80&amp;AL80="","⚠",LEFT(AK80&amp;AL80,LEN(AK80&amp;AL80)-1)))</f>
        <v/>
      </c>
      <c r="Q80" s="25" t="str">
        <f>IF(S80="","",INDEX('①名簿入力'!$T$4:$T$153,S80)&amp;"")</f>
        <v>部活：サッカー</v>
      </c>
      <c r="S80" s="14">
        <f>IF(D80="","",IFERROR(MATCH(D80,'①名簿入力'!$A$4:$A$153,0),""))</f>
        <v>72</v>
      </c>
      <c r="T80" s="14">
        <f>IF(S80="","",IF(INDEX('①名簿入力'!$AG$4:$AG$153,S80)=D80,"",INDEX('①名簿入力'!$AG$4:$AG$153,S80)))</f>
        <v>2307</v>
      </c>
      <c r="U80" s="14" t="str">
        <f>IF(S80="","",IF(INDEX('①名簿入力'!$AH$4:$AH$153,S80)=D80,"",INDEX('①名簿入力'!$AH$4:$AH$153,S80)))</f>
        <v/>
      </c>
      <c r="V80" s="14" t="str">
        <f>IF(S80="","",IF(INDEX('①名簿入力'!$AI$4:$AI$153,S80)=D80,"",INDEX('①名簿入力'!$AI$4:$AI$153,S80)))</f>
        <v/>
      </c>
      <c r="W80" s="14">
        <f>IF(T80="","",IFERROR(IF(INDEX($E$9:$E$158,MATCH(T80,$D$9:$D$158,0))="","",INDEX($E$9:$E$158,MATCH(T80,$D$9:$D$158,0))),""))</f>
        <v>1</v>
      </c>
      <c r="X80" s="14" t="str">
        <f>IF(U80="","",IFERROR(IF(INDEX($E$9:$E$158,MATCH(U80,$D$9:$D$158,0))="","",INDEX($E$9:$E$158,MATCH(U80,$D$9:$D$158,0))),""))</f>
        <v/>
      </c>
      <c r="Y80" s="14" t="str">
        <f>IF(V80="","",IFERROR(IF(INDEX($E$9:$E$158,MATCH(V80,$D$9:$D$158,0))="","",INDEX($E$9:$E$158,MATCH(V80,$D$9:$D$158,0))),""))</f>
        <v/>
      </c>
      <c r="Z80" s="14">
        <f>IF(AND(T80&lt;&gt;"",W80&lt;&gt;"",E80&lt;&gt;""),IF(W80=E80,1,0),0)</f>
        <v>0</v>
      </c>
      <c r="AA80" s="14">
        <f>IF(AND(U80&lt;&gt;"",X80&lt;&gt;"",E80&lt;&gt;""),IF(X80=E80,1,0),0)</f>
        <v>0</v>
      </c>
      <c r="AB80" s="14">
        <f>IF(AND(V80&lt;&gt;"",Y80&lt;&gt;"",E80&lt;&gt;""),IF(Y80=E80,1,0),0)</f>
        <v>0</v>
      </c>
      <c r="AC80" s="14" t="str">
        <f>IF(OR(T80="",E80=""),"",T80&amp;"|"&amp;E80)</f>
        <v>2307|3</v>
      </c>
      <c r="AD80" s="14" t="str">
        <f>IF(OR(U80="",E80=""),"",U80&amp;"|"&amp;E80)</f>
        <v/>
      </c>
      <c r="AE80" s="14" t="str">
        <f>IF(OR(V80="",E80=""),"",V80&amp;"|"&amp;E80)</f>
        <v/>
      </c>
      <c r="AF80" s="14">
        <f>IF(OR(D80="",E80=""),0,COUNTIF($AC$9:$AC$158,D80&amp;"|"&amp;E80)+COUNTIF($AD$9:$AD$158,D80&amp;"|"&amp;E80)+COUNTIF($AE$9:$AE$158,D80&amp;"|"&amp;E80))</f>
        <v>0</v>
      </c>
      <c r="AG80" s="14">
        <f>Z80+AA80+AB80+AF80</f>
        <v>0</v>
      </c>
      <c r="AH80" s="14" t="str">
        <f>IF(OR(D80="",E80=""),"",IFERROR(MATCH(D80&amp;"|"&amp;E80,$AC$9:$AC$158,0),""))</f>
        <v/>
      </c>
      <c r="AI80" s="14" t="str">
        <f>IF(OR(D80="",E80=""),"",IFERROR(MATCH(D80&amp;"|"&amp;E80,$AD$9:$AD$158,0),""))</f>
        <v/>
      </c>
      <c r="AJ80" s="14" t="str">
        <f>IF(OR(D80="",E80=""),"",IFERROR(MATCH(D80&amp;"|"&amp;E80,$AE$9:$AE$158,0),""))</f>
        <v/>
      </c>
      <c r="AK80" s="14" t="str">
        <f>IF(Z80=1,IFERROR(INDEX($F$9:$F$158,MATCH(T80,$D$9:$D$158,0)),"")&amp;"、","")&amp;IF(AA80=1,IFERROR(INDEX($F$9:$F$158,MATCH(U80,$D$9:$D$158,0)),"")&amp;"、","")&amp;IF(AB80=1,IFERROR(INDEX($F$9:$F$158,MATCH(V80,$D$9:$D$158,0)),"")&amp;"、","")</f>
        <v/>
      </c>
      <c r="AL80" s="14" t="str">
        <f>IF(OR(AH80=""),"",IF(OR(INDEX($D$9:$D$158,AH80)=T80,INDEX($D$9:$D$158,AH80)=U80,INDEX($D$9:$D$158,AH80)=V80),"",INDEX($F$9:$F$158,AH80)&amp;"、"))&amp;IF(OR(AI80="",AI80=AH80),"",IF(OR(INDEX($D$9:$D$158,AI80)=T80,INDEX($D$9:$D$158,AI80)=U80,INDEX($D$9:$D$158,AI80)=V80),"",INDEX($F$9:$F$158,AI80)&amp;"、"))&amp;IF(OR(AJ80="",AJ80=AH80,AJ80=AI80),"",IF(OR(INDEX($D$9:$D$158,AJ80)=T80,INDEX($D$9:$D$158,AJ80)=U80,INDEX($D$9:$D$158,AJ80)=V80),"",INDEX($F$9:$F$158,AJ80)&amp;"、"))</f>
        <v/>
      </c>
      <c r="AM80" s="14" t="str">
        <f>IF(T80="","",IFERROR(INDEX('①名簿入力'!$C$4:$C$153,MATCH(T80,'①名簿入力'!$A$4:$A$153,0)),"?")&amp;IF(W80="","","("&amp;W80&amp;"組)"))</f>
        <v>江口　駿(1組)</v>
      </c>
      <c r="AN80" s="14" t="str">
        <f>IF(U80="","",IFERROR(INDEX('①名簿入力'!$C$4:$C$153,MATCH(U80,'①名簿入力'!$A$4:$A$153,0)),"?")&amp;IF(X80="","","("&amp;X80&amp;"組)"))</f>
        <v/>
      </c>
      <c r="AO80" s="14" t="str">
        <f>IF(V80="","",IFERROR(INDEX('①名簿入力'!$C$4:$C$153,MATCH(V80,'①名簿入力'!$A$4:$A$153,0)),"?")&amp;IF(Y80="","","("&amp;Y80&amp;"組)"))</f>
        <v/>
      </c>
      <c r="AP80" s="14">
        <f>IF(G80="男",1,IF(G80="女",2,3))</f>
        <v>2</v>
      </c>
      <c r="AQ80" s="14">
        <f>IF(OR(S80="",E80=""),"",IFERROR(IF('③クラス一覧'!$AD$6="番号順",0,AP80*1000000000)+D80,""))</f>
        <v>2000002302</v>
      </c>
      <c r="AR80" s="14">
        <f>IF(AQ80="","",COUNTIFS($E$9:$E$158,E80,$AQ$9:$AQ$158,"&lt;"&amp;AQ80)+1)</f>
        <v>30</v>
      </c>
      <c r="AS80" s="14" t="str">
        <f>IF(AR80="","",E80&amp;"-"&amp;AR80)</f>
        <v>3-30</v>
      </c>
      <c r="AT80" s="14">
        <f>IF(S80="","",IF(INDEX('①名簿入力'!$F$4:$F$153,S80)="","",INDEX('①名簿入力'!$F$4:$F$153,S80)))</f>
        <v>96</v>
      </c>
      <c r="AU80" s="14">
        <f>IF(S80="","",IF(INDEX('①名簿入力'!$G$4:$G$153,S80)="","",INDEX('①名簿入力'!$G$4:$G$153,S80)))</f>
        <v>95</v>
      </c>
      <c r="AV80" s="14">
        <f>IF(S80="","",IF(INDEX('①名簿入力'!$H$4:$H$153,S80)="","",INDEX('①名簿入力'!$H$4:$H$153,S80)))</f>
        <v>79</v>
      </c>
      <c r="AW80" s="14">
        <f>IF(S80="","",IF(INDEX('①名簿入力'!$I$4:$I$153,S80)="","",INDEX('①名簿入力'!$I$4:$I$153,S80)))</f>
        <v>58</v>
      </c>
      <c r="AX80" s="14">
        <f>IF(S80="","",IF(INDEX('①名簿入力'!$J$4:$J$153,S80)="","",INDEX('①名簿入力'!$J$4:$J$153,S80)))</f>
        <v>70</v>
      </c>
    </row>
    <row r="81">
      <c r="A81" s="23">
        <f>IF('①名簿入力'!A76="","",'①名簿入力'!A76)</f>
        <v>2303</v>
      </c>
      <c r="B81" s="23">
        <f>IF(A81="","",'①名簿入力'!U76)</f>
        <v>3</v>
      </c>
      <c r="D81" s="8" t="n">
        <v>2303</v>
      </c>
      <c r="E81" s="24" t="n">
        <v>3</v>
      </c>
      <c r="F81" s="25" t="str">
        <f>IF(D81="","",IF(S81="","（名簿にない番号）",INDEX('①名簿入力'!$C$4:$C$153,S81)&amp;""))</f>
        <v>石川　太一</v>
      </c>
      <c r="G81" s="13" t="str">
        <f>IF(S81="","",INDEX('①名簿入力'!$E$4:$E$153,S81)&amp;"")</f>
        <v>男</v>
      </c>
      <c r="H81" s="13">
        <f>IF(S81="","",IF(INDEX('①名簿入力'!$B$4:$B$153,S81)="","",INDEX('①名簿入力'!$B$4:$B$153,S81)))</f>
        <v>3</v>
      </c>
      <c r="I81" s="10">
        <f>IF(S81="","",IF(INDEX('①名簿入力'!$K$4:$K$153,S81)="","",INDEX('①名簿入力'!$K$4:$K$153,S81)))</f>
        <v>51.6</v>
      </c>
      <c r="J81" s="10">
        <f>IF(S81="","",IF(INDEX('①名簿入力'!$L$4:$L$153,S81)="","",INDEX('①名簿入力'!$L$4:$L$153,S81)))</f>
        <v>8</v>
      </c>
      <c r="K81" s="13" t="str">
        <f>IF(S81="","",IF(INDEX('①名簿入力'!$Y$4:$Y$153,S81)=1,"〇",""))</f>
        <v/>
      </c>
      <c r="L81" s="13" t="str">
        <f>IF(S81="","",IF(INDEX('①名簿入力'!$Z$4:$Z$153,S81)=1,"〇",""))</f>
        <v/>
      </c>
      <c r="M81" s="13" t="str">
        <f>IF(S81="","",IF(INDEX('①名簿入力'!$AA$4:$AA$153,S81)=1,"〇",""))</f>
        <v/>
      </c>
      <c r="N81" s="13" t="str">
        <f>IF(S81="","",IF(INDEX('①名簿入力'!$AB$4:$AB$153,S81)=1,"〇",""))</f>
        <v/>
      </c>
      <c r="O81" s="25" t="str">
        <f>AM81&amp;IF(AND(AM81&lt;&gt;"",AN81&lt;&gt;""),"、","")&amp;AN81&amp;IF(AND(AM81&amp;AN81&lt;&gt;"",AO81&lt;&gt;""),"、","")&amp;AO81</f>
        <v/>
      </c>
      <c r="P81" s="25" t="str">
        <f>IF(AG81=0,"",IF(AK81&amp;AL81="","⚠",LEFT(AK81&amp;AL81,LEN(AK81&amp;AL81)-1)))</f>
        <v/>
      </c>
      <c r="Q81" s="25" t="str">
        <f>IF(S81="","",INDEX('①名簿入力'!$T$4:$T$153,S81)&amp;"")</f>
        <v/>
      </c>
      <c r="S81" s="14">
        <f>IF(D81="","",IFERROR(MATCH(D81,'①名簿入力'!$A$4:$A$153,0),""))</f>
        <v>73</v>
      </c>
      <c r="T81" s="14" t="str">
        <f>IF(S81="","",IF(INDEX('①名簿入力'!$AG$4:$AG$153,S81)=D81,"",INDEX('①名簿入力'!$AG$4:$AG$153,S81)))</f>
        <v/>
      </c>
      <c r="U81" s="14" t="str">
        <f>IF(S81="","",IF(INDEX('①名簿入力'!$AH$4:$AH$153,S81)=D81,"",INDEX('①名簿入力'!$AH$4:$AH$153,S81)))</f>
        <v/>
      </c>
      <c r="V81" s="14" t="str">
        <f>IF(S81="","",IF(INDEX('①名簿入力'!$AI$4:$AI$153,S81)=D81,"",INDEX('①名簿入力'!$AI$4:$AI$153,S81)))</f>
        <v/>
      </c>
      <c r="W81" s="14" t="str">
        <f>IF(T81="","",IFERROR(IF(INDEX($E$9:$E$158,MATCH(T81,$D$9:$D$158,0))="","",INDEX($E$9:$E$158,MATCH(T81,$D$9:$D$158,0))),""))</f>
        <v/>
      </c>
      <c r="X81" s="14" t="str">
        <f>IF(U81="","",IFERROR(IF(INDEX($E$9:$E$158,MATCH(U81,$D$9:$D$158,0))="","",INDEX($E$9:$E$158,MATCH(U81,$D$9:$D$158,0))),""))</f>
        <v/>
      </c>
      <c r="Y81" s="14" t="str">
        <f>IF(V81="","",IFERROR(IF(INDEX($E$9:$E$158,MATCH(V81,$D$9:$D$158,0))="","",INDEX($E$9:$E$158,MATCH(V81,$D$9:$D$158,0))),""))</f>
        <v/>
      </c>
      <c r="Z81" s="14">
        <f>IF(AND(T81&lt;&gt;"",W81&lt;&gt;"",E81&lt;&gt;""),IF(W81=E81,1,0),0)</f>
        <v>0</v>
      </c>
      <c r="AA81" s="14">
        <f>IF(AND(U81&lt;&gt;"",X81&lt;&gt;"",E81&lt;&gt;""),IF(X81=E81,1,0),0)</f>
        <v>0</v>
      </c>
      <c r="AB81" s="14">
        <f>IF(AND(V81&lt;&gt;"",Y81&lt;&gt;"",E81&lt;&gt;""),IF(Y81=E81,1,0),0)</f>
        <v>0</v>
      </c>
      <c r="AC81" s="14" t="str">
        <f>IF(OR(T81="",E81=""),"",T81&amp;"|"&amp;E81)</f>
        <v/>
      </c>
      <c r="AD81" s="14" t="str">
        <f>IF(OR(U81="",E81=""),"",U81&amp;"|"&amp;E81)</f>
        <v/>
      </c>
      <c r="AE81" s="14" t="str">
        <f>IF(OR(V81="",E81=""),"",V81&amp;"|"&amp;E81)</f>
        <v/>
      </c>
      <c r="AF81" s="14">
        <f>IF(OR(D81="",E81=""),0,COUNTIF($AC$9:$AC$158,D81&amp;"|"&amp;E81)+COUNTIF($AD$9:$AD$158,D81&amp;"|"&amp;E81)+COUNTIF($AE$9:$AE$158,D81&amp;"|"&amp;E81))</f>
        <v>0</v>
      </c>
      <c r="AG81" s="14">
        <f>Z81+AA81+AB81+AF81</f>
        <v>0</v>
      </c>
      <c r="AH81" s="14" t="str">
        <f>IF(OR(D81="",E81=""),"",IFERROR(MATCH(D81&amp;"|"&amp;E81,$AC$9:$AC$158,0),""))</f>
        <v/>
      </c>
      <c r="AI81" s="14" t="str">
        <f>IF(OR(D81="",E81=""),"",IFERROR(MATCH(D81&amp;"|"&amp;E81,$AD$9:$AD$158,0),""))</f>
        <v/>
      </c>
      <c r="AJ81" s="14" t="str">
        <f>IF(OR(D81="",E81=""),"",IFERROR(MATCH(D81&amp;"|"&amp;E81,$AE$9:$AE$158,0),""))</f>
        <v/>
      </c>
      <c r="AK81" s="14" t="str">
        <f>IF(Z81=1,IFERROR(INDEX($F$9:$F$158,MATCH(T81,$D$9:$D$158,0)),"")&amp;"、","")&amp;IF(AA81=1,IFERROR(INDEX($F$9:$F$158,MATCH(U81,$D$9:$D$158,0)),"")&amp;"、","")&amp;IF(AB81=1,IFERROR(INDEX($F$9:$F$158,MATCH(V81,$D$9:$D$158,0)),"")&amp;"、","")</f>
        <v/>
      </c>
      <c r="AL81" s="14" t="str">
        <f>IF(OR(AH81=""),"",IF(OR(INDEX($D$9:$D$158,AH81)=T81,INDEX($D$9:$D$158,AH81)=U81,INDEX($D$9:$D$158,AH81)=V81),"",INDEX($F$9:$F$158,AH81)&amp;"、"))&amp;IF(OR(AI81="",AI81=AH81),"",IF(OR(INDEX($D$9:$D$158,AI81)=T81,INDEX($D$9:$D$158,AI81)=U81,INDEX($D$9:$D$158,AI81)=V81),"",INDEX($F$9:$F$158,AI81)&amp;"、"))&amp;IF(OR(AJ81="",AJ81=AH81,AJ81=AI81),"",IF(OR(INDEX($D$9:$D$158,AJ81)=T81,INDEX($D$9:$D$158,AJ81)=U81,INDEX($D$9:$D$158,AJ81)=V81),"",INDEX($F$9:$F$158,AJ81)&amp;"、"))</f>
        <v/>
      </c>
      <c r="AM81" s="14" t="str">
        <f>IF(T81="","",IFERROR(INDEX('①名簿入力'!$C$4:$C$153,MATCH(T81,'①名簿入力'!$A$4:$A$153,0)),"?")&amp;IF(W81="","","("&amp;W81&amp;"組)"))</f>
        <v/>
      </c>
      <c r="AN81" s="14" t="str">
        <f>IF(U81="","",IFERROR(INDEX('①名簿入力'!$C$4:$C$153,MATCH(U81,'①名簿入力'!$A$4:$A$153,0)),"?")&amp;IF(X81="","","("&amp;X81&amp;"組)"))</f>
        <v/>
      </c>
      <c r="AO81" s="14" t="str">
        <f>IF(V81="","",IFERROR(INDEX('①名簿入力'!$C$4:$C$153,MATCH(V81,'①名簿入力'!$A$4:$A$153,0)),"?")&amp;IF(Y81="","","("&amp;Y81&amp;"組)"))</f>
        <v/>
      </c>
      <c r="AP81" s="14">
        <f>IF(G81="男",1,IF(G81="女",2,3))</f>
        <v>1</v>
      </c>
      <c r="AQ81" s="14">
        <f>IF(OR(S81="",E81=""),"",IFERROR(IF('③クラス一覧'!$AD$6="番号順",0,AP81*1000000000)+D81,""))</f>
        <v>1000002303</v>
      </c>
      <c r="AR81" s="14">
        <f>IF(AQ81="","",COUNTIFS($E$9:$E$158,E81,$AQ$9:$AQ$158,"&lt;"&amp;AQ81)+1)</f>
        <v>13</v>
      </c>
      <c r="AS81" s="14" t="str">
        <f>IF(AR81="","",E81&amp;"-"&amp;AR81)</f>
        <v>3-13</v>
      </c>
      <c r="AT81" s="14">
        <f>IF(S81="","",IF(INDEX('①名簿入力'!$F$4:$F$153,S81)="","",INDEX('①名簿入力'!$F$4:$F$153,S81)))</f>
        <v>57</v>
      </c>
      <c r="AU81" s="14">
        <f>IF(S81="","",IF(INDEX('①名簿入力'!$G$4:$G$153,S81)="","",INDEX('①名簿入力'!$G$4:$G$153,S81)))</f>
        <v>45</v>
      </c>
      <c r="AV81" s="14">
        <f>IF(S81="","",IF(INDEX('①名簿入力'!$H$4:$H$153,S81)="","",INDEX('①名簿入力'!$H$4:$H$153,S81)))</f>
        <v>38</v>
      </c>
      <c r="AW81" s="14">
        <f>IF(S81="","",IF(INDEX('①名簿入力'!$I$4:$I$153,S81)="","",INDEX('①名簿入力'!$I$4:$I$153,S81)))</f>
        <v>61</v>
      </c>
      <c r="AX81" s="14">
        <f>IF(S81="","",IF(INDEX('①名簿入力'!$J$4:$J$153,S81)="","",INDEX('①名簿入力'!$J$4:$J$153,S81)))</f>
        <v>57</v>
      </c>
    </row>
    <row r="82">
      <c r="A82" s="23">
        <f>IF('①名簿入力'!A77="","",'①名簿入力'!A77)</f>
        <v>2304</v>
      </c>
      <c r="B82" s="23">
        <f>IF(A82="","",'①名簿入力'!U77)</f>
        <v>3</v>
      </c>
      <c r="D82" s="8" t="n">
        <v>2304</v>
      </c>
      <c r="E82" s="24" t="n">
        <v>3</v>
      </c>
      <c r="F82" s="25" t="str">
        <f>IF(D82="","",IF(S82="","（名簿にない番号）",INDEX('①名簿入力'!$C$4:$C$153,S82)&amp;""))</f>
        <v>石田　結衣</v>
      </c>
      <c r="G82" s="13" t="str">
        <f>IF(S82="","",INDEX('①名簿入力'!$E$4:$E$153,S82)&amp;"")</f>
        <v>女</v>
      </c>
      <c r="H82" s="13">
        <f>IF(S82="","",IF(INDEX('①名簿入力'!$B$4:$B$153,S82)="","",INDEX('①名簿入力'!$B$4:$B$153,S82)))</f>
        <v>3</v>
      </c>
      <c r="I82" s="10">
        <f>IF(S82="","",IF(INDEX('①名簿入力'!$K$4:$K$153,S82)="","",INDEX('①名簿入力'!$K$4:$K$153,S82)))</f>
        <v>75</v>
      </c>
      <c r="J82" s="10">
        <f>IF(S82="","",IF(INDEX('①名簿入力'!$L$4:$L$153,S82)="","",INDEX('①名簿入力'!$L$4:$L$153,S82)))</f>
        <v>8.6</v>
      </c>
      <c r="K82" s="13" t="str">
        <f>IF(S82="","",IF(INDEX('①名簿入力'!$Y$4:$Y$153,S82)=1,"〇",""))</f>
        <v>〇</v>
      </c>
      <c r="L82" s="13" t="str">
        <f>IF(S82="","",IF(INDEX('①名簿入力'!$Z$4:$Z$153,S82)=1,"〇",""))</f>
        <v/>
      </c>
      <c r="M82" s="13" t="str">
        <f>IF(S82="","",IF(INDEX('①名簿入力'!$AA$4:$AA$153,S82)=1,"〇",""))</f>
        <v/>
      </c>
      <c r="N82" s="13" t="str">
        <f>IF(S82="","",IF(INDEX('①名簿入力'!$AB$4:$AB$153,S82)=1,"〇",""))</f>
        <v/>
      </c>
      <c r="O82" s="25" t="str">
        <f>AM82&amp;IF(AND(AM82&lt;&gt;"",AN82&lt;&gt;""),"、","")&amp;AN82&amp;IF(AND(AM82&amp;AN82&lt;&gt;"",AO82&lt;&gt;""),"、","")&amp;AO82</f>
        <v/>
      </c>
      <c r="P82" s="25" t="str">
        <f>IF(AG82=0,"",IF(AK82&amp;AL82="","⚠",LEFT(AK82&amp;AL82,LEN(AK82&amp;AL82)-1)))</f>
        <v/>
      </c>
      <c r="Q82" s="25" t="str">
        <f>IF(S82="","",INDEX('①名簿入力'!$T$4:$T$153,S82)&amp;"")</f>
        <v/>
      </c>
      <c r="S82" s="14">
        <f>IF(D82="","",IFERROR(MATCH(D82,'①名簿入力'!$A$4:$A$153,0),""))</f>
        <v>74</v>
      </c>
      <c r="T82" s="14" t="str">
        <f>IF(S82="","",IF(INDEX('①名簿入力'!$AG$4:$AG$153,S82)=D82,"",INDEX('①名簿入力'!$AG$4:$AG$153,S82)))</f>
        <v/>
      </c>
      <c r="U82" s="14" t="str">
        <f>IF(S82="","",IF(INDEX('①名簿入力'!$AH$4:$AH$153,S82)=D82,"",INDEX('①名簿入力'!$AH$4:$AH$153,S82)))</f>
        <v/>
      </c>
      <c r="V82" s="14" t="str">
        <f>IF(S82="","",IF(INDEX('①名簿入力'!$AI$4:$AI$153,S82)=D82,"",INDEX('①名簿入力'!$AI$4:$AI$153,S82)))</f>
        <v/>
      </c>
      <c r="W82" s="14" t="str">
        <f>IF(T82="","",IFERROR(IF(INDEX($E$9:$E$158,MATCH(T82,$D$9:$D$158,0))="","",INDEX($E$9:$E$158,MATCH(T82,$D$9:$D$158,0))),""))</f>
        <v/>
      </c>
      <c r="X82" s="14" t="str">
        <f>IF(U82="","",IFERROR(IF(INDEX($E$9:$E$158,MATCH(U82,$D$9:$D$158,0))="","",INDEX($E$9:$E$158,MATCH(U82,$D$9:$D$158,0))),""))</f>
        <v/>
      </c>
      <c r="Y82" s="14" t="str">
        <f>IF(V82="","",IFERROR(IF(INDEX($E$9:$E$158,MATCH(V82,$D$9:$D$158,0))="","",INDEX($E$9:$E$158,MATCH(V82,$D$9:$D$158,0))),""))</f>
        <v/>
      </c>
      <c r="Z82" s="14">
        <f>IF(AND(T82&lt;&gt;"",W82&lt;&gt;"",E82&lt;&gt;""),IF(W82=E82,1,0),0)</f>
        <v>0</v>
      </c>
      <c r="AA82" s="14">
        <f>IF(AND(U82&lt;&gt;"",X82&lt;&gt;"",E82&lt;&gt;""),IF(X82=E82,1,0),0)</f>
        <v>0</v>
      </c>
      <c r="AB82" s="14">
        <f>IF(AND(V82&lt;&gt;"",Y82&lt;&gt;"",E82&lt;&gt;""),IF(Y82=E82,1,0),0)</f>
        <v>0</v>
      </c>
      <c r="AC82" s="14" t="str">
        <f>IF(OR(T82="",E82=""),"",T82&amp;"|"&amp;E82)</f>
        <v/>
      </c>
      <c r="AD82" s="14" t="str">
        <f>IF(OR(U82="",E82=""),"",U82&amp;"|"&amp;E82)</f>
        <v/>
      </c>
      <c r="AE82" s="14" t="str">
        <f>IF(OR(V82="",E82=""),"",V82&amp;"|"&amp;E82)</f>
        <v/>
      </c>
      <c r="AF82" s="14">
        <f>IF(OR(D82="",E82=""),0,COUNTIF($AC$9:$AC$158,D82&amp;"|"&amp;E82)+COUNTIF($AD$9:$AD$158,D82&amp;"|"&amp;E82)+COUNTIF($AE$9:$AE$158,D82&amp;"|"&amp;E82))</f>
        <v>0</v>
      </c>
      <c r="AG82" s="14">
        <f>Z82+AA82+AB82+AF82</f>
        <v>0</v>
      </c>
      <c r="AH82" s="14" t="str">
        <f>IF(OR(D82="",E82=""),"",IFERROR(MATCH(D82&amp;"|"&amp;E82,$AC$9:$AC$158,0),""))</f>
        <v/>
      </c>
      <c r="AI82" s="14" t="str">
        <f>IF(OR(D82="",E82=""),"",IFERROR(MATCH(D82&amp;"|"&amp;E82,$AD$9:$AD$158,0),""))</f>
        <v/>
      </c>
      <c r="AJ82" s="14" t="str">
        <f>IF(OR(D82="",E82=""),"",IFERROR(MATCH(D82&amp;"|"&amp;E82,$AE$9:$AE$158,0),""))</f>
        <v/>
      </c>
      <c r="AK82" s="14" t="str">
        <f>IF(Z82=1,IFERROR(INDEX($F$9:$F$158,MATCH(T82,$D$9:$D$158,0)),"")&amp;"、","")&amp;IF(AA82=1,IFERROR(INDEX($F$9:$F$158,MATCH(U82,$D$9:$D$158,0)),"")&amp;"、","")&amp;IF(AB82=1,IFERROR(INDEX($F$9:$F$158,MATCH(V82,$D$9:$D$158,0)),"")&amp;"、","")</f>
        <v/>
      </c>
      <c r="AL82" s="14" t="str">
        <f>IF(OR(AH82=""),"",IF(OR(INDEX($D$9:$D$158,AH82)=T82,INDEX($D$9:$D$158,AH82)=U82,INDEX($D$9:$D$158,AH82)=V82),"",INDEX($F$9:$F$158,AH82)&amp;"、"))&amp;IF(OR(AI82="",AI82=AH82),"",IF(OR(INDEX($D$9:$D$158,AI82)=T82,INDEX($D$9:$D$158,AI82)=U82,INDEX($D$9:$D$158,AI82)=V82),"",INDEX($F$9:$F$158,AI82)&amp;"、"))&amp;IF(OR(AJ82="",AJ82=AH82,AJ82=AI82),"",IF(OR(INDEX($D$9:$D$158,AJ82)=T82,INDEX($D$9:$D$158,AJ82)=U82,INDEX($D$9:$D$158,AJ82)=V82),"",INDEX($F$9:$F$158,AJ82)&amp;"、"))</f>
        <v/>
      </c>
      <c r="AM82" s="14" t="str">
        <f>IF(T82="","",IFERROR(INDEX('①名簿入力'!$C$4:$C$153,MATCH(T82,'①名簿入力'!$A$4:$A$153,0)),"?")&amp;IF(W82="","","("&amp;W82&amp;"組)"))</f>
        <v/>
      </c>
      <c r="AN82" s="14" t="str">
        <f>IF(U82="","",IFERROR(INDEX('①名簿入力'!$C$4:$C$153,MATCH(U82,'①名簿入力'!$A$4:$A$153,0)),"?")&amp;IF(X82="","","("&amp;X82&amp;"組)"))</f>
        <v/>
      </c>
      <c r="AO82" s="14" t="str">
        <f>IF(V82="","",IFERROR(INDEX('①名簿入力'!$C$4:$C$153,MATCH(V82,'①名簿入力'!$A$4:$A$153,0)),"?")&amp;IF(Y82="","","("&amp;Y82&amp;"組)"))</f>
        <v/>
      </c>
      <c r="AP82" s="14">
        <f>IF(G82="男",1,IF(G82="女",2,3))</f>
        <v>2</v>
      </c>
      <c r="AQ82" s="14">
        <f>IF(OR(S82="",E82=""),"",IFERROR(IF('③クラス一覧'!$AD$6="番号順",0,AP82*1000000000)+D82,""))</f>
        <v>2000002304</v>
      </c>
      <c r="AR82" s="14">
        <f>IF(AQ82="","",COUNTIFS($E$9:$E$158,E82,$AQ$9:$AQ$158,"&lt;"&amp;AQ82)+1)</f>
        <v>31</v>
      </c>
      <c r="AS82" s="14" t="str">
        <f>IF(AR82="","",E82&amp;"-"&amp;AR82)</f>
        <v>3-31</v>
      </c>
      <c r="AT82" s="14">
        <f>IF(S82="","",IF(INDEX('①名簿入力'!$F$4:$F$153,S82)="","",INDEX('①名簿入力'!$F$4:$F$153,S82)))</f>
        <v>66</v>
      </c>
      <c r="AU82" s="14">
        <f>IF(S82="","",IF(INDEX('①名簿入力'!$G$4:$G$153,S82)="","",INDEX('①名簿入力'!$G$4:$G$153,S82)))</f>
        <v>78</v>
      </c>
      <c r="AV82" s="14">
        <f>IF(S82="","",IF(INDEX('①名簿入力'!$H$4:$H$153,S82)="","",INDEX('①名簿入力'!$H$4:$H$153,S82)))</f>
        <v>80</v>
      </c>
      <c r="AW82" s="14">
        <f>IF(S82="","",IF(INDEX('①名簿入力'!$I$4:$I$153,S82)="","",INDEX('①名簿入力'!$I$4:$I$153,S82)))</f>
        <v>67</v>
      </c>
      <c r="AX82" s="14">
        <f>IF(S82="","",IF(INDEX('①名簿入力'!$J$4:$J$153,S82)="","",INDEX('①名簿入力'!$J$4:$J$153,S82)))</f>
        <v>84</v>
      </c>
    </row>
    <row r="83">
      <c r="A83" s="23">
        <f>IF('①名簿入力'!A78="","",'①名簿入力'!A78)</f>
        <v>2305</v>
      </c>
      <c r="B83" s="23">
        <f>IF(A83="","",'①名簿入力'!U78)</f>
        <v>1</v>
      </c>
      <c r="D83" s="8" t="n">
        <v>2305</v>
      </c>
      <c r="E83" s="24" t="n">
        <v>1</v>
      </c>
      <c r="F83" s="25" t="str">
        <f>IF(D83="","",IF(S83="","（名簿にない番号）",INDEX('①名簿入力'!$C$4:$C$153,S83)&amp;""))</f>
        <v>江頭　樹</v>
      </c>
      <c r="G83" s="13" t="str">
        <f>IF(S83="","",INDEX('①名簿入力'!$E$4:$E$153,S83)&amp;"")</f>
        <v>男</v>
      </c>
      <c r="H83" s="13">
        <f>IF(S83="","",IF(INDEX('①名簿入力'!$B$4:$B$153,S83)="","",INDEX('①名簿入力'!$B$4:$B$153,S83)))</f>
        <v>3</v>
      </c>
      <c r="I83" s="10">
        <f>IF(S83="","",IF(INDEX('①名簿入力'!$K$4:$K$153,S83)="","",INDEX('①名簿入力'!$K$4:$K$153,S83)))</f>
        <v>63</v>
      </c>
      <c r="J83" s="10">
        <f>IF(S83="","",IF(INDEX('①名簿入力'!$L$4:$L$153,S83)="","",INDEX('①名簿入力'!$L$4:$L$153,S83)))</f>
        <v>7.6</v>
      </c>
      <c r="K83" s="13" t="str">
        <f>IF(S83="","",IF(INDEX('①名簿入力'!$Y$4:$Y$153,S83)=1,"〇",""))</f>
        <v/>
      </c>
      <c r="L83" s="13" t="str">
        <f>IF(S83="","",IF(INDEX('①名簿入力'!$Z$4:$Z$153,S83)=1,"〇",""))</f>
        <v/>
      </c>
      <c r="M83" s="13" t="str">
        <f>IF(S83="","",IF(INDEX('①名簿入力'!$AA$4:$AA$153,S83)=1,"〇",""))</f>
        <v/>
      </c>
      <c r="N83" s="13" t="str">
        <f>IF(S83="","",IF(INDEX('①名簿入力'!$AB$4:$AB$153,S83)=1,"〇",""))</f>
        <v/>
      </c>
      <c r="O83" s="25" t="str">
        <f>AM83&amp;IF(AND(AM83&lt;&gt;"",AN83&lt;&gt;""),"、","")&amp;AN83&amp;IF(AND(AM83&amp;AN83&lt;&gt;"",AO83&lt;&gt;""),"、","")&amp;AO83</f>
        <v/>
      </c>
      <c r="P83" s="25" t="str">
        <f>IF(AG83=0,"",IF(AK83&amp;AL83="","⚠",LEFT(AK83&amp;AL83,LEN(AK83&amp;AL83)-1)))</f>
        <v/>
      </c>
      <c r="Q83" s="25" t="str">
        <f>IF(S83="","",INDEX('①名簿入力'!$T$4:$T$153,S83)&amp;"")</f>
        <v/>
      </c>
      <c r="S83" s="14">
        <f>IF(D83="","",IFERROR(MATCH(D83,'①名簿入力'!$A$4:$A$153,0),""))</f>
        <v>75</v>
      </c>
      <c r="T83" s="14" t="str">
        <f>IF(S83="","",IF(INDEX('①名簿入力'!$AG$4:$AG$153,S83)=D83,"",INDEX('①名簿入力'!$AG$4:$AG$153,S83)))</f>
        <v/>
      </c>
      <c r="U83" s="14" t="str">
        <f>IF(S83="","",IF(INDEX('①名簿入力'!$AH$4:$AH$153,S83)=D83,"",INDEX('①名簿入力'!$AH$4:$AH$153,S83)))</f>
        <v/>
      </c>
      <c r="V83" s="14" t="str">
        <f>IF(S83="","",IF(INDEX('①名簿入力'!$AI$4:$AI$153,S83)=D83,"",INDEX('①名簿入力'!$AI$4:$AI$153,S83)))</f>
        <v/>
      </c>
      <c r="W83" s="14" t="str">
        <f>IF(T83="","",IFERROR(IF(INDEX($E$9:$E$158,MATCH(T83,$D$9:$D$158,0))="","",INDEX($E$9:$E$158,MATCH(T83,$D$9:$D$158,0))),""))</f>
        <v/>
      </c>
      <c r="X83" s="14" t="str">
        <f>IF(U83="","",IFERROR(IF(INDEX($E$9:$E$158,MATCH(U83,$D$9:$D$158,0))="","",INDEX($E$9:$E$158,MATCH(U83,$D$9:$D$158,0))),""))</f>
        <v/>
      </c>
      <c r="Y83" s="14" t="str">
        <f>IF(V83="","",IFERROR(IF(INDEX($E$9:$E$158,MATCH(V83,$D$9:$D$158,0))="","",INDEX($E$9:$E$158,MATCH(V83,$D$9:$D$158,0))),""))</f>
        <v/>
      </c>
      <c r="Z83" s="14">
        <f>IF(AND(T83&lt;&gt;"",W83&lt;&gt;"",E83&lt;&gt;""),IF(W83=E83,1,0),0)</f>
        <v>0</v>
      </c>
      <c r="AA83" s="14">
        <f>IF(AND(U83&lt;&gt;"",X83&lt;&gt;"",E83&lt;&gt;""),IF(X83=E83,1,0),0)</f>
        <v>0</v>
      </c>
      <c r="AB83" s="14">
        <f>IF(AND(V83&lt;&gt;"",Y83&lt;&gt;"",E83&lt;&gt;""),IF(Y83=E83,1,0),0)</f>
        <v>0</v>
      </c>
      <c r="AC83" s="14" t="str">
        <f>IF(OR(T83="",E83=""),"",T83&amp;"|"&amp;E83)</f>
        <v/>
      </c>
      <c r="AD83" s="14" t="str">
        <f>IF(OR(U83="",E83=""),"",U83&amp;"|"&amp;E83)</f>
        <v/>
      </c>
      <c r="AE83" s="14" t="str">
        <f>IF(OR(V83="",E83=""),"",V83&amp;"|"&amp;E83)</f>
        <v/>
      </c>
      <c r="AF83" s="14">
        <f>IF(OR(D83="",E83=""),0,COUNTIF($AC$9:$AC$158,D83&amp;"|"&amp;E83)+COUNTIF($AD$9:$AD$158,D83&amp;"|"&amp;E83)+COUNTIF($AE$9:$AE$158,D83&amp;"|"&amp;E83))</f>
        <v>0</v>
      </c>
      <c r="AG83" s="14">
        <f>Z83+AA83+AB83+AF83</f>
        <v>0</v>
      </c>
      <c r="AH83" s="14" t="str">
        <f>IF(OR(D83="",E83=""),"",IFERROR(MATCH(D83&amp;"|"&amp;E83,$AC$9:$AC$158,0),""))</f>
        <v/>
      </c>
      <c r="AI83" s="14" t="str">
        <f>IF(OR(D83="",E83=""),"",IFERROR(MATCH(D83&amp;"|"&amp;E83,$AD$9:$AD$158,0),""))</f>
        <v/>
      </c>
      <c r="AJ83" s="14" t="str">
        <f>IF(OR(D83="",E83=""),"",IFERROR(MATCH(D83&amp;"|"&amp;E83,$AE$9:$AE$158,0),""))</f>
        <v/>
      </c>
      <c r="AK83" s="14" t="str">
        <f>IF(Z83=1,IFERROR(INDEX($F$9:$F$158,MATCH(T83,$D$9:$D$158,0)),"")&amp;"、","")&amp;IF(AA83=1,IFERROR(INDEX($F$9:$F$158,MATCH(U83,$D$9:$D$158,0)),"")&amp;"、","")&amp;IF(AB83=1,IFERROR(INDEX($F$9:$F$158,MATCH(V83,$D$9:$D$158,0)),"")&amp;"、","")</f>
        <v/>
      </c>
      <c r="AL83" s="14" t="str">
        <f>IF(OR(AH83=""),"",IF(OR(INDEX($D$9:$D$158,AH83)=T83,INDEX($D$9:$D$158,AH83)=U83,INDEX($D$9:$D$158,AH83)=V83),"",INDEX($F$9:$F$158,AH83)&amp;"、"))&amp;IF(OR(AI83="",AI83=AH83),"",IF(OR(INDEX($D$9:$D$158,AI83)=T83,INDEX($D$9:$D$158,AI83)=U83,INDEX($D$9:$D$158,AI83)=V83),"",INDEX($F$9:$F$158,AI83)&amp;"、"))&amp;IF(OR(AJ83="",AJ83=AH83,AJ83=AI83),"",IF(OR(INDEX($D$9:$D$158,AJ83)=T83,INDEX($D$9:$D$158,AJ83)=U83,INDEX($D$9:$D$158,AJ83)=V83),"",INDEX($F$9:$F$158,AJ83)&amp;"、"))</f>
        <v/>
      </c>
      <c r="AM83" s="14" t="str">
        <f>IF(T83="","",IFERROR(INDEX('①名簿入力'!$C$4:$C$153,MATCH(T83,'①名簿入力'!$A$4:$A$153,0)),"?")&amp;IF(W83="","","("&amp;W83&amp;"組)"))</f>
        <v/>
      </c>
      <c r="AN83" s="14" t="str">
        <f>IF(U83="","",IFERROR(INDEX('①名簿入力'!$C$4:$C$153,MATCH(U83,'①名簿入力'!$A$4:$A$153,0)),"?")&amp;IF(X83="","","("&amp;X83&amp;"組)"))</f>
        <v/>
      </c>
      <c r="AO83" s="14" t="str">
        <f>IF(V83="","",IFERROR(INDEX('①名簿入力'!$C$4:$C$153,MATCH(V83,'①名簿入力'!$A$4:$A$153,0)),"?")&amp;IF(Y83="","","("&amp;Y83&amp;"組)"))</f>
        <v/>
      </c>
      <c r="AP83" s="14">
        <f>IF(G83="男",1,IF(G83="女",2,3))</f>
        <v>1</v>
      </c>
      <c r="AQ83" s="14">
        <f>IF(OR(S83="",E83=""),"",IFERROR(IF('③クラス一覧'!$AD$6="番号順",0,AP83*1000000000)+D83,""))</f>
        <v>1000002305</v>
      </c>
      <c r="AR83" s="14">
        <f>IF(AQ83="","",COUNTIFS($E$9:$E$158,E83,$AQ$9:$AQ$158,"&lt;"&amp;AQ83)+1)</f>
        <v>13</v>
      </c>
      <c r="AS83" s="14" t="str">
        <f>IF(AR83="","",E83&amp;"-"&amp;AR83)</f>
        <v>1-13</v>
      </c>
      <c r="AT83" s="14">
        <f>IF(S83="","",IF(INDEX('①名簿入力'!$F$4:$F$153,S83)="","",INDEX('①名簿入力'!$F$4:$F$153,S83)))</f>
        <v>67</v>
      </c>
      <c r="AU83" s="14">
        <f>IF(S83="","",IF(INDEX('①名簿入力'!$G$4:$G$153,S83)="","",INDEX('①名簿入力'!$G$4:$G$153,S83)))</f>
        <v>66</v>
      </c>
      <c r="AV83" s="14">
        <f>IF(S83="","",IF(INDEX('①名簿入力'!$H$4:$H$153,S83)="","",INDEX('①名簿入力'!$H$4:$H$153,S83)))</f>
        <v>69</v>
      </c>
      <c r="AW83" s="14">
        <f>IF(S83="","",IF(INDEX('①名簿入力'!$I$4:$I$153,S83)="","",INDEX('①名簿入力'!$I$4:$I$153,S83)))</f>
        <v>57</v>
      </c>
      <c r="AX83" s="14">
        <f>IF(S83="","",IF(INDEX('①名簿入力'!$J$4:$J$153,S83)="","",INDEX('①名簿入力'!$J$4:$J$153,S83)))</f>
        <v>56</v>
      </c>
    </row>
    <row r="84">
      <c r="A84" s="23">
        <f>IF('①名簿入力'!A79="","",'①名簿入力'!A79)</f>
        <v>2306</v>
      </c>
      <c r="B84" s="23">
        <f>IF(A84="","",'①名簿入力'!U79)</f>
        <v>1</v>
      </c>
      <c r="D84" s="8" t="n">
        <v>2306</v>
      </c>
      <c r="E84" s="24" t="n">
        <v>1</v>
      </c>
      <c r="F84" s="25" t="str">
        <f>IF(D84="","",IF(S84="","（名簿にない番号）",INDEX('①名簿入力'!$C$4:$C$153,S84)&amp;""))</f>
        <v>江頭　康介</v>
      </c>
      <c r="G84" s="13" t="str">
        <f>IF(S84="","",INDEX('①名簿入力'!$E$4:$E$153,S84)&amp;"")</f>
        <v>男</v>
      </c>
      <c r="H84" s="13">
        <f>IF(S84="","",IF(INDEX('①名簿入力'!$B$4:$B$153,S84)="","",INDEX('①名簿入力'!$B$4:$B$153,S84)))</f>
        <v>3</v>
      </c>
      <c r="I84" s="10">
        <f>IF(S84="","",IF(INDEX('①名簿入力'!$K$4:$K$153,S84)="","",INDEX('①名簿入力'!$K$4:$K$153,S84)))</f>
        <v>75.4</v>
      </c>
      <c r="J84" s="10">
        <f>IF(S84="","",IF(INDEX('①名簿入力'!$L$4:$L$153,S84)="","",INDEX('①名簿入力'!$L$4:$L$153,S84)))</f>
        <v>7.8</v>
      </c>
      <c r="K84" s="13" t="str">
        <f>IF(S84="","",IF(INDEX('①名簿入力'!$Y$4:$Y$153,S84)=1,"〇",""))</f>
        <v/>
      </c>
      <c r="L84" s="13" t="str">
        <f>IF(S84="","",IF(INDEX('①名簿入力'!$Z$4:$Z$153,S84)=1,"〇",""))</f>
        <v/>
      </c>
      <c r="M84" s="13" t="str">
        <f>IF(S84="","",IF(INDEX('①名簿入力'!$AA$4:$AA$153,S84)=1,"〇",""))</f>
        <v/>
      </c>
      <c r="N84" s="13" t="str">
        <f>IF(S84="","",IF(INDEX('①名簿入力'!$AB$4:$AB$153,S84)=1,"〇",""))</f>
        <v/>
      </c>
      <c r="O84" s="25" t="str">
        <f>AM84&amp;IF(AND(AM84&lt;&gt;"",AN84&lt;&gt;""),"、","")&amp;AN84&amp;IF(AND(AM84&amp;AN84&lt;&gt;"",AO84&lt;&gt;""),"、","")&amp;AO84</f>
        <v>江口　駿(1組)</v>
      </c>
      <c r="P84" s="25" t="str">
        <f>IF(AG84=0,"",IF(AK84&amp;AL84="","⚠",LEFT(AK84&amp;AL84,LEN(AK84&amp;AL84)-1)))</f>
        <v>江口　駿</v>
      </c>
      <c r="Q84" s="25" t="str">
        <f>IF(S84="","",INDEX('①名簿入力'!$T$4:$T$153,S84)&amp;"")</f>
        <v/>
      </c>
      <c r="S84" s="14">
        <f>IF(D84="","",IFERROR(MATCH(D84,'①名簿入力'!$A$4:$A$153,0),""))</f>
        <v>76</v>
      </c>
      <c r="T84" s="14">
        <f>IF(S84="","",IF(INDEX('①名簿入力'!$AG$4:$AG$153,S84)=D84,"",INDEX('①名簿入力'!$AG$4:$AG$153,S84)))</f>
        <v>2307</v>
      </c>
      <c r="U84" s="14" t="str">
        <f>IF(S84="","",IF(INDEX('①名簿入力'!$AH$4:$AH$153,S84)=D84,"",INDEX('①名簿入力'!$AH$4:$AH$153,S84)))</f>
        <v/>
      </c>
      <c r="V84" s="14" t="str">
        <f>IF(S84="","",IF(INDEX('①名簿入力'!$AI$4:$AI$153,S84)=D84,"",INDEX('①名簿入力'!$AI$4:$AI$153,S84)))</f>
        <v/>
      </c>
      <c r="W84" s="14">
        <f>IF(T84="","",IFERROR(IF(INDEX($E$9:$E$158,MATCH(T84,$D$9:$D$158,0))="","",INDEX($E$9:$E$158,MATCH(T84,$D$9:$D$158,0))),""))</f>
        <v>1</v>
      </c>
      <c r="X84" s="14" t="str">
        <f>IF(U84="","",IFERROR(IF(INDEX($E$9:$E$158,MATCH(U84,$D$9:$D$158,0))="","",INDEX($E$9:$E$158,MATCH(U84,$D$9:$D$158,0))),""))</f>
        <v/>
      </c>
      <c r="Y84" s="14" t="str">
        <f>IF(V84="","",IFERROR(IF(INDEX($E$9:$E$158,MATCH(V84,$D$9:$D$158,0))="","",INDEX($E$9:$E$158,MATCH(V84,$D$9:$D$158,0))),""))</f>
        <v/>
      </c>
      <c r="Z84" s="14">
        <f>IF(AND(T84&lt;&gt;"",W84&lt;&gt;"",E84&lt;&gt;""),IF(W84=E84,1,0),0)</f>
        <v>1</v>
      </c>
      <c r="AA84" s="14">
        <f>IF(AND(U84&lt;&gt;"",X84&lt;&gt;"",E84&lt;&gt;""),IF(X84=E84,1,0),0)</f>
        <v>0</v>
      </c>
      <c r="AB84" s="14">
        <f>IF(AND(V84&lt;&gt;"",Y84&lt;&gt;"",E84&lt;&gt;""),IF(Y84=E84,1,0),0)</f>
        <v>0</v>
      </c>
      <c r="AC84" s="14" t="str">
        <f>IF(OR(T84="",E84=""),"",T84&amp;"|"&amp;E84)</f>
        <v>2307|1</v>
      </c>
      <c r="AD84" s="14" t="str">
        <f>IF(OR(U84="",E84=""),"",U84&amp;"|"&amp;E84)</f>
        <v/>
      </c>
      <c r="AE84" s="14" t="str">
        <f>IF(OR(V84="",E84=""),"",V84&amp;"|"&amp;E84)</f>
        <v/>
      </c>
      <c r="AF84" s="14">
        <f>IF(OR(D84="",E84=""),0,COUNTIF($AC$9:$AC$158,D84&amp;"|"&amp;E84)+COUNTIF($AD$9:$AD$158,D84&amp;"|"&amp;E84)+COUNTIF($AE$9:$AE$158,D84&amp;"|"&amp;E84))</f>
        <v>0</v>
      </c>
      <c r="AG84" s="14">
        <f>Z84+AA84+AB84+AF84</f>
        <v>1</v>
      </c>
      <c r="AH84" s="14" t="str">
        <f>IF(OR(D84="",E84=""),"",IFERROR(MATCH(D84&amp;"|"&amp;E84,$AC$9:$AC$158,0),""))</f>
        <v/>
      </c>
      <c r="AI84" s="14" t="str">
        <f>IF(OR(D84="",E84=""),"",IFERROR(MATCH(D84&amp;"|"&amp;E84,$AD$9:$AD$158,0),""))</f>
        <v/>
      </c>
      <c r="AJ84" s="14" t="str">
        <f>IF(OR(D84="",E84=""),"",IFERROR(MATCH(D84&amp;"|"&amp;E84,$AE$9:$AE$158,0),""))</f>
        <v/>
      </c>
      <c r="AK84" s="14" t="str">
        <f>IF(Z84=1,IFERROR(INDEX($F$9:$F$158,MATCH(T84,$D$9:$D$158,0)),"")&amp;"、","")&amp;IF(AA84=1,IFERROR(INDEX($F$9:$F$158,MATCH(U84,$D$9:$D$158,0)),"")&amp;"、","")&amp;IF(AB84=1,IFERROR(INDEX($F$9:$F$158,MATCH(V84,$D$9:$D$158,0)),"")&amp;"、","")</f>
        <v>江口　駿、</v>
      </c>
      <c r="AL84" s="14" t="str">
        <f>IF(OR(AH84=""),"",IF(OR(INDEX($D$9:$D$158,AH84)=T84,INDEX($D$9:$D$158,AH84)=U84,INDEX($D$9:$D$158,AH84)=V84),"",INDEX($F$9:$F$158,AH84)&amp;"、"))&amp;IF(OR(AI84="",AI84=AH84),"",IF(OR(INDEX($D$9:$D$158,AI84)=T84,INDEX($D$9:$D$158,AI84)=U84,INDEX($D$9:$D$158,AI84)=V84),"",INDEX($F$9:$F$158,AI84)&amp;"、"))&amp;IF(OR(AJ84="",AJ84=AH84,AJ84=AI84),"",IF(OR(INDEX($D$9:$D$158,AJ84)=T84,INDEX($D$9:$D$158,AJ84)=U84,INDEX($D$9:$D$158,AJ84)=V84),"",INDEX($F$9:$F$158,AJ84)&amp;"、"))</f>
        <v/>
      </c>
      <c r="AM84" s="14" t="str">
        <f>IF(T84="","",IFERROR(INDEX('①名簿入力'!$C$4:$C$153,MATCH(T84,'①名簿入力'!$A$4:$A$153,0)),"?")&amp;IF(W84="","","("&amp;W84&amp;"組)"))</f>
        <v>江口　駿(1組)</v>
      </c>
      <c r="AN84" s="14" t="str">
        <f>IF(U84="","",IFERROR(INDEX('①名簿入力'!$C$4:$C$153,MATCH(U84,'①名簿入力'!$A$4:$A$153,0)),"?")&amp;IF(X84="","","("&amp;X84&amp;"組)"))</f>
        <v/>
      </c>
      <c r="AO84" s="14" t="str">
        <f>IF(V84="","",IFERROR(INDEX('①名簿入力'!$C$4:$C$153,MATCH(V84,'①名簿入力'!$A$4:$A$153,0)),"?")&amp;IF(Y84="","","("&amp;Y84&amp;"組)"))</f>
        <v/>
      </c>
      <c r="AP84" s="14">
        <f>IF(G84="男",1,IF(G84="女",2,3))</f>
        <v>1</v>
      </c>
      <c r="AQ84" s="14">
        <f>IF(OR(S84="",E84=""),"",IFERROR(IF('③クラス一覧'!$AD$6="番号順",0,AP84*1000000000)+D84,""))</f>
        <v>1000002306</v>
      </c>
      <c r="AR84" s="14">
        <f>IF(AQ84="","",COUNTIFS($E$9:$E$158,E84,$AQ$9:$AQ$158,"&lt;"&amp;AQ84)+1)</f>
        <v>14</v>
      </c>
      <c r="AS84" s="14" t="str">
        <f>IF(AR84="","",E84&amp;"-"&amp;AR84)</f>
        <v>1-14</v>
      </c>
      <c r="AT84" s="14">
        <f>IF(S84="","",IF(INDEX('①名簿入力'!$F$4:$F$153,S84)="","",INDEX('①名簿入力'!$F$4:$F$153,S84)))</f>
        <v>73</v>
      </c>
      <c r="AU84" s="14">
        <f>IF(S84="","",IF(INDEX('①名簿入力'!$G$4:$G$153,S84)="","",INDEX('①名簿入力'!$G$4:$G$153,S84)))</f>
        <v>75</v>
      </c>
      <c r="AV84" s="14">
        <f>IF(S84="","",IF(INDEX('①名簿入力'!$H$4:$H$153,S84)="","",INDEX('①名簿入力'!$H$4:$H$153,S84)))</f>
        <v>79</v>
      </c>
      <c r="AW84" s="14">
        <f>IF(S84="","",IF(INDEX('①名簿入力'!$I$4:$I$153,S84)="","",INDEX('①名簿入力'!$I$4:$I$153,S84)))</f>
        <v>72</v>
      </c>
      <c r="AX84" s="14">
        <f>IF(S84="","",IF(INDEX('①名簿入力'!$J$4:$J$153,S84)="","",INDEX('①名簿入力'!$J$4:$J$153,S84)))</f>
        <v>78</v>
      </c>
    </row>
    <row r="85">
      <c r="A85" s="23">
        <f>IF('①名簿入力'!A80="","",'①名簿入力'!A80)</f>
        <v>2307</v>
      </c>
      <c r="B85" s="23">
        <f>IF(A85="","",'①名簿入力'!U80)</f>
        <v>1</v>
      </c>
      <c r="D85" s="8" t="n">
        <v>2307</v>
      </c>
      <c r="E85" s="24" t="n">
        <v>1</v>
      </c>
      <c r="F85" s="25" t="str">
        <f>IF(D85="","",IF(S85="","（名簿にない番号）",INDEX('①名簿入力'!$C$4:$C$153,S85)&amp;""))</f>
        <v>江口　駿</v>
      </c>
      <c r="G85" s="13" t="str">
        <f>IF(S85="","",INDEX('①名簿入力'!$E$4:$E$153,S85)&amp;"")</f>
        <v>男</v>
      </c>
      <c r="H85" s="13">
        <f>IF(S85="","",IF(INDEX('①名簿入力'!$B$4:$B$153,S85)="","",INDEX('①名簿入力'!$B$4:$B$153,S85)))</f>
        <v>3</v>
      </c>
      <c r="I85" s="10">
        <f>IF(S85="","",IF(INDEX('①名簿入力'!$K$4:$K$153,S85)="","",INDEX('①名簿入力'!$K$4:$K$153,S85)))</f>
        <v>73.6</v>
      </c>
      <c r="J85" s="10">
        <f>IF(S85="","",IF(INDEX('①名簿入力'!$L$4:$L$153,S85)="","",INDEX('①名簿入力'!$L$4:$L$153,S85)))</f>
        <v>7.8</v>
      </c>
      <c r="K85" s="13" t="str">
        <f>IF(S85="","",IF(INDEX('①名簿入力'!$Y$4:$Y$153,S85)=1,"〇",""))</f>
        <v/>
      </c>
      <c r="L85" s="13" t="str">
        <f>IF(S85="","",IF(INDEX('①名簿入力'!$Z$4:$Z$153,S85)=1,"〇",""))</f>
        <v/>
      </c>
      <c r="M85" s="13" t="str">
        <f>IF(S85="","",IF(INDEX('①名簿入力'!$AA$4:$AA$153,S85)=1,"〇",""))</f>
        <v/>
      </c>
      <c r="N85" s="13" t="str">
        <f>IF(S85="","",IF(INDEX('①名簿入力'!$AB$4:$AB$153,S85)=1,"〇",""))</f>
        <v/>
      </c>
      <c r="O85" s="25" t="str">
        <f>AM85&amp;IF(AND(AM85&lt;&gt;"",AN85&lt;&gt;""),"、","")&amp;AN85&amp;IF(AND(AM85&amp;AN85&lt;&gt;"",AO85&lt;&gt;""),"、","")&amp;AO85</f>
        <v/>
      </c>
      <c r="P85" s="25" t="str">
        <f>IF(AG85=0,"",IF(AK85&amp;AL85="","⚠",LEFT(AK85&amp;AL85,LEN(AK85&amp;AL85)-1)))</f>
        <v>江頭　康介</v>
      </c>
      <c r="Q85" s="25" t="str">
        <f>IF(S85="","",INDEX('①名簿入力'!$T$4:$T$153,S85)&amp;"")</f>
        <v>生徒会</v>
      </c>
      <c r="S85" s="14">
        <f>IF(D85="","",IFERROR(MATCH(D85,'①名簿入力'!$A$4:$A$153,0),""))</f>
        <v>77</v>
      </c>
      <c r="T85" s="14" t="str">
        <f>IF(S85="","",IF(INDEX('①名簿入力'!$AG$4:$AG$153,S85)=D85,"",INDEX('①名簿入力'!$AG$4:$AG$153,S85)))</f>
        <v/>
      </c>
      <c r="U85" s="14" t="str">
        <f>IF(S85="","",IF(INDEX('①名簿入力'!$AH$4:$AH$153,S85)=D85,"",INDEX('①名簿入力'!$AH$4:$AH$153,S85)))</f>
        <v/>
      </c>
      <c r="V85" s="14" t="str">
        <f>IF(S85="","",IF(INDEX('①名簿入力'!$AI$4:$AI$153,S85)=D85,"",INDEX('①名簿入力'!$AI$4:$AI$153,S85)))</f>
        <v/>
      </c>
      <c r="W85" s="14" t="str">
        <f>IF(T85="","",IFERROR(IF(INDEX($E$9:$E$158,MATCH(T85,$D$9:$D$158,0))="","",INDEX($E$9:$E$158,MATCH(T85,$D$9:$D$158,0))),""))</f>
        <v/>
      </c>
      <c r="X85" s="14" t="str">
        <f>IF(U85="","",IFERROR(IF(INDEX($E$9:$E$158,MATCH(U85,$D$9:$D$158,0))="","",INDEX($E$9:$E$158,MATCH(U85,$D$9:$D$158,0))),""))</f>
        <v/>
      </c>
      <c r="Y85" s="14" t="str">
        <f>IF(V85="","",IFERROR(IF(INDEX($E$9:$E$158,MATCH(V85,$D$9:$D$158,0))="","",INDEX($E$9:$E$158,MATCH(V85,$D$9:$D$158,0))),""))</f>
        <v/>
      </c>
      <c r="Z85" s="14">
        <f>IF(AND(T85&lt;&gt;"",W85&lt;&gt;"",E85&lt;&gt;""),IF(W85=E85,1,0),0)</f>
        <v>0</v>
      </c>
      <c r="AA85" s="14">
        <f>IF(AND(U85&lt;&gt;"",X85&lt;&gt;"",E85&lt;&gt;""),IF(X85=E85,1,0),0)</f>
        <v>0</v>
      </c>
      <c r="AB85" s="14">
        <f>IF(AND(V85&lt;&gt;"",Y85&lt;&gt;"",E85&lt;&gt;""),IF(Y85=E85,1,0),0)</f>
        <v>0</v>
      </c>
      <c r="AC85" s="14" t="str">
        <f>IF(OR(T85="",E85=""),"",T85&amp;"|"&amp;E85)</f>
        <v/>
      </c>
      <c r="AD85" s="14" t="str">
        <f>IF(OR(U85="",E85=""),"",U85&amp;"|"&amp;E85)</f>
        <v/>
      </c>
      <c r="AE85" s="14" t="str">
        <f>IF(OR(V85="",E85=""),"",V85&amp;"|"&amp;E85)</f>
        <v/>
      </c>
      <c r="AF85" s="14">
        <f>IF(OR(D85="",E85=""),0,COUNTIF($AC$9:$AC$158,D85&amp;"|"&amp;E85)+COUNTIF($AD$9:$AD$158,D85&amp;"|"&amp;E85)+COUNTIF($AE$9:$AE$158,D85&amp;"|"&amp;E85))</f>
        <v>1</v>
      </c>
      <c r="AG85" s="14">
        <f>Z85+AA85+AB85+AF85</f>
        <v>1</v>
      </c>
      <c r="AH85" s="14">
        <f>IF(OR(D85="",E85=""),"",IFERROR(MATCH(D85&amp;"|"&amp;E85,$AC$9:$AC$158,0),""))</f>
        <v>76</v>
      </c>
      <c r="AI85" s="14" t="str">
        <f>IF(OR(D85="",E85=""),"",IFERROR(MATCH(D85&amp;"|"&amp;E85,$AD$9:$AD$158,0),""))</f>
        <v/>
      </c>
      <c r="AJ85" s="14" t="str">
        <f>IF(OR(D85="",E85=""),"",IFERROR(MATCH(D85&amp;"|"&amp;E85,$AE$9:$AE$158,0),""))</f>
        <v/>
      </c>
      <c r="AK85" s="14" t="str">
        <f>IF(Z85=1,IFERROR(INDEX($F$9:$F$158,MATCH(T85,$D$9:$D$158,0)),"")&amp;"、","")&amp;IF(AA85=1,IFERROR(INDEX($F$9:$F$158,MATCH(U85,$D$9:$D$158,0)),"")&amp;"、","")&amp;IF(AB85=1,IFERROR(INDEX($F$9:$F$158,MATCH(V85,$D$9:$D$158,0)),"")&amp;"、","")</f>
        <v/>
      </c>
      <c r="AL85" s="14" t="str">
        <f>IF(OR(AH85=""),"",IF(OR(INDEX($D$9:$D$158,AH85)=T85,INDEX($D$9:$D$158,AH85)=U85,INDEX($D$9:$D$158,AH85)=V85),"",INDEX($F$9:$F$158,AH85)&amp;"、"))&amp;IF(OR(AI85="",AI85=AH85),"",IF(OR(INDEX($D$9:$D$158,AI85)=T85,INDEX($D$9:$D$158,AI85)=U85,INDEX($D$9:$D$158,AI85)=V85),"",INDEX($F$9:$F$158,AI85)&amp;"、"))&amp;IF(OR(AJ85="",AJ85=AH85,AJ85=AI85),"",IF(OR(INDEX($D$9:$D$158,AJ85)=T85,INDEX($D$9:$D$158,AJ85)=U85,INDEX($D$9:$D$158,AJ85)=V85),"",INDEX($F$9:$F$158,AJ85)&amp;"、"))</f>
        <v>江頭　康介、</v>
      </c>
      <c r="AM85" s="14" t="str">
        <f>IF(T85="","",IFERROR(INDEX('①名簿入力'!$C$4:$C$153,MATCH(T85,'①名簿入力'!$A$4:$A$153,0)),"?")&amp;IF(W85="","","("&amp;W85&amp;"組)"))</f>
        <v/>
      </c>
      <c r="AN85" s="14" t="str">
        <f>IF(U85="","",IFERROR(INDEX('①名簿入力'!$C$4:$C$153,MATCH(U85,'①名簿入力'!$A$4:$A$153,0)),"?")&amp;IF(X85="","","("&amp;X85&amp;"組)"))</f>
        <v/>
      </c>
      <c r="AO85" s="14" t="str">
        <f>IF(V85="","",IFERROR(INDEX('①名簿入力'!$C$4:$C$153,MATCH(V85,'①名簿入力'!$A$4:$A$153,0)),"?")&amp;IF(Y85="","","("&amp;Y85&amp;"組)"))</f>
        <v/>
      </c>
      <c r="AP85" s="14">
        <f>IF(G85="男",1,IF(G85="女",2,3))</f>
        <v>1</v>
      </c>
      <c r="AQ85" s="14">
        <f>IF(OR(S85="",E85=""),"",IFERROR(IF('③クラス一覧'!$AD$6="番号順",0,AP85*1000000000)+D85,""))</f>
        <v>1000002307</v>
      </c>
      <c r="AR85" s="14">
        <f>IF(AQ85="","",COUNTIFS($E$9:$E$158,E85,$AQ$9:$AQ$158,"&lt;"&amp;AQ85)+1)</f>
        <v>15</v>
      </c>
      <c r="AS85" s="14" t="str">
        <f>IF(AR85="","",E85&amp;"-"&amp;AR85)</f>
        <v>1-15</v>
      </c>
      <c r="AT85" s="14">
        <f>IF(S85="","",IF(INDEX('①名簿入力'!$F$4:$F$153,S85)="","",INDEX('①名簿入力'!$F$4:$F$153,S85)))</f>
        <v>71</v>
      </c>
      <c r="AU85" s="14">
        <f>IF(S85="","",IF(INDEX('①名簿入力'!$G$4:$G$153,S85)="","",INDEX('①名簿入力'!$G$4:$G$153,S85)))</f>
        <v>71</v>
      </c>
      <c r="AV85" s="14">
        <f>IF(S85="","",IF(INDEX('①名簿入力'!$H$4:$H$153,S85)="","",INDEX('①名簿入力'!$H$4:$H$153,S85)))</f>
        <v>85</v>
      </c>
      <c r="AW85" s="14">
        <f>IF(S85="","",IF(INDEX('①名簿入力'!$I$4:$I$153,S85)="","",INDEX('①名簿入力'!$I$4:$I$153,S85)))</f>
        <v>65</v>
      </c>
      <c r="AX85" s="14">
        <f>IF(S85="","",IF(INDEX('①名簿入力'!$J$4:$J$153,S85)="","",INDEX('①名簿入力'!$J$4:$J$153,S85)))</f>
        <v>76</v>
      </c>
    </row>
    <row r="86">
      <c r="A86" s="23">
        <f>IF('①名簿入力'!A81="","",'①名簿入力'!A81)</f>
        <v>2308</v>
      </c>
      <c r="B86" s="23">
        <f>IF(A86="","",'①名簿入力'!U81)</f>
        <v>3</v>
      </c>
      <c r="D86" s="8" t="n">
        <v>2308</v>
      </c>
      <c r="E86" s="24" t="n">
        <v>3</v>
      </c>
      <c r="F86" s="25" t="str">
        <f>IF(D86="","",IF(S86="","（名簿にない番号）",INDEX('①名簿入力'!$C$4:$C$153,S86)&amp;""))</f>
        <v>遠藤　律</v>
      </c>
      <c r="G86" s="13" t="str">
        <f>IF(S86="","",INDEX('①名簿入力'!$E$4:$E$153,S86)&amp;"")</f>
        <v>男</v>
      </c>
      <c r="H86" s="13">
        <f>IF(S86="","",IF(INDEX('①名簿入力'!$B$4:$B$153,S86)="","",INDEX('①名簿入力'!$B$4:$B$153,S86)))</f>
        <v>3</v>
      </c>
      <c r="I86" s="10">
        <f>IF(S86="","",IF(INDEX('①名簿入力'!$K$4:$K$153,S86)="","",INDEX('①名簿入力'!$K$4:$K$153,S86)))</f>
        <v>54.4</v>
      </c>
      <c r="J86" s="10">
        <f>IF(S86="","",IF(INDEX('①名簿入力'!$L$4:$L$153,S86)="","",INDEX('①名簿入力'!$L$4:$L$153,S86)))</f>
        <v>8.1</v>
      </c>
      <c r="K86" s="13" t="str">
        <f>IF(S86="","",IF(INDEX('①名簿入力'!$Y$4:$Y$153,S86)=1,"〇",""))</f>
        <v/>
      </c>
      <c r="L86" s="13" t="str">
        <f>IF(S86="","",IF(INDEX('①名簿入力'!$Z$4:$Z$153,S86)=1,"〇",""))</f>
        <v/>
      </c>
      <c r="M86" s="13" t="str">
        <f>IF(S86="","",IF(INDEX('①名簿入力'!$AA$4:$AA$153,S86)=1,"〇",""))</f>
        <v/>
      </c>
      <c r="N86" s="13" t="str">
        <f>IF(S86="","",IF(INDEX('①名簿入力'!$AB$4:$AB$153,S86)=1,"〇",""))</f>
        <v/>
      </c>
      <c r="O86" s="25" t="str">
        <f>AM86&amp;IF(AND(AM86&lt;&gt;"",AN86&lt;&gt;""),"、","")&amp;AN86&amp;IF(AND(AM86&amp;AN86&lt;&gt;"",AO86&lt;&gt;""),"、","")&amp;AO86</f>
        <v/>
      </c>
      <c r="P86" s="25" t="str">
        <f>IF(AG86=0,"",IF(AK86&amp;AL86="","⚠",LEFT(AK86&amp;AL86,LEN(AK86&amp;AL86)-1)))</f>
        <v/>
      </c>
      <c r="Q86" s="25" t="str">
        <f>IF(S86="","",INDEX('①名簿入力'!$T$4:$T$153,S86)&amp;"")</f>
        <v/>
      </c>
      <c r="S86" s="14">
        <f>IF(D86="","",IFERROR(MATCH(D86,'①名簿入力'!$A$4:$A$153,0),""))</f>
        <v>78</v>
      </c>
      <c r="T86" s="14" t="str">
        <f>IF(S86="","",IF(INDEX('①名簿入力'!$AG$4:$AG$153,S86)=D86,"",INDEX('①名簿入力'!$AG$4:$AG$153,S86)))</f>
        <v/>
      </c>
      <c r="U86" s="14" t="str">
        <f>IF(S86="","",IF(INDEX('①名簿入力'!$AH$4:$AH$153,S86)=D86,"",INDEX('①名簿入力'!$AH$4:$AH$153,S86)))</f>
        <v/>
      </c>
      <c r="V86" s="14" t="str">
        <f>IF(S86="","",IF(INDEX('①名簿入力'!$AI$4:$AI$153,S86)=D86,"",INDEX('①名簿入力'!$AI$4:$AI$153,S86)))</f>
        <v/>
      </c>
      <c r="W86" s="14" t="str">
        <f>IF(T86="","",IFERROR(IF(INDEX($E$9:$E$158,MATCH(T86,$D$9:$D$158,0))="","",INDEX($E$9:$E$158,MATCH(T86,$D$9:$D$158,0))),""))</f>
        <v/>
      </c>
      <c r="X86" s="14" t="str">
        <f>IF(U86="","",IFERROR(IF(INDEX($E$9:$E$158,MATCH(U86,$D$9:$D$158,0))="","",INDEX($E$9:$E$158,MATCH(U86,$D$9:$D$158,0))),""))</f>
        <v/>
      </c>
      <c r="Y86" s="14" t="str">
        <f>IF(V86="","",IFERROR(IF(INDEX($E$9:$E$158,MATCH(V86,$D$9:$D$158,0))="","",INDEX($E$9:$E$158,MATCH(V86,$D$9:$D$158,0))),""))</f>
        <v/>
      </c>
      <c r="Z86" s="14">
        <f>IF(AND(T86&lt;&gt;"",W86&lt;&gt;"",E86&lt;&gt;""),IF(W86=E86,1,0),0)</f>
        <v>0</v>
      </c>
      <c r="AA86" s="14">
        <f>IF(AND(U86&lt;&gt;"",X86&lt;&gt;"",E86&lt;&gt;""),IF(X86=E86,1,0),0)</f>
        <v>0</v>
      </c>
      <c r="AB86" s="14">
        <f>IF(AND(V86&lt;&gt;"",Y86&lt;&gt;"",E86&lt;&gt;""),IF(Y86=E86,1,0),0)</f>
        <v>0</v>
      </c>
      <c r="AC86" s="14" t="str">
        <f>IF(OR(T86="",E86=""),"",T86&amp;"|"&amp;E86)</f>
        <v/>
      </c>
      <c r="AD86" s="14" t="str">
        <f>IF(OR(U86="",E86=""),"",U86&amp;"|"&amp;E86)</f>
        <v/>
      </c>
      <c r="AE86" s="14" t="str">
        <f>IF(OR(V86="",E86=""),"",V86&amp;"|"&amp;E86)</f>
        <v/>
      </c>
      <c r="AF86" s="14">
        <f>IF(OR(D86="",E86=""),0,COUNTIF($AC$9:$AC$158,D86&amp;"|"&amp;E86)+COUNTIF($AD$9:$AD$158,D86&amp;"|"&amp;E86)+COUNTIF($AE$9:$AE$158,D86&amp;"|"&amp;E86))</f>
        <v>0</v>
      </c>
      <c r="AG86" s="14">
        <f>Z86+AA86+AB86+AF86</f>
        <v>0</v>
      </c>
      <c r="AH86" s="14" t="str">
        <f>IF(OR(D86="",E86=""),"",IFERROR(MATCH(D86&amp;"|"&amp;E86,$AC$9:$AC$158,0),""))</f>
        <v/>
      </c>
      <c r="AI86" s="14" t="str">
        <f>IF(OR(D86="",E86=""),"",IFERROR(MATCH(D86&amp;"|"&amp;E86,$AD$9:$AD$158,0),""))</f>
        <v/>
      </c>
      <c r="AJ86" s="14" t="str">
        <f>IF(OR(D86="",E86=""),"",IFERROR(MATCH(D86&amp;"|"&amp;E86,$AE$9:$AE$158,0),""))</f>
        <v/>
      </c>
      <c r="AK86" s="14" t="str">
        <f>IF(Z86=1,IFERROR(INDEX($F$9:$F$158,MATCH(T86,$D$9:$D$158,0)),"")&amp;"、","")&amp;IF(AA86=1,IFERROR(INDEX($F$9:$F$158,MATCH(U86,$D$9:$D$158,0)),"")&amp;"、","")&amp;IF(AB86=1,IFERROR(INDEX($F$9:$F$158,MATCH(V86,$D$9:$D$158,0)),"")&amp;"、","")</f>
        <v/>
      </c>
      <c r="AL86" s="14" t="str">
        <f>IF(OR(AH86=""),"",IF(OR(INDEX($D$9:$D$158,AH86)=T86,INDEX($D$9:$D$158,AH86)=U86,INDEX($D$9:$D$158,AH86)=V86),"",INDEX($F$9:$F$158,AH86)&amp;"、"))&amp;IF(OR(AI86="",AI86=AH86),"",IF(OR(INDEX($D$9:$D$158,AI86)=T86,INDEX($D$9:$D$158,AI86)=U86,INDEX($D$9:$D$158,AI86)=V86),"",INDEX($F$9:$F$158,AI86)&amp;"、"))&amp;IF(OR(AJ86="",AJ86=AH86,AJ86=AI86),"",IF(OR(INDEX($D$9:$D$158,AJ86)=T86,INDEX($D$9:$D$158,AJ86)=U86,INDEX($D$9:$D$158,AJ86)=V86),"",INDEX($F$9:$F$158,AJ86)&amp;"、"))</f>
        <v/>
      </c>
      <c r="AM86" s="14" t="str">
        <f>IF(T86="","",IFERROR(INDEX('①名簿入力'!$C$4:$C$153,MATCH(T86,'①名簿入力'!$A$4:$A$153,0)),"?")&amp;IF(W86="","","("&amp;W86&amp;"組)"))</f>
        <v/>
      </c>
      <c r="AN86" s="14" t="str">
        <f>IF(U86="","",IFERROR(INDEX('①名簿入力'!$C$4:$C$153,MATCH(U86,'①名簿入力'!$A$4:$A$153,0)),"?")&amp;IF(X86="","","("&amp;X86&amp;"組)"))</f>
        <v/>
      </c>
      <c r="AO86" s="14" t="str">
        <f>IF(V86="","",IFERROR(INDEX('①名簿入力'!$C$4:$C$153,MATCH(V86,'①名簿入力'!$A$4:$A$153,0)),"?")&amp;IF(Y86="","","("&amp;Y86&amp;"組)"))</f>
        <v/>
      </c>
      <c r="AP86" s="14">
        <f>IF(G86="男",1,IF(G86="女",2,3))</f>
        <v>1</v>
      </c>
      <c r="AQ86" s="14">
        <f>IF(OR(S86="",E86=""),"",IFERROR(IF('③クラス一覧'!$AD$6="番号順",0,AP86*1000000000)+D86,""))</f>
        <v>1000002308</v>
      </c>
      <c r="AR86" s="14">
        <f>IF(AQ86="","",COUNTIFS($E$9:$E$158,E86,$AQ$9:$AQ$158,"&lt;"&amp;AQ86)+1)</f>
        <v>14</v>
      </c>
      <c r="AS86" s="14" t="str">
        <f>IF(AR86="","",E86&amp;"-"&amp;AR86)</f>
        <v>3-14</v>
      </c>
      <c r="AT86" s="14">
        <f>IF(S86="","",IF(INDEX('①名簿入力'!$F$4:$F$153,S86)="","",INDEX('①名簿入力'!$F$4:$F$153,S86)))</f>
        <v>58</v>
      </c>
      <c r="AU86" s="14">
        <f>IF(S86="","",IF(INDEX('①名簿入力'!$G$4:$G$153,S86)="","",INDEX('①名簿入力'!$G$4:$G$153,S86)))</f>
        <v>49</v>
      </c>
      <c r="AV86" s="14">
        <f>IF(S86="","",IF(INDEX('①名簿入力'!$H$4:$H$153,S86)="","",INDEX('①名簿入力'!$H$4:$H$153,S86)))</f>
        <v>48</v>
      </c>
      <c r="AW86" s="14">
        <f>IF(S86="","",IF(INDEX('①名簿入力'!$I$4:$I$153,S86)="","",INDEX('①名簿入力'!$I$4:$I$153,S86)))</f>
        <v>60</v>
      </c>
      <c r="AX86" s="14">
        <f>IF(S86="","",IF(INDEX('①名簿入力'!$J$4:$J$153,S86)="","",INDEX('①名簿入力'!$J$4:$J$153,S86)))</f>
        <v>57</v>
      </c>
    </row>
    <row r="87">
      <c r="A87" s="23">
        <f>IF('①名簿入力'!A82="","",'①名簿入力'!A82)</f>
        <v>2309</v>
      </c>
      <c r="B87" s="23">
        <f>IF(A87="","",'①名簿入力'!U82)</f>
        <v>1</v>
      </c>
      <c r="D87" s="8" t="n">
        <v>2309</v>
      </c>
      <c r="E87" s="24" t="n">
        <v>1</v>
      </c>
      <c r="F87" s="25" t="str">
        <f>IF(D87="","",IF(S87="","（名簿にない番号）",INDEX('①名簿入力'!$C$4:$C$153,S87)&amp;""))</f>
        <v>大久保　真央</v>
      </c>
      <c r="G87" s="13" t="str">
        <f>IF(S87="","",INDEX('①名簿入力'!$E$4:$E$153,S87)&amp;"")</f>
        <v>女</v>
      </c>
      <c r="H87" s="13">
        <f>IF(S87="","",IF(INDEX('①名簿入力'!$B$4:$B$153,S87)="","",INDEX('①名簿入力'!$B$4:$B$153,S87)))</f>
        <v>3</v>
      </c>
      <c r="I87" s="10">
        <f>IF(S87="","",IF(INDEX('①名簿入力'!$K$4:$K$153,S87)="","",INDEX('①名簿入力'!$K$4:$K$153,S87)))</f>
        <v>84.2</v>
      </c>
      <c r="J87" s="10">
        <f>IF(S87="","",IF(INDEX('①名簿入力'!$L$4:$L$153,S87)="","",INDEX('①名簿入力'!$L$4:$L$153,S87)))</f>
        <v>8.2</v>
      </c>
      <c r="K87" s="13" t="str">
        <f>IF(S87="","",IF(INDEX('①名簿入力'!$Y$4:$Y$153,S87)=1,"〇",""))</f>
        <v/>
      </c>
      <c r="L87" s="13" t="str">
        <f>IF(S87="","",IF(INDEX('①名簿入力'!$Z$4:$Z$153,S87)=1,"〇",""))</f>
        <v/>
      </c>
      <c r="M87" s="13" t="str">
        <f>IF(S87="","",IF(INDEX('①名簿入力'!$AA$4:$AA$153,S87)=1,"〇",""))</f>
        <v/>
      </c>
      <c r="N87" s="13" t="str">
        <f>IF(S87="","",IF(INDEX('①名簿入力'!$AB$4:$AB$153,S87)=1,"〇",""))</f>
        <v/>
      </c>
      <c r="O87" s="25" t="str">
        <f>AM87&amp;IF(AND(AM87&lt;&gt;"",AN87&lt;&gt;""),"、","")&amp;AN87&amp;IF(AND(AM87&amp;AN87&lt;&gt;"",AO87&lt;&gt;""),"、","")&amp;AO87</f>
        <v/>
      </c>
      <c r="P87" s="25" t="str">
        <f>IF(AG87=0,"",IF(AK87&amp;AL87="","⚠",LEFT(AK87&amp;AL87,LEN(AK87&amp;AL87)-1)))</f>
        <v/>
      </c>
      <c r="Q87" s="25" t="str">
        <f>IF(S87="","",INDEX('①名簿入力'!$T$4:$T$153,S87)&amp;"")</f>
        <v>部活：美術</v>
      </c>
      <c r="S87" s="14">
        <f>IF(D87="","",IFERROR(MATCH(D87,'①名簿入力'!$A$4:$A$153,0),""))</f>
        <v>79</v>
      </c>
      <c r="T87" s="14" t="str">
        <f>IF(S87="","",IF(INDEX('①名簿入力'!$AG$4:$AG$153,S87)=D87,"",INDEX('①名簿入力'!$AG$4:$AG$153,S87)))</f>
        <v/>
      </c>
      <c r="U87" s="14" t="str">
        <f>IF(S87="","",IF(INDEX('①名簿入力'!$AH$4:$AH$153,S87)=D87,"",INDEX('①名簿入力'!$AH$4:$AH$153,S87)))</f>
        <v/>
      </c>
      <c r="V87" s="14" t="str">
        <f>IF(S87="","",IF(INDEX('①名簿入力'!$AI$4:$AI$153,S87)=D87,"",INDEX('①名簿入力'!$AI$4:$AI$153,S87)))</f>
        <v/>
      </c>
      <c r="W87" s="14" t="str">
        <f>IF(T87="","",IFERROR(IF(INDEX($E$9:$E$158,MATCH(T87,$D$9:$D$158,0))="","",INDEX($E$9:$E$158,MATCH(T87,$D$9:$D$158,0))),""))</f>
        <v/>
      </c>
      <c r="X87" s="14" t="str">
        <f>IF(U87="","",IFERROR(IF(INDEX($E$9:$E$158,MATCH(U87,$D$9:$D$158,0))="","",INDEX($E$9:$E$158,MATCH(U87,$D$9:$D$158,0))),""))</f>
        <v/>
      </c>
      <c r="Y87" s="14" t="str">
        <f>IF(V87="","",IFERROR(IF(INDEX($E$9:$E$158,MATCH(V87,$D$9:$D$158,0))="","",INDEX($E$9:$E$158,MATCH(V87,$D$9:$D$158,0))),""))</f>
        <v/>
      </c>
      <c r="Z87" s="14">
        <f>IF(AND(T87&lt;&gt;"",W87&lt;&gt;"",E87&lt;&gt;""),IF(W87=E87,1,0),0)</f>
        <v>0</v>
      </c>
      <c r="AA87" s="14">
        <f>IF(AND(U87&lt;&gt;"",X87&lt;&gt;"",E87&lt;&gt;""),IF(X87=E87,1,0),0)</f>
        <v>0</v>
      </c>
      <c r="AB87" s="14">
        <f>IF(AND(V87&lt;&gt;"",Y87&lt;&gt;"",E87&lt;&gt;""),IF(Y87=E87,1,0),0)</f>
        <v>0</v>
      </c>
      <c r="AC87" s="14" t="str">
        <f>IF(OR(T87="",E87=""),"",T87&amp;"|"&amp;E87)</f>
        <v/>
      </c>
      <c r="AD87" s="14" t="str">
        <f>IF(OR(U87="",E87=""),"",U87&amp;"|"&amp;E87)</f>
        <v/>
      </c>
      <c r="AE87" s="14" t="str">
        <f>IF(OR(V87="",E87=""),"",V87&amp;"|"&amp;E87)</f>
        <v/>
      </c>
      <c r="AF87" s="14">
        <f>IF(OR(D87="",E87=""),0,COUNTIF($AC$9:$AC$158,D87&amp;"|"&amp;E87)+COUNTIF($AD$9:$AD$158,D87&amp;"|"&amp;E87)+COUNTIF($AE$9:$AE$158,D87&amp;"|"&amp;E87))</f>
        <v>0</v>
      </c>
      <c r="AG87" s="14">
        <f>Z87+AA87+AB87+AF87</f>
        <v>0</v>
      </c>
      <c r="AH87" s="14" t="str">
        <f>IF(OR(D87="",E87=""),"",IFERROR(MATCH(D87&amp;"|"&amp;E87,$AC$9:$AC$158,0),""))</f>
        <v/>
      </c>
      <c r="AI87" s="14" t="str">
        <f>IF(OR(D87="",E87=""),"",IFERROR(MATCH(D87&amp;"|"&amp;E87,$AD$9:$AD$158,0),""))</f>
        <v/>
      </c>
      <c r="AJ87" s="14" t="str">
        <f>IF(OR(D87="",E87=""),"",IFERROR(MATCH(D87&amp;"|"&amp;E87,$AE$9:$AE$158,0),""))</f>
        <v/>
      </c>
      <c r="AK87" s="14" t="str">
        <f>IF(Z87=1,IFERROR(INDEX($F$9:$F$158,MATCH(T87,$D$9:$D$158,0)),"")&amp;"、","")&amp;IF(AA87=1,IFERROR(INDEX($F$9:$F$158,MATCH(U87,$D$9:$D$158,0)),"")&amp;"、","")&amp;IF(AB87=1,IFERROR(INDEX($F$9:$F$158,MATCH(V87,$D$9:$D$158,0)),"")&amp;"、","")</f>
        <v/>
      </c>
      <c r="AL87" s="14" t="str">
        <f>IF(OR(AH87=""),"",IF(OR(INDEX($D$9:$D$158,AH87)=T87,INDEX($D$9:$D$158,AH87)=U87,INDEX($D$9:$D$158,AH87)=V87),"",INDEX($F$9:$F$158,AH87)&amp;"、"))&amp;IF(OR(AI87="",AI87=AH87),"",IF(OR(INDEX($D$9:$D$158,AI87)=T87,INDEX($D$9:$D$158,AI87)=U87,INDEX($D$9:$D$158,AI87)=V87),"",INDEX($F$9:$F$158,AI87)&amp;"、"))&amp;IF(OR(AJ87="",AJ87=AH87,AJ87=AI87),"",IF(OR(INDEX($D$9:$D$158,AJ87)=T87,INDEX($D$9:$D$158,AJ87)=U87,INDEX($D$9:$D$158,AJ87)=V87),"",INDEX($F$9:$F$158,AJ87)&amp;"、"))</f>
        <v/>
      </c>
      <c r="AM87" s="14" t="str">
        <f>IF(T87="","",IFERROR(INDEX('①名簿入力'!$C$4:$C$153,MATCH(T87,'①名簿入力'!$A$4:$A$153,0)),"?")&amp;IF(W87="","","("&amp;W87&amp;"組)"))</f>
        <v/>
      </c>
      <c r="AN87" s="14" t="str">
        <f>IF(U87="","",IFERROR(INDEX('①名簿入力'!$C$4:$C$153,MATCH(U87,'①名簿入力'!$A$4:$A$153,0)),"?")&amp;IF(X87="","","("&amp;X87&amp;"組)"))</f>
        <v/>
      </c>
      <c r="AO87" s="14" t="str">
        <f>IF(V87="","",IFERROR(INDEX('①名簿入力'!$C$4:$C$153,MATCH(V87,'①名簿入力'!$A$4:$A$153,0)),"?")&amp;IF(Y87="","","("&amp;Y87&amp;"組)"))</f>
        <v/>
      </c>
      <c r="AP87" s="14">
        <f>IF(G87="男",1,IF(G87="女",2,3))</f>
        <v>2</v>
      </c>
      <c r="AQ87" s="14">
        <f>IF(OR(S87="",E87=""),"",IFERROR(IF('③クラス一覧'!$AD$6="番号順",0,AP87*1000000000)+D87,""))</f>
        <v>2000002309</v>
      </c>
      <c r="AR87" s="14">
        <f>IF(AQ87="","",COUNTIFS($E$9:$E$158,E87,$AQ$9:$AQ$158,"&lt;"&amp;AQ87)+1)</f>
        <v>31</v>
      </c>
      <c r="AS87" s="14" t="str">
        <f>IF(AR87="","",E87&amp;"-"&amp;AR87)</f>
        <v>1-31</v>
      </c>
      <c r="AT87" s="14">
        <f>IF(S87="","",IF(INDEX('①名簿入力'!$F$4:$F$153,S87)="","",INDEX('①名簿入力'!$F$4:$F$153,S87)))</f>
        <v>77</v>
      </c>
      <c r="AU87" s="14">
        <f>IF(S87="","",IF(INDEX('①名簿入力'!$G$4:$G$153,S87)="","",INDEX('①名簿入力'!$G$4:$G$153,S87)))</f>
        <v>93</v>
      </c>
      <c r="AV87" s="14">
        <f>IF(S87="","",IF(INDEX('①名簿入力'!$H$4:$H$153,S87)="","",INDEX('①名簿入力'!$H$4:$H$153,S87)))</f>
        <v>79</v>
      </c>
      <c r="AW87" s="14">
        <f>IF(S87="","",IF(INDEX('①名簿入力'!$I$4:$I$153,S87)="","",INDEX('①名簿入力'!$I$4:$I$153,S87)))</f>
        <v>86</v>
      </c>
      <c r="AX87" s="14">
        <f>IF(S87="","",IF(INDEX('①名簿入力'!$J$4:$J$153,S87)="","",INDEX('①名簿入力'!$J$4:$J$153,S87)))</f>
        <v>86</v>
      </c>
    </row>
    <row r="88">
      <c r="A88" s="23">
        <f>IF('①名簿入力'!A83="","",'①名簿入力'!A83)</f>
        <v>2310</v>
      </c>
      <c r="B88" s="23">
        <f>IF(A88="","",'①名簿入力'!U83)</f>
        <v>3</v>
      </c>
      <c r="D88" s="8" t="n">
        <v>2310</v>
      </c>
      <c r="E88" s="24" t="n">
        <v>3</v>
      </c>
      <c r="F88" s="25" t="str">
        <f>IF(D88="","",IF(S88="","（名簿にない番号）",INDEX('①名簿入力'!$C$4:$C$153,S88)&amp;""))</f>
        <v>大久保　悠人</v>
      </c>
      <c r="G88" s="13" t="str">
        <f>IF(S88="","",INDEX('①名簿入力'!$E$4:$E$153,S88)&amp;"")</f>
        <v>男</v>
      </c>
      <c r="H88" s="13">
        <f>IF(S88="","",IF(INDEX('①名簿入力'!$B$4:$B$153,S88)="","",INDEX('①名簿入力'!$B$4:$B$153,S88)))</f>
        <v>3</v>
      </c>
      <c r="I88" s="10">
        <f>IF(S88="","",IF(INDEX('①名簿入力'!$K$4:$K$153,S88)="","",INDEX('①名簿入力'!$K$4:$K$153,S88)))</f>
        <v>50.2</v>
      </c>
      <c r="J88" s="10">
        <f>IF(S88="","",IF(INDEX('①名簿入力'!$L$4:$L$153,S88)="","",INDEX('①名簿入力'!$L$4:$L$153,S88)))</f>
        <v>7.8</v>
      </c>
      <c r="K88" s="13" t="str">
        <f>IF(S88="","",IF(INDEX('①名簿入力'!$Y$4:$Y$153,S88)=1,"〇",""))</f>
        <v/>
      </c>
      <c r="L88" s="13" t="str">
        <f>IF(S88="","",IF(INDEX('①名簿入力'!$Z$4:$Z$153,S88)=1,"〇",""))</f>
        <v>〇</v>
      </c>
      <c r="M88" s="13" t="str">
        <f>IF(S88="","",IF(INDEX('①名簿入力'!$AA$4:$AA$153,S88)=1,"〇",""))</f>
        <v/>
      </c>
      <c r="N88" s="13" t="str">
        <f>IF(S88="","",IF(INDEX('①名簿入力'!$AB$4:$AB$153,S88)=1,"〇",""))</f>
        <v/>
      </c>
      <c r="O88" s="25" t="str">
        <f>AM88&amp;IF(AND(AM88&lt;&gt;"",AN88&lt;&gt;""),"、","")&amp;AN88&amp;IF(AND(AM88&amp;AN88&lt;&gt;"",AO88&lt;&gt;""),"、","")&amp;AO88</f>
        <v/>
      </c>
      <c r="P88" s="25" t="str">
        <f>IF(AG88=0,"",IF(AK88&amp;AL88="","⚠",LEFT(AK88&amp;AL88,LEN(AK88&amp;AL88)-1)))</f>
        <v/>
      </c>
      <c r="Q88" s="25" t="str">
        <f>IF(S88="","",INDEX('①名簿入力'!$T$4:$T$153,S88)&amp;"")</f>
        <v/>
      </c>
      <c r="S88" s="14">
        <f>IF(D88="","",IFERROR(MATCH(D88,'①名簿入力'!$A$4:$A$153,0),""))</f>
        <v>80</v>
      </c>
      <c r="T88" s="14" t="str">
        <f>IF(S88="","",IF(INDEX('①名簿入力'!$AG$4:$AG$153,S88)=D88,"",INDEX('①名簿入力'!$AG$4:$AG$153,S88)))</f>
        <v/>
      </c>
      <c r="U88" s="14" t="str">
        <f>IF(S88="","",IF(INDEX('①名簿入力'!$AH$4:$AH$153,S88)=D88,"",INDEX('①名簿入力'!$AH$4:$AH$153,S88)))</f>
        <v/>
      </c>
      <c r="V88" s="14" t="str">
        <f>IF(S88="","",IF(INDEX('①名簿入力'!$AI$4:$AI$153,S88)=D88,"",INDEX('①名簿入力'!$AI$4:$AI$153,S88)))</f>
        <v/>
      </c>
      <c r="W88" s="14" t="str">
        <f>IF(T88="","",IFERROR(IF(INDEX($E$9:$E$158,MATCH(T88,$D$9:$D$158,0))="","",INDEX($E$9:$E$158,MATCH(T88,$D$9:$D$158,0))),""))</f>
        <v/>
      </c>
      <c r="X88" s="14" t="str">
        <f>IF(U88="","",IFERROR(IF(INDEX($E$9:$E$158,MATCH(U88,$D$9:$D$158,0))="","",INDEX($E$9:$E$158,MATCH(U88,$D$9:$D$158,0))),""))</f>
        <v/>
      </c>
      <c r="Y88" s="14" t="str">
        <f>IF(V88="","",IFERROR(IF(INDEX($E$9:$E$158,MATCH(V88,$D$9:$D$158,0))="","",INDEX($E$9:$E$158,MATCH(V88,$D$9:$D$158,0))),""))</f>
        <v/>
      </c>
      <c r="Z88" s="14">
        <f>IF(AND(T88&lt;&gt;"",W88&lt;&gt;"",E88&lt;&gt;""),IF(W88=E88,1,0),0)</f>
        <v>0</v>
      </c>
      <c r="AA88" s="14">
        <f>IF(AND(U88&lt;&gt;"",X88&lt;&gt;"",E88&lt;&gt;""),IF(X88=E88,1,0),0)</f>
        <v>0</v>
      </c>
      <c r="AB88" s="14">
        <f>IF(AND(V88&lt;&gt;"",Y88&lt;&gt;"",E88&lt;&gt;""),IF(Y88=E88,1,0),0)</f>
        <v>0</v>
      </c>
      <c r="AC88" s="14" t="str">
        <f>IF(OR(T88="",E88=""),"",T88&amp;"|"&amp;E88)</f>
        <v/>
      </c>
      <c r="AD88" s="14" t="str">
        <f>IF(OR(U88="",E88=""),"",U88&amp;"|"&amp;E88)</f>
        <v/>
      </c>
      <c r="AE88" s="14" t="str">
        <f>IF(OR(V88="",E88=""),"",V88&amp;"|"&amp;E88)</f>
        <v/>
      </c>
      <c r="AF88" s="14">
        <f>IF(OR(D88="",E88=""),0,COUNTIF($AC$9:$AC$158,D88&amp;"|"&amp;E88)+COUNTIF($AD$9:$AD$158,D88&amp;"|"&amp;E88)+COUNTIF($AE$9:$AE$158,D88&amp;"|"&amp;E88))</f>
        <v>0</v>
      </c>
      <c r="AG88" s="14">
        <f>Z88+AA88+AB88+AF88</f>
        <v>0</v>
      </c>
      <c r="AH88" s="14" t="str">
        <f>IF(OR(D88="",E88=""),"",IFERROR(MATCH(D88&amp;"|"&amp;E88,$AC$9:$AC$158,0),""))</f>
        <v/>
      </c>
      <c r="AI88" s="14" t="str">
        <f>IF(OR(D88="",E88=""),"",IFERROR(MATCH(D88&amp;"|"&amp;E88,$AD$9:$AD$158,0),""))</f>
        <v/>
      </c>
      <c r="AJ88" s="14" t="str">
        <f>IF(OR(D88="",E88=""),"",IFERROR(MATCH(D88&amp;"|"&amp;E88,$AE$9:$AE$158,0),""))</f>
        <v/>
      </c>
      <c r="AK88" s="14" t="str">
        <f>IF(Z88=1,IFERROR(INDEX($F$9:$F$158,MATCH(T88,$D$9:$D$158,0)),"")&amp;"、","")&amp;IF(AA88=1,IFERROR(INDEX($F$9:$F$158,MATCH(U88,$D$9:$D$158,0)),"")&amp;"、","")&amp;IF(AB88=1,IFERROR(INDEX($F$9:$F$158,MATCH(V88,$D$9:$D$158,0)),"")&amp;"、","")</f>
        <v/>
      </c>
      <c r="AL88" s="14" t="str">
        <f>IF(OR(AH88=""),"",IF(OR(INDEX($D$9:$D$158,AH88)=T88,INDEX($D$9:$D$158,AH88)=U88,INDEX($D$9:$D$158,AH88)=V88),"",INDEX($F$9:$F$158,AH88)&amp;"、"))&amp;IF(OR(AI88="",AI88=AH88),"",IF(OR(INDEX($D$9:$D$158,AI88)=T88,INDEX($D$9:$D$158,AI88)=U88,INDEX($D$9:$D$158,AI88)=V88),"",INDEX($F$9:$F$158,AI88)&amp;"、"))&amp;IF(OR(AJ88="",AJ88=AH88,AJ88=AI88),"",IF(OR(INDEX($D$9:$D$158,AJ88)=T88,INDEX($D$9:$D$158,AJ88)=U88,INDEX($D$9:$D$158,AJ88)=V88),"",INDEX($F$9:$F$158,AJ88)&amp;"、"))</f>
        <v/>
      </c>
      <c r="AM88" s="14" t="str">
        <f>IF(T88="","",IFERROR(INDEX('①名簿入力'!$C$4:$C$153,MATCH(T88,'①名簿入力'!$A$4:$A$153,0)),"?")&amp;IF(W88="","","("&amp;W88&amp;"組)"))</f>
        <v/>
      </c>
      <c r="AN88" s="14" t="str">
        <f>IF(U88="","",IFERROR(INDEX('①名簿入力'!$C$4:$C$153,MATCH(U88,'①名簿入力'!$A$4:$A$153,0)),"?")&amp;IF(X88="","","("&amp;X88&amp;"組)"))</f>
        <v/>
      </c>
      <c r="AO88" s="14" t="str">
        <f>IF(V88="","",IFERROR(INDEX('①名簿入力'!$C$4:$C$153,MATCH(V88,'①名簿入力'!$A$4:$A$153,0)),"?")&amp;IF(Y88="","","("&amp;Y88&amp;"組)"))</f>
        <v/>
      </c>
      <c r="AP88" s="14">
        <f>IF(G88="男",1,IF(G88="女",2,3))</f>
        <v>1</v>
      </c>
      <c r="AQ88" s="14">
        <f>IF(OR(S88="",E88=""),"",IFERROR(IF('③クラス一覧'!$AD$6="番号順",0,AP88*1000000000)+D88,""))</f>
        <v>1000002310</v>
      </c>
      <c r="AR88" s="14">
        <f>IF(AQ88="","",COUNTIFS($E$9:$E$158,E88,$AQ$9:$AQ$158,"&lt;"&amp;AQ88)+1)</f>
        <v>15</v>
      </c>
      <c r="AS88" s="14" t="str">
        <f>IF(AR88="","",E88&amp;"-"&amp;AR88)</f>
        <v>3-15</v>
      </c>
      <c r="AT88" s="14">
        <f>IF(S88="","",IF(INDEX('①名簿入力'!$F$4:$F$153,S88)="","",INDEX('①名簿入力'!$F$4:$F$153,S88)))</f>
        <v>58</v>
      </c>
      <c r="AU88" s="14">
        <f>IF(S88="","",IF(INDEX('①名簿入力'!$G$4:$G$153,S88)="","",INDEX('①名簿入力'!$G$4:$G$153,S88)))</f>
        <v>60</v>
      </c>
      <c r="AV88" s="14">
        <f>IF(S88="","",IF(INDEX('①名簿入力'!$H$4:$H$153,S88)="","",INDEX('①名簿入力'!$H$4:$H$153,S88)))</f>
        <v>39</v>
      </c>
      <c r="AW88" s="14">
        <f>IF(S88="","",IF(INDEX('①名簿入力'!$I$4:$I$153,S88)="","",INDEX('①名簿入力'!$I$4:$I$153,S88)))</f>
        <v>42</v>
      </c>
      <c r="AX88" s="14">
        <f>IF(S88="","",IF(INDEX('①名簿入力'!$J$4:$J$153,S88)="","",INDEX('①名簿入力'!$J$4:$J$153,S88)))</f>
        <v>52</v>
      </c>
    </row>
    <row r="89">
      <c r="A89" s="23">
        <f>IF('①名簿入力'!A84="","",'①名簿入力'!A84)</f>
        <v>2311</v>
      </c>
      <c r="B89" s="23">
        <f>IF(A89="","",'①名簿入力'!U84)</f>
        <v>2</v>
      </c>
      <c r="D89" s="8" t="n">
        <v>2311</v>
      </c>
      <c r="E89" s="24" t="n">
        <v>2</v>
      </c>
      <c r="F89" s="25" t="str">
        <f>IF(D89="","",IF(S89="","（名簿にない番号）",INDEX('①名簿入力'!$C$4:$C$153,S89)&amp;""))</f>
        <v>太田　拓海</v>
      </c>
      <c r="G89" s="13" t="str">
        <f>IF(S89="","",INDEX('①名簿入力'!$E$4:$E$153,S89)&amp;"")</f>
        <v>男</v>
      </c>
      <c r="H89" s="13">
        <f>IF(S89="","",IF(INDEX('①名簿入力'!$B$4:$B$153,S89)="","",INDEX('①名簿入力'!$B$4:$B$153,S89)))</f>
        <v>3</v>
      </c>
      <c r="I89" s="10">
        <f>IF(S89="","",IF(INDEX('①名簿入力'!$K$4:$K$153,S89)="","",INDEX('①名簿入力'!$K$4:$K$153,S89)))</f>
        <v>51.8</v>
      </c>
      <c r="J89" s="10">
        <f>IF(S89="","",IF(INDEX('①名簿入力'!$L$4:$L$153,S89)="","",INDEX('①名簿入力'!$L$4:$L$153,S89)))</f>
        <v>8.6</v>
      </c>
      <c r="K89" s="13" t="str">
        <f>IF(S89="","",IF(INDEX('①名簿入力'!$Y$4:$Y$153,S89)=1,"〇",""))</f>
        <v/>
      </c>
      <c r="L89" s="13" t="str">
        <f>IF(S89="","",IF(INDEX('①名簿入力'!$Z$4:$Z$153,S89)=1,"〇",""))</f>
        <v/>
      </c>
      <c r="M89" s="13" t="str">
        <f>IF(S89="","",IF(INDEX('①名簿入力'!$AA$4:$AA$153,S89)=1,"〇",""))</f>
        <v/>
      </c>
      <c r="N89" s="13" t="str">
        <f>IF(S89="","",IF(INDEX('①名簿入力'!$AB$4:$AB$153,S89)=1,"〇",""))</f>
        <v/>
      </c>
      <c r="O89" s="25" t="str">
        <f>AM89&amp;IF(AND(AM89&lt;&gt;"",AN89&lt;&gt;""),"、","")&amp;AN89&amp;IF(AND(AM89&amp;AN89&lt;&gt;"",AO89&lt;&gt;""),"、","")&amp;AO89</f>
        <v/>
      </c>
      <c r="P89" s="25" t="str">
        <f>IF(AG89=0,"",IF(AK89&amp;AL89="","⚠",LEFT(AK89&amp;AL89,LEN(AK89&amp;AL89)-1)))</f>
        <v/>
      </c>
      <c r="Q89" s="25" t="str">
        <f>IF(S89="","",INDEX('①名簿入力'!$T$4:$T$153,S89)&amp;"")</f>
        <v/>
      </c>
      <c r="S89" s="14">
        <f>IF(D89="","",IFERROR(MATCH(D89,'①名簿入力'!$A$4:$A$153,0),""))</f>
        <v>81</v>
      </c>
      <c r="T89" s="14" t="str">
        <f>IF(S89="","",IF(INDEX('①名簿入力'!$AG$4:$AG$153,S89)=D89,"",INDEX('①名簿入力'!$AG$4:$AG$153,S89)))</f>
        <v/>
      </c>
      <c r="U89" s="14" t="str">
        <f>IF(S89="","",IF(INDEX('①名簿入力'!$AH$4:$AH$153,S89)=D89,"",INDEX('①名簿入力'!$AH$4:$AH$153,S89)))</f>
        <v/>
      </c>
      <c r="V89" s="14" t="str">
        <f>IF(S89="","",IF(INDEX('①名簿入力'!$AI$4:$AI$153,S89)=D89,"",INDEX('①名簿入力'!$AI$4:$AI$153,S89)))</f>
        <v/>
      </c>
      <c r="W89" s="14" t="str">
        <f>IF(T89="","",IFERROR(IF(INDEX($E$9:$E$158,MATCH(T89,$D$9:$D$158,0))="","",INDEX($E$9:$E$158,MATCH(T89,$D$9:$D$158,0))),""))</f>
        <v/>
      </c>
      <c r="X89" s="14" t="str">
        <f>IF(U89="","",IFERROR(IF(INDEX($E$9:$E$158,MATCH(U89,$D$9:$D$158,0))="","",INDEX($E$9:$E$158,MATCH(U89,$D$9:$D$158,0))),""))</f>
        <v/>
      </c>
      <c r="Y89" s="14" t="str">
        <f>IF(V89="","",IFERROR(IF(INDEX($E$9:$E$158,MATCH(V89,$D$9:$D$158,0))="","",INDEX($E$9:$E$158,MATCH(V89,$D$9:$D$158,0))),""))</f>
        <v/>
      </c>
      <c r="Z89" s="14">
        <f>IF(AND(T89&lt;&gt;"",W89&lt;&gt;"",E89&lt;&gt;""),IF(W89=E89,1,0),0)</f>
        <v>0</v>
      </c>
      <c r="AA89" s="14">
        <f>IF(AND(U89&lt;&gt;"",X89&lt;&gt;"",E89&lt;&gt;""),IF(X89=E89,1,0),0)</f>
        <v>0</v>
      </c>
      <c r="AB89" s="14">
        <f>IF(AND(V89&lt;&gt;"",Y89&lt;&gt;"",E89&lt;&gt;""),IF(Y89=E89,1,0),0)</f>
        <v>0</v>
      </c>
      <c r="AC89" s="14" t="str">
        <f>IF(OR(T89="",E89=""),"",T89&amp;"|"&amp;E89)</f>
        <v/>
      </c>
      <c r="AD89" s="14" t="str">
        <f>IF(OR(U89="",E89=""),"",U89&amp;"|"&amp;E89)</f>
        <v/>
      </c>
      <c r="AE89" s="14" t="str">
        <f>IF(OR(V89="",E89=""),"",V89&amp;"|"&amp;E89)</f>
        <v/>
      </c>
      <c r="AF89" s="14">
        <f>IF(OR(D89="",E89=""),0,COUNTIF($AC$9:$AC$158,D89&amp;"|"&amp;E89)+COUNTIF($AD$9:$AD$158,D89&amp;"|"&amp;E89)+COUNTIF($AE$9:$AE$158,D89&amp;"|"&amp;E89))</f>
        <v>0</v>
      </c>
      <c r="AG89" s="14">
        <f>Z89+AA89+AB89+AF89</f>
        <v>0</v>
      </c>
      <c r="AH89" s="14" t="str">
        <f>IF(OR(D89="",E89=""),"",IFERROR(MATCH(D89&amp;"|"&amp;E89,$AC$9:$AC$158,0),""))</f>
        <v/>
      </c>
      <c r="AI89" s="14" t="str">
        <f>IF(OR(D89="",E89=""),"",IFERROR(MATCH(D89&amp;"|"&amp;E89,$AD$9:$AD$158,0),""))</f>
        <v/>
      </c>
      <c r="AJ89" s="14" t="str">
        <f>IF(OR(D89="",E89=""),"",IFERROR(MATCH(D89&amp;"|"&amp;E89,$AE$9:$AE$158,0),""))</f>
        <v/>
      </c>
      <c r="AK89" s="14" t="str">
        <f>IF(Z89=1,IFERROR(INDEX($F$9:$F$158,MATCH(T89,$D$9:$D$158,0)),"")&amp;"、","")&amp;IF(AA89=1,IFERROR(INDEX($F$9:$F$158,MATCH(U89,$D$9:$D$158,0)),"")&amp;"、","")&amp;IF(AB89=1,IFERROR(INDEX($F$9:$F$158,MATCH(V89,$D$9:$D$158,0)),"")&amp;"、","")</f>
        <v/>
      </c>
      <c r="AL89" s="14" t="str">
        <f>IF(OR(AH89=""),"",IF(OR(INDEX($D$9:$D$158,AH89)=T89,INDEX($D$9:$D$158,AH89)=U89,INDEX($D$9:$D$158,AH89)=V89),"",INDEX($F$9:$F$158,AH89)&amp;"、"))&amp;IF(OR(AI89="",AI89=AH89),"",IF(OR(INDEX($D$9:$D$158,AI89)=T89,INDEX($D$9:$D$158,AI89)=U89,INDEX($D$9:$D$158,AI89)=V89),"",INDEX($F$9:$F$158,AI89)&amp;"、"))&amp;IF(OR(AJ89="",AJ89=AH89,AJ89=AI89),"",IF(OR(INDEX($D$9:$D$158,AJ89)=T89,INDEX($D$9:$D$158,AJ89)=U89,INDEX($D$9:$D$158,AJ89)=V89),"",INDEX($F$9:$F$158,AJ89)&amp;"、"))</f>
        <v/>
      </c>
      <c r="AM89" s="14" t="str">
        <f>IF(T89="","",IFERROR(INDEX('①名簿入力'!$C$4:$C$153,MATCH(T89,'①名簿入力'!$A$4:$A$153,0)),"?")&amp;IF(W89="","","("&amp;W89&amp;"組)"))</f>
        <v/>
      </c>
      <c r="AN89" s="14" t="str">
        <f>IF(U89="","",IFERROR(INDEX('①名簿入力'!$C$4:$C$153,MATCH(U89,'①名簿入力'!$A$4:$A$153,0)),"?")&amp;IF(X89="","","("&amp;X89&amp;"組)"))</f>
        <v/>
      </c>
      <c r="AO89" s="14" t="str">
        <f>IF(V89="","",IFERROR(INDEX('①名簿入力'!$C$4:$C$153,MATCH(V89,'①名簿入力'!$A$4:$A$153,0)),"?")&amp;IF(Y89="","","("&amp;Y89&amp;"組)"))</f>
        <v/>
      </c>
      <c r="AP89" s="14">
        <f>IF(G89="男",1,IF(G89="女",2,3))</f>
        <v>1</v>
      </c>
      <c r="AQ89" s="14">
        <f>IF(OR(S89="",E89=""),"",IFERROR(IF('③クラス一覧'!$AD$6="番号順",0,AP89*1000000000)+D89,""))</f>
        <v>1000002311</v>
      </c>
      <c r="AR89" s="14">
        <f>IF(AQ89="","",COUNTIFS($E$9:$E$158,E89,$AQ$9:$AQ$158,"&lt;"&amp;AQ89)+1)</f>
        <v>14</v>
      </c>
      <c r="AS89" s="14" t="str">
        <f>IF(AR89="","",E89&amp;"-"&amp;AR89)</f>
        <v>2-14</v>
      </c>
      <c r="AT89" s="14">
        <f>IF(S89="","",IF(INDEX('①名簿入力'!$F$4:$F$153,S89)="","",INDEX('①名簿入力'!$F$4:$F$153,S89)))</f>
        <v>50</v>
      </c>
      <c r="AU89" s="14">
        <f>IF(S89="","",IF(INDEX('①名簿入力'!$G$4:$G$153,S89)="","",INDEX('①名簿入力'!$G$4:$G$153,S89)))</f>
        <v>64</v>
      </c>
      <c r="AV89" s="14">
        <f>IF(S89="","",IF(INDEX('①名簿入力'!$H$4:$H$153,S89)="","",INDEX('①名簿入力'!$H$4:$H$153,S89)))</f>
        <v>43</v>
      </c>
      <c r="AW89" s="14">
        <f>IF(S89="","",IF(INDEX('①名簿入力'!$I$4:$I$153,S89)="","",INDEX('①名簿入力'!$I$4:$I$153,S89)))</f>
        <v>51</v>
      </c>
      <c r="AX89" s="14">
        <f>IF(S89="","",IF(INDEX('①名簿入力'!$J$4:$J$153,S89)="","",INDEX('①名簿入力'!$J$4:$J$153,S89)))</f>
        <v>51</v>
      </c>
    </row>
    <row r="90">
      <c r="A90" s="23">
        <f>IF('①名簿入力'!A85="","",'①名簿入力'!A85)</f>
        <v>2312</v>
      </c>
      <c r="B90" s="23">
        <f>IF(A90="","",'①名簿入力'!U85)</f>
        <v>3</v>
      </c>
      <c r="D90" s="8" t="n">
        <v>2312</v>
      </c>
      <c r="E90" s="24" t="n">
        <v>3</v>
      </c>
      <c r="F90" s="25" t="str">
        <f>IF(D90="","",IF(S90="","（名簿にない番号）",INDEX('①名簿入力'!$C$4:$C$153,S90)&amp;""))</f>
        <v>岡田　海斗</v>
      </c>
      <c r="G90" s="13" t="str">
        <f>IF(S90="","",INDEX('①名簿入力'!$E$4:$E$153,S90)&amp;"")</f>
        <v>男</v>
      </c>
      <c r="H90" s="13">
        <f>IF(S90="","",IF(INDEX('①名簿入力'!$B$4:$B$153,S90)="","",INDEX('①名簿入力'!$B$4:$B$153,S90)))</f>
        <v>3</v>
      </c>
      <c r="I90" s="10">
        <f>IF(S90="","",IF(INDEX('①名簿入力'!$K$4:$K$153,S90)="","",INDEX('①名簿入力'!$K$4:$K$153,S90)))</f>
        <v>60</v>
      </c>
      <c r="J90" s="10">
        <f>IF(S90="","",IF(INDEX('①名簿入力'!$L$4:$L$153,S90)="","",INDEX('①名簿入力'!$L$4:$L$153,S90)))</f>
        <v>8</v>
      </c>
      <c r="K90" s="13" t="str">
        <f>IF(S90="","",IF(INDEX('①名簿入力'!$Y$4:$Y$153,S90)=1,"〇",""))</f>
        <v>〇</v>
      </c>
      <c r="L90" s="13" t="str">
        <f>IF(S90="","",IF(INDEX('①名簿入力'!$Z$4:$Z$153,S90)=1,"〇",""))</f>
        <v/>
      </c>
      <c r="M90" s="13" t="str">
        <f>IF(S90="","",IF(INDEX('①名簿入力'!$AA$4:$AA$153,S90)=1,"〇",""))</f>
        <v/>
      </c>
      <c r="N90" s="13" t="str">
        <f>IF(S90="","",IF(INDEX('①名簿入力'!$AB$4:$AB$153,S90)=1,"〇",""))</f>
        <v>〇</v>
      </c>
      <c r="O90" s="25" t="str">
        <f>AM90&amp;IF(AND(AM90&lt;&gt;"",AN90&lt;&gt;""),"、","")&amp;AN90&amp;IF(AND(AM90&amp;AN90&lt;&gt;"",AO90&lt;&gt;""),"、","")&amp;AO90</f>
        <v/>
      </c>
      <c r="P90" s="25" t="str">
        <f>IF(AG90=0,"",IF(AK90&amp;AL90="","⚠",LEFT(AK90&amp;AL90,LEN(AK90&amp;AL90)-1)))</f>
        <v/>
      </c>
      <c r="Q90" s="25" t="str">
        <f>IF(S90="","",INDEX('①名簿入力'!$T$4:$T$153,S90)&amp;"")</f>
        <v/>
      </c>
      <c r="S90" s="14">
        <f>IF(D90="","",IFERROR(MATCH(D90,'①名簿入力'!$A$4:$A$153,0),""))</f>
        <v>82</v>
      </c>
      <c r="T90" s="14" t="str">
        <f>IF(S90="","",IF(INDEX('①名簿入力'!$AG$4:$AG$153,S90)=D90,"",INDEX('①名簿入力'!$AG$4:$AG$153,S90)))</f>
        <v/>
      </c>
      <c r="U90" s="14" t="str">
        <f>IF(S90="","",IF(INDEX('①名簿入力'!$AH$4:$AH$153,S90)=D90,"",INDEX('①名簿入力'!$AH$4:$AH$153,S90)))</f>
        <v/>
      </c>
      <c r="V90" s="14" t="str">
        <f>IF(S90="","",IF(INDEX('①名簿入力'!$AI$4:$AI$153,S90)=D90,"",INDEX('①名簿入力'!$AI$4:$AI$153,S90)))</f>
        <v/>
      </c>
      <c r="W90" s="14" t="str">
        <f>IF(T90="","",IFERROR(IF(INDEX($E$9:$E$158,MATCH(T90,$D$9:$D$158,0))="","",INDEX($E$9:$E$158,MATCH(T90,$D$9:$D$158,0))),""))</f>
        <v/>
      </c>
      <c r="X90" s="14" t="str">
        <f>IF(U90="","",IFERROR(IF(INDEX($E$9:$E$158,MATCH(U90,$D$9:$D$158,0))="","",INDEX($E$9:$E$158,MATCH(U90,$D$9:$D$158,0))),""))</f>
        <v/>
      </c>
      <c r="Y90" s="14" t="str">
        <f>IF(V90="","",IFERROR(IF(INDEX($E$9:$E$158,MATCH(V90,$D$9:$D$158,0))="","",INDEX($E$9:$E$158,MATCH(V90,$D$9:$D$158,0))),""))</f>
        <v/>
      </c>
      <c r="Z90" s="14">
        <f>IF(AND(T90&lt;&gt;"",W90&lt;&gt;"",E90&lt;&gt;""),IF(W90=E90,1,0),0)</f>
        <v>0</v>
      </c>
      <c r="AA90" s="14">
        <f>IF(AND(U90&lt;&gt;"",X90&lt;&gt;"",E90&lt;&gt;""),IF(X90=E90,1,0),0)</f>
        <v>0</v>
      </c>
      <c r="AB90" s="14">
        <f>IF(AND(V90&lt;&gt;"",Y90&lt;&gt;"",E90&lt;&gt;""),IF(Y90=E90,1,0),0)</f>
        <v>0</v>
      </c>
      <c r="AC90" s="14" t="str">
        <f>IF(OR(T90="",E90=""),"",T90&amp;"|"&amp;E90)</f>
        <v/>
      </c>
      <c r="AD90" s="14" t="str">
        <f>IF(OR(U90="",E90=""),"",U90&amp;"|"&amp;E90)</f>
        <v/>
      </c>
      <c r="AE90" s="14" t="str">
        <f>IF(OR(V90="",E90=""),"",V90&amp;"|"&amp;E90)</f>
        <v/>
      </c>
      <c r="AF90" s="14">
        <f>IF(OR(D90="",E90=""),0,COUNTIF($AC$9:$AC$158,D90&amp;"|"&amp;E90)+COUNTIF($AD$9:$AD$158,D90&amp;"|"&amp;E90)+COUNTIF($AE$9:$AE$158,D90&amp;"|"&amp;E90))</f>
        <v>0</v>
      </c>
      <c r="AG90" s="14">
        <f>Z90+AA90+AB90+AF90</f>
        <v>0</v>
      </c>
      <c r="AH90" s="14" t="str">
        <f>IF(OR(D90="",E90=""),"",IFERROR(MATCH(D90&amp;"|"&amp;E90,$AC$9:$AC$158,0),""))</f>
        <v/>
      </c>
      <c r="AI90" s="14" t="str">
        <f>IF(OR(D90="",E90=""),"",IFERROR(MATCH(D90&amp;"|"&amp;E90,$AD$9:$AD$158,0),""))</f>
        <v/>
      </c>
      <c r="AJ90" s="14" t="str">
        <f>IF(OR(D90="",E90=""),"",IFERROR(MATCH(D90&amp;"|"&amp;E90,$AE$9:$AE$158,0),""))</f>
        <v/>
      </c>
      <c r="AK90" s="14" t="str">
        <f>IF(Z90=1,IFERROR(INDEX($F$9:$F$158,MATCH(T90,$D$9:$D$158,0)),"")&amp;"、","")&amp;IF(AA90=1,IFERROR(INDEX($F$9:$F$158,MATCH(U90,$D$9:$D$158,0)),"")&amp;"、","")&amp;IF(AB90=1,IFERROR(INDEX($F$9:$F$158,MATCH(V90,$D$9:$D$158,0)),"")&amp;"、","")</f>
        <v/>
      </c>
      <c r="AL90" s="14" t="str">
        <f>IF(OR(AH90=""),"",IF(OR(INDEX($D$9:$D$158,AH90)=T90,INDEX($D$9:$D$158,AH90)=U90,INDEX($D$9:$D$158,AH90)=V90),"",INDEX($F$9:$F$158,AH90)&amp;"、"))&amp;IF(OR(AI90="",AI90=AH90),"",IF(OR(INDEX($D$9:$D$158,AI90)=T90,INDEX($D$9:$D$158,AI90)=U90,INDEX($D$9:$D$158,AI90)=V90),"",INDEX($F$9:$F$158,AI90)&amp;"、"))&amp;IF(OR(AJ90="",AJ90=AH90,AJ90=AI90),"",IF(OR(INDEX($D$9:$D$158,AJ90)=T90,INDEX($D$9:$D$158,AJ90)=U90,INDEX($D$9:$D$158,AJ90)=V90),"",INDEX($F$9:$F$158,AJ90)&amp;"、"))</f>
        <v/>
      </c>
      <c r="AM90" s="14" t="str">
        <f>IF(T90="","",IFERROR(INDEX('①名簿入力'!$C$4:$C$153,MATCH(T90,'①名簿入力'!$A$4:$A$153,0)),"?")&amp;IF(W90="","","("&amp;W90&amp;"組)"))</f>
        <v/>
      </c>
      <c r="AN90" s="14" t="str">
        <f>IF(U90="","",IFERROR(INDEX('①名簿入力'!$C$4:$C$153,MATCH(U90,'①名簿入力'!$A$4:$A$153,0)),"?")&amp;IF(X90="","","("&amp;X90&amp;"組)"))</f>
        <v/>
      </c>
      <c r="AO90" s="14" t="str">
        <f>IF(V90="","",IFERROR(INDEX('①名簿入力'!$C$4:$C$153,MATCH(V90,'①名簿入力'!$A$4:$A$153,0)),"?")&amp;IF(Y90="","","("&amp;Y90&amp;"組)"))</f>
        <v/>
      </c>
      <c r="AP90" s="14">
        <f>IF(G90="男",1,IF(G90="女",2,3))</f>
        <v>1</v>
      </c>
      <c r="AQ90" s="14">
        <f>IF(OR(S90="",E90=""),"",IFERROR(IF('③クラス一覧'!$AD$6="番号順",0,AP90*1000000000)+D90,""))</f>
        <v>1000002312</v>
      </c>
      <c r="AR90" s="14">
        <f>IF(AQ90="","",COUNTIFS($E$9:$E$158,E90,$AQ$9:$AQ$158,"&lt;"&amp;AQ90)+1)</f>
        <v>16</v>
      </c>
      <c r="AS90" s="14" t="str">
        <f>IF(AR90="","",E90&amp;"-"&amp;AR90)</f>
        <v>3-16</v>
      </c>
      <c r="AT90" s="14">
        <f>IF(S90="","",IF(INDEX('①名簿入力'!$F$4:$F$153,S90)="","",INDEX('①名簿入力'!$F$4:$F$153,S90)))</f>
        <v>54</v>
      </c>
      <c r="AU90" s="14">
        <f>IF(S90="","",IF(INDEX('①名簿入力'!$G$4:$G$153,S90)="","",INDEX('①名簿入力'!$G$4:$G$153,S90)))</f>
        <v>70</v>
      </c>
      <c r="AV90" s="14">
        <f>IF(S90="","",IF(INDEX('①名簿入力'!$H$4:$H$153,S90)="","",INDEX('①名簿入力'!$H$4:$H$153,S90)))</f>
        <v>46</v>
      </c>
      <c r="AW90" s="14">
        <f>IF(S90="","",IF(INDEX('①名簿入力'!$I$4:$I$153,S90)="","",INDEX('①名簿入力'!$I$4:$I$153,S90)))</f>
        <v>64</v>
      </c>
      <c r="AX90" s="14">
        <f>IF(S90="","",IF(INDEX('①名簿入力'!$J$4:$J$153,S90)="","",INDEX('①名簿入力'!$J$4:$J$153,S90)))</f>
        <v>66</v>
      </c>
    </row>
    <row r="91">
      <c r="A91" s="23">
        <f>IF('①名簿入力'!A86="","",'①名簿入力'!A86)</f>
        <v>2313</v>
      </c>
      <c r="B91" s="23">
        <f>IF(A91="","",'①名簿入力'!U86)</f>
        <v>2</v>
      </c>
      <c r="D91" s="8" t="n">
        <v>2313</v>
      </c>
      <c r="E91" s="24" t="n">
        <v>2</v>
      </c>
      <c r="F91" s="25" t="str">
        <f>IF(D91="","",IF(S91="","（名簿にない番号）",INDEX('①名簿入力'!$C$4:$C$153,S91)&amp;""))</f>
        <v>岡本　圭吾</v>
      </c>
      <c r="G91" s="13" t="str">
        <f>IF(S91="","",INDEX('①名簿入力'!$E$4:$E$153,S91)&amp;"")</f>
        <v>男</v>
      </c>
      <c r="H91" s="13">
        <f>IF(S91="","",IF(INDEX('①名簿入力'!$B$4:$B$153,S91)="","",INDEX('①名簿入力'!$B$4:$B$153,S91)))</f>
        <v>3</v>
      </c>
      <c r="I91" s="10">
        <f>IF(S91="","",IF(INDEX('①名簿入力'!$K$4:$K$153,S91)="","",INDEX('①名簿入力'!$K$4:$K$153,S91)))</f>
        <v>55.6</v>
      </c>
      <c r="J91" s="10">
        <f>IF(S91="","",IF(INDEX('①名簿入力'!$L$4:$L$153,S91)="","",INDEX('①名簿入力'!$L$4:$L$153,S91)))</f>
        <v>7.2</v>
      </c>
      <c r="K91" s="13" t="str">
        <f>IF(S91="","",IF(INDEX('①名簿入力'!$Y$4:$Y$153,S91)=1,"〇",""))</f>
        <v/>
      </c>
      <c r="L91" s="13" t="str">
        <f>IF(S91="","",IF(INDEX('①名簿入力'!$Z$4:$Z$153,S91)=1,"〇",""))</f>
        <v/>
      </c>
      <c r="M91" s="13" t="str">
        <f>IF(S91="","",IF(INDEX('①名簿入力'!$AA$4:$AA$153,S91)=1,"〇",""))</f>
        <v/>
      </c>
      <c r="N91" s="13" t="str">
        <f>IF(S91="","",IF(INDEX('①名簿入力'!$AB$4:$AB$153,S91)=1,"〇",""))</f>
        <v/>
      </c>
      <c r="O91" s="25" t="str">
        <f>AM91&amp;IF(AND(AM91&lt;&gt;"",AN91&lt;&gt;""),"、","")&amp;AN91&amp;IF(AND(AM91&amp;AN91&lt;&gt;"",AO91&lt;&gt;""),"、","")&amp;AO91</f>
        <v/>
      </c>
      <c r="P91" s="25" t="str">
        <f>IF(AG91=0,"",IF(AK91&amp;AL91="","⚠",LEFT(AK91&amp;AL91,LEN(AK91&amp;AL91)-1)))</f>
        <v/>
      </c>
      <c r="Q91" s="25" t="str">
        <f>IF(S91="","",INDEX('①名簿入力'!$T$4:$T$153,S91)&amp;"")</f>
        <v/>
      </c>
      <c r="S91" s="14">
        <f>IF(D91="","",IFERROR(MATCH(D91,'①名簿入力'!$A$4:$A$153,0),""))</f>
        <v>83</v>
      </c>
      <c r="T91" s="14" t="str">
        <f>IF(S91="","",IF(INDEX('①名簿入力'!$AG$4:$AG$153,S91)=D91,"",INDEX('①名簿入力'!$AG$4:$AG$153,S91)))</f>
        <v/>
      </c>
      <c r="U91" s="14" t="str">
        <f>IF(S91="","",IF(INDEX('①名簿入力'!$AH$4:$AH$153,S91)=D91,"",INDEX('①名簿入力'!$AH$4:$AH$153,S91)))</f>
        <v/>
      </c>
      <c r="V91" s="14" t="str">
        <f>IF(S91="","",IF(INDEX('①名簿入力'!$AI$4:$AI$153,S91)=D91,"",INDEX('①名簿入力'!$AI$4:$AI$153,S91)))</f>
        <v/>
      </c>
      <c r="W91" s="14" t="str">
        <f>IF(T91="","",IFERROR(IF(INDEX($E$9:$E$158,MATCH(T91,$D$9:$D$158,0))="","",INDEX($E$9:$E$158,MATCH(T91,$D$9:$D$158,0))),""))</f>
        <v/>
      </c>
      <c r="X91" s="14" t="str">
        <f>IF(U91="","",IFERROR(IF(INDEX($E$9:$E$158,MATCH(U91,$D$9:$D$158,0))="","",INDEX($E$9:$E$158,MATCH(U91,$D$9:$D$158,0))),""))</f>
        <v/>
      </c>
      <c r="Y91" s="14" t="str">
        <f>IF(V91="","",IFERROR(IF(INDEX($E$9:$E$158,MATCH(V91,$D$9:$D$158,0))="","",INDEX($E$9:$E$158,MATCH(V91,$D$9:$D$158,0))),""))</f>
        <v/>
      </c>
      <c r="Z91" s="14">
        <f>IF(AND(T91&lt;&gt;"",W91&lt;&gt;"",E91&lt;&gt;""),IF(W91=E91,1,0),0)</f>
        <v>0</v>
      </c>
      <c r="AA91" s="14">
        <f>IF(AND(U91&lt;&gt;"",X91&lt;&gt;"",E91&lt;&gt;""),IF(X91=E91,1,0),0)</f>
        <v>0</v>
      </c>
      <c r="AB91" s="14">
        <f>IF(AND(V91&lt;&gt;"",Y91&lt;&gt;"",E91&lt;&gt;""),IF(Y91=E91,1,0),0)</f>
        <v>0</v>
      </c>
      <c r="AC91" s="14" t="str">
        <f>IF(OR(T91="",E91=""),"",T91&amp;"|"&amp;E91)</f>
        <v/>
      </c>
      <c r="AD91" s="14" t="str">
        <f>IF(OR(U91="",E91=""),"",U91&amp;"|"&amp;E91)</f>
        <v/>
      </c>
      <c r="AE91" s="14" t="str">
        <f>IF(OR(V91="",E91=""),"",V91&amp;"|"&amp;E91)</f>
        <v/>
      </c>
      <c r="AF91" s="14">
        <f>IF(OR(D91="",E91=""),0,COUNTIF($AC$9:$AC$158,D91&amp;"|"&amp;E91)+COUNTIF($AD$9:$AD$158,D91&amp;"|"&amp;E91)+COUNTIF($AE$9:$AE$158,D91&amp;"|"&amp;E91))</f>
        <v>0</v>
      </c>
      <c r="AG91" s="14">
        <f>Z91+AA91+AB91+AF91</f>
        <v>0</v>
      </c>
      <c r="AH91" s="14" t="str">
        <f>IF(OR(D91="",E91=""),"",IFERROR(MATCH(D91&amp;"|"&amp;E91,$AC$9:$AC$158,0),""))</f>
        <v/>
      </c>
      <c r="AI91" s="14" t="str">
        <f>IF(OR(D91="",E91=""),"",IFERROR(MATCH(D91&amp;"|"&amp;E91,$AD$9:$AD$158,0),""))</f>
        <v/>
      </c>
      <c r="AJ91" s="14" t="str">
        <f>IF(OR(D91="",E91=""),"",IFERROR(MATCH(D91&amp;"|"&amp;E91,$AE$9:$AE$158,0),""))</f>
        <v/>
      </c>
      <c r="AK91" s="14" t="str">
        <f>IF(Z91=1,IFERROR(INDEX($F$9:$F$158,MATCH(T91,$D$9:$D$158,0)),"")&amp;"、","")&amp;IF(AA91=1,IFERROR(INDEX($F$9:$F$158,MATCH(U91,$D$9:$D$158,0)),"")&amp;"、","")&amp;IF(AB91=1,IFERROR(INDEX($F$9:$F$158,MATCH(V91,$D$9:$D$158,0)),"")&amp;"、","")</f>
        <v/>
      </c>
      <c r="AL91" s="14" t="str">
        <f>IF(OR(AH91=""),"",IF(OR(INDEX($D$9:$D$158,AH91)=T91,INDEX($D$9:$D$158,AH91)=U91,INDEX($D$9:$D$158,AH91)=V91),"",INDEX($F$9:$F$158,AH91)&amp;"、"))&amp;IF(OR(AI91="",AI91=AH91),"",IF(OR(INDEX($D$9:$D$158,AI91)=T91,INDEX($D$9:$D$158,AI91)=U91,INDEX($D$9:$D$158,AI91)=V91),"",INDEX($F$9:$F$158,AI91)&amp;"、"))&amp;IF(OR(AJ91="",AJ91=AH91,AJ91=AI91),"",IF(OR(INDEX($D$9:$D$158,AJ91)=T91,INDEX($D$9:$D$158,AJ91)=U91,INDEX($D$9:$D$158,AJ91)=V91),"",INDEX($F$9:$F$158,AJ91)&amp;"、"))</f>
        <v/>
      </c>
      <c r="AM91" s="14" t="str">
        <f>IF(T91="","",IFERROR(INDEX('①名簿入力'!$C$4:$C$153,MATCH(T91,'①名簿入力'!$A$4:$A$153,0)),"?")&amp;IF(W91="","","("&amp;W91&amp;"組)"))</f>
        <v/>
      </c>
      <c r="AN91" s="14" t="str">
        <f>IF(U91="","",IFERROR(INDEX('①名簿入力'!$C$4:$C$153,MATCH(U91,'①名簿入力'!$A$4:$A$153,0)),"?")&amp;IF(X91="","","("&amp;X91&amp;"組)"))</f>
        <v/>
      </c>
      <c r="AO91" s="14" t="str">
        <f>IF(V91="","",IFERROR(INDEX('①名簿入力'!$C$4:$C$153,MATCH(V91,'①名簿入力'!$A$4:$A$153,0)),"?")&amp;IF(Y91="","","("&amp;Y91&amp;"組)"))</f>
        <v/>
      </c>
      <c r="AP91" s="14">
        <f>IF(G91="男",1,IF(G91="女",2,3))</f>
        <v>1</v>
      </c>
      <c r="AQ91" s="14">
        <f>IF(OR(S91="",E91=""),"",IFERROR(IF('③クラス一覧'!$AD$6="番号順",0,AP91*1000000000)+D91,""))</f>
        <v>1000002313</v>
      </c>
      <c r="AR91" s="14">
        <f>IF(AQ91="","",COUNTIFS($E$9:$E$158,E91,$AQ$9:$AQ$158,"&lt;"&amp;AQ91)+1)</f>
        <v>15</v>
      </c>
      <c r="AS91" s="14" t="str">
        <f>IF(AR91="","",E91&amp;"-"&amp;AR91)</f>
        <v>2-15</v>
      </c>
      <c r="AT91" s="14">
        <f>IF(S91="","",IF(INDEX('①名簿入力'!$F$4:$F$153,S91)="","",INDEX('①名簿入力'!$F$4:$F$153,S91)))</f>
        <v>53</v>
      </c>
      <c r="AU91" s="14">
        <f>IF(S91="","",IF(INDEX('①名簿入力'!$G$4:$G$153,S91)="","",INDEX('①名簿入力'!$G$4:$G$153,S91)))</f>
        <v>67</v>
      </c>
      <c r="AV91" s="14">
        <f>IF(S91="","",IF(INDEX('①名簿入力'!$H$4:$H$153,S91)="","",INDEX('①名簿入力'!$H$4:$H$153,S91)))</f>
        <v>45</v>
      </c>
      <c r="AW91" s="14">
        <f>IF(S91="","",IF(INDEX('①名簿入力'!$I$4:$I$153,S91)="","",INDEX('①名簿入力'!$I$4:$I$153,S91)))</f>
        <v>55</v>
      </c>
      <c r="AX91" s="14">
        <f>IF(S91="","",IF(INDEX('①名簿入力'!$J$4:$J$153,S91)="","",INDEX('①名簿入力'!$J$4:$J$153,S91)))</f>
        <v>58</v>
      </c>
    </row>
    <row r="92">
      <c r="A92" s="23">
        <f>IF('①名簿入力'!A87="","",'①名簿入力'!A87)</f>
        <v>2314</v>
      </c>
      <c r="B92" s="23">
        <f>IF(A92="","",'①名簿入力'!U87)</f>
        <v>1</v>
      </c>
      <c r="D92" s="8" t="n">
        <v>2314</v>
      </c>
      <c r="E92" s="24" t="n">
        <v>1</v>
      </c>
      <c r="F92" s="25" t="str">
        <f>IF(D92="","",IF(S92="","（名簿にない番号）",INDEX('①名簿入力'!$C$4:$C$153,S92)&amp;""))</f>
        <v>小川　詩織</v>
      </c>
      <c r="G92" s="13" t="str">
        <f>IF(S92="","",INDEX('①名簿入力'!$E$4:$E$153,S92)&amp;"")</f>
        <v>女</v>
      </c>
      <c r="H92" s="13">
        <f>IF(S92="","",IF(INDEX('①名簿入力'!$B$4:$B$153,S92)="","",INDEX('①名簿入力'!$B$4:$B$153,S92)))</f>
        <v>3</v>
      </c>
      <c r="I92" s="10">
        <f>IF(S92="","",IF(INDEX('①名簿入力'!$K$4:$K$153,S92)="","",INDEX('①名簿入力'!$K$4:$K$153,S92)))</f>
        <v>82.2</v>
      </c>
      <c r="J92" s="10">
        <f>IF(S92="","",IF(INDEX('①名簿入力'!$L$4:$L$153,S92)="","",INDEX('①名簿入力'!$L$4:$L$153,S92)))</f>
        <v>8.9</v>
      </c>
      <c r="K92" s="13" t="str">
        <f>IF(S92="","",IF(INDEX('①名簿入力'!$Y$4:$Y$153,S92)=1,"〇",""))</f>
        <v/>
      </c>
      <c r="L92" s="13" t="str">
        <f>IF(S92="","",IF(INDEX('①名簿入力'!$Z$4:$Z$153,S92)=1,"〇",""))</f>
        <v/>
      </c>
      <c r="M92" s="13" t="str">
        <f>IF(S92="","",IF(INDEX('①名簿入力'!$AA$4:$AA$153,S92)=1,"〇",""))</f>
        <v>〇</v>
      </c>
      <c r="N92" s="13" t="str">
        <f>IF(S92="","",IF(INDEX('①名簿入力'!$AB$4:$AB$153,S92)=1,"〇",""))</f>
        <v/>
      </c>
      <c r="O92" s="25" t="str">
        <f>AM92&amp;IF(AND(AM92&lt;&gt;"",AN92&lt;&gt;""),"、","")&amp;AN92&amp;IF(AND(AM92&amp;AN92&lt;&gt;"",AO92&lt;&gt;""),"、","")&amp;AO92</f>
        <v/>
      </c>
      <c r="P92" s="25" t="str">
        <f>IF(AG92=0,"",IF(AK92&amp;AL92="","⚠",LEFT(AK92&amp;AL92,LEN(AK92&amp;AL92)-1)))</f>
        <v/>
      </c>
      <c r="Q92" s="25" t="str">
        <f>IF(S92="","",INDEX('①名簿入力'!$T$4:$T$153,S92)&amp;"")</f>
        <v/>
      </c>
      <c r="S92" s="14">
        <f>IF(D92="","",IFERROR(MATCH(D92,'①名簿入力'!$A$4:$A$153,0),""))</f>
        <v>84</v>
      </c>
      <c r="T92" s="14" t="str">
        <f>IF(S92="","",IF(INDEX('①名簿入力'!$AG$4:$AG$153,S92)=D92,"",INDEX('①名簿入力'!$AG$4:$AG$153,S92)))</f>
        <v/>
      </c>
      <c r="U92" s="14" t="str">
        <f>IF(S92="","",IF(INDEX('①名簿入力'!$AH$4:$AH$153,S92)=D92,"",INDEX('①名簿入力'!$AH$4:$AH$153,S92)))</f>
        <v/>
      </c>
      <c r="V92" s="14" t="str">
        <f>IF(S92="","",IF(INDEX('①名簿入力'!$AI$4:$AI$153,S92)=D92,"",INDEX('①名簿入力'!$AI$4:$AI$153,S92)))</f>
        <v/>
      </c>
      <c r="W92" s="14" t="str">
        <f>IF(T92="","",IFERROR(IF(INDEX($E$9:$E$158,MATCH(T92,$D$9:$D$158,0))="","",INDEX($E$9:$E$158,MATCH(T92,$D$9:$D$158,0))),""))</f>
        <v/>
      </c>
      <c r="X92" s="14" t="str">
        <f>IF(U92="","",IFERROR(IF(INDEX($E$9:$E$158,MATCH(U92,$D$9:$D$158,0))="","",INDEX($E$9:$E$158,MATCH(U92,$D$9:$D$158,0))),""))</f>
        <v/>
      </c>
      <c r="Y92" s="14" t="str">
        <f>IF(V92="","",IFERROR(IF(INDEX($E$9:$E$158,MATCH(V92,$D$9:$D$158,0))="","",INDEX($E$9:$E$158,MATCH(V92,$D$9:$D$158,0))),""))</f>
        <v/>
      </c>
      <c r="Z92" s="14">
        <f>IF(AND(T92&lt;&gt;"",W92&lt;&gt;"",E92&lt;&gt;""),IF(W92=E92,1,0),0)</f>
        <v>0</v>
      </c>
      <c r="AA92" s="14">
        <f>IF(AND(U92&lt;&gt;"",X92&lt;&gt;"",E92&lt;&gt;""),IF(X92=E92,1,0),0)</f>
        <v>0</v>
      </c>
      <c r="AB92" s="14">
        <f>IF(AND(V92&lt;&gt;"",Y92&lt;&gt;"",E92&lt;&gt;""),IF(Y92=E92,1,0),0)</f>
        <v>0</v>
      </c>
      <c r="AC92" s="14" t="str">
        <f>IF(OR(T92="",E92=""),"",T92&amp;"|"&amp;E92)</f>
        <v/>
      </c>
      <c r="AD92" s="14" t="str">
        <f>IF(OR(U92="",E92=""),"",U92&amp;"|"&amp;E92)</f>
        <v/>
      </c>
      <c r="AE92" s="14" t="str">
        <f>IF(OR(V92="",E92=""),"",V92&amp;"|"&amp;E92)</f>
        <v/>
      </c>
      <c r="AF92" s="14">
        <f>IF(OR(D92="",E92=""),0,COUNTIF($AC$9:$AC$158,D92&amp;"|"&amp;E92)+COUNTIF($AD$9:$AD$158,D92&amp;"|"&amp;E92)+COUNTIF($AE$9:$AE$158,D92&amp;"|"&amp;E92))</f>
        <v>0</v>
      </c>
      <c r="AG92" s="14">
        <f>Z92+AA92+AB92+AF92</f>
        <v>0</v>
      </c>
      <c r="AH92" s="14" t="str">
        <f>IF(OR(D92="",E92=""),"",IFERROR(MATCH(D92&amp;"|"&amp;E92,$AC$9:$AC$158,0),""))</f>
        <v/>
      </c>
      <c r="AI92" s="14" t="str">
        <f>IF(OR(D92="",E92=""),"",IFERROR(MATCH(D92&amp;"|"&amp;E92,$AD$9:$AD$158,0),""))</f>
        <v/>
      </c>
      <c r="AJ92" s="14" t="str">
        <f>IF(OR(D92="",E92=""),"",IFERROR(MATCH(D92&amp;"|"&amp;E92,$AE$9:$AE$158,0),""))</f>
        <v/>
      </c>
      <c r="AK92" s="14" t="str">
        <f>IF(Z92=1,IFERROR(INDEX($F$9:$F$158,MATCH(T92,$D$9:$D$158,0)),"")&amp;"、","")&amp;IF(AA92=1,IFERROR(INDEX($F$9:$F$158,MATCH(U92,$D$9:$D$158,0)),"")&amp;"、","")&amp;IF(AB92=1,IFERROR(INDEX($F$9:$F$158,MATCH(V92,$D$9:$D$158,0)),"")&amp;"、","")</f>
        <v/>
      </c>
      <c r="AL92" s="14" t="str">
        <f>IF(OR(AH92=""),"",IF(OR(INDEX($D$9:$D$158,AH92)=T92,INDEX($D$9:$D$158,AH92)=U92,INDEX($D$9:$D$158,AH92)=V92),"",INDEX($F$9:$F$158,AH92)&amp;"、"))&amp;IF(OR(AI92="",AI92=AH92),"",IF(OR(INDEX($D$9:$D$158,AI92)=T92,INDEX($D$9:$D$158,AI92)=U92,INDEX($D$9:$D$158,AI92)=V92),"",INDEX($F$9:$F$158,AI92)&amp;"、"))&amp;IF(OR(AJ92="",AJ92=AH92,AJ92=AI92),"",IF(OR(INDEX($D$9:$D$158,AJ92)=T92,INDEX($D$9:$D$158,AJ92)=U92,INDEX($D$9:$D$158,AJ92)=V92),"",INDEX($F$9:$F$158,AJ92)&amp;"、"))</f>
        <v/>
      </c>
      <c r="AM92" s="14" t="str">
        <f>IF(T92="","",IFERROR(INDEX('①名簿入力'!$C$4:$C$153,MATCH(T92,'①名簿入力'!$A$4:$A$153,0)),"?")&amp;IF(W92="","","("&amp;W92&amp;"組)"))</f>
        <v/>
      </c>
      <c r="AN92" s="14" t="str">
        <f>IF(U92="","",IFERROR(INDEX('①名簿入力'!$C$4:$C$153,MATCH(U92,'①名簿入力'!$A$4:$A$153,0)),"?")&amp;IF(X92="","","("&amp;X92&amp;"組)"))</f>
        <v/>
      </c>
      <c r="AO92" s="14" t="str">
        <f>IF(V92="","",IFERROR(INDEX('①名簿入力'!$C$4:$C$153,MATCH(V92,'①名簿入力'!$A$4:$A$153,0)),"?")&amp;IF(Y92="","","("&amp;Y92&amp;"組)"))</f>
        <v/>
      </c>
      <c r="AP92" s="14">
        <f>IF(G92="男",1,IF(G92="女",2,3))</f>
        <v>2</v>
      </c>
      <c r="AQ92" s="14">
        <f>IF(OR(S92="",E92=""),"",IFERROR(IF('③クラス一覧'!$AD$6="番号順",0,AP92*1000000000)+D92,""))</f>
        <v>2000002314</v>
      </c>
      <c r="AR92" s="14">
        <f>IF(AQ92="","",COUNTIFS($E$9:$E$158,E92,$AQ$9:$AQ$158,"&lt;"&amp;AQ92)+1)</f>
        <v>32</v>
      </c>
      <c r="AS92" s="14" t="str">
        <f>IF(AR92="","",E92&amp;"-"&amp;AR92)</f>
        <v>1-32</v>
      </c>
      <c r="AT92" s="14">
        <f>IF(S92="","",IF(INDEX('①名簿入力'!$F$4:$F$153,S92)="","",INDEX('①名簿入力'!$F$4:$F$153,S92)))</f>
        <v>98</v>
      </c>
      <c r="AU92" s="14">
        <f>IF(S92="","",IF(INDEX('①名簿入力'!$G$4:$G$153,S92)="","",INDEX('①名簿入力'!$G$4:$G$153,S92)))</f>
        <v>75</v>
      </c>
      <c r="AV92" s="14">
        <f>IF(S92="","",IF(INDEX('①名簿入力'!$H$4:$H$153,S92)="","",INDEX('①名簿入力'!$H$4:$H$153,S92)))</f>
        <v>71</v>
      </c>
      <c r="AW92" s="14">
        <f>IF(S92="","",IF(INDEX('①名簿入力'!$I$4:$I$153,S92)="","",INDEX('①名簿入力'!$I$4:$I$153,S92)))</f>
        <v>81</v>
      </c>
      <c r="AX92" s="14">
        <f>IF(S92="","",IF(INDEX('①名簿入力'!$J$4:$J$153,S92)="","",INDEX('①名簿入力'!$J$4:$J$153,S92)))</f>
        <v>86</v>
      </c>
    </row>
    <row r="93">
      <c r="A93" s="23">
        <f>IF('①名簿入力'!A88="","",'①名簿入力'!A88)</f>
        <v>2315</v>
      </c>
      <c r="B93" s="23">
        <f>IF(A93="","",'①名簿入力'!U88)</f>
        <v>3</v>
      </c>
      <c r="D93" s="8" t="n">
        <v>2315</v>
      </c>
      <c r="E93" s="24" t="n">
        <v>3</v>
      </c>
      <c r="F93" s="25" t="str">
        <f>IF(D93="","",IF(S93="","（名簿にない番号）",INDEX('①名簿入力'!$C$4:$C$153,S93)&amp;""))</f>
        <v>加藤　駿</v>
      </c>
      <c r="G93" s="13" t="str">
        <f>IF(S93="","",INDEX('①名簿入力'!$E$4:$E$153,S93)&amp;"")</f>
        <v>男</v>
      </c>
      <c r="H93" s="13">
        <f>IF(S93="","",IF(INDEX('①名簿入力'!$B$4:$B$153,S93)="","",INDEX('①名簿入力'!$B$4:$B$153,S93)))</f>
        <v>3</v>
      </c>
      <c r="I93" s="10">
        <f>IF(S93="","",IF(INDEX('①名簿入力'!$K$4:$K$153,S93)="","",INDEX('①名簿入力'!$K$4:$K$153,S93)))</f>
        <v>74.6</v>
      </c>
      <c r="J93" s="10">
        <f>IF(S93="","",IF(INDEX('①名簿入力'!$L$4:$L$153,S93)="","",INDEX('①名簿入力'!$L$4:$L$153,S93)))</f>
        <v>7.7</v>
      </c>
      <c r="K93" s="13" t="str">
        <f>IF(S93="","",IF(INDEX('①名簿入力'!$Y$4:$Y$153,S93)=1,"〇",""))</f>
        <v/>
      </c>
      <c r="L93" s="13" t="str">
        <f>IF(S93="","",IF(INDEX('①名簿入力'!$Z$4:$Z$153,S93)=1,"〇",""))</f>
        <v/>
      </c>
      <c r="M93" s="13" t="str">
        <f>IF(S93="","",IF(INDEX('①名簿入力'!$AA$4:$AA$153,S93)=1,"〇",""))</f>
        <v/>
      </c>
      <c r="N93" s="13" t="str">
        <f>IF(S93="","",IF(INDEX('①名簿入力'!$AB$4:$AB$153,S93)=1,"〇",""))</f>
        <v/>
      </c>
      <c r="O93" s="25" t="str">
        <f>AM93&amp;IF(AND(AM93&lt;&gt;"",AN93&lt;&gt;""),"、","")&amp;AN93&amp;IF(AND(AM93&amp;AN93&lt;&gt;"",AO93&lt;&gt;""),"、","")&amp;AO93</f>
        <v/>
      </c>
      <c r="P93" s="25" t="str">
        <f>IF(AG93=0,"",IF(AK93&amp;AL93="","⚠",LEFT(AK93&amp;AL93,LEN(AK93&amp;AL93)-1)))</f>
        <v/>
      </c>
      <c r="Q93" s="25" t="str">
        <f>IF(S93="","",INDEX('①名簿入力'!$T$4:$T$153,S93)&amp;"")</f>
        <v/>
      </c>
      <c r="S93" s="14">
        <f>IF(D93="","",IFERROR(MATCH(D93,'①名簿入力'!$A$4:$A$153,0),""))</f>
        <v>85</v>
      </c>
      <c r="T93" s="14" t="str">
        <f>IF(S93="","",IF(INDEX('①名簿入力'!$AG$4:$AG$153,S93)=D93,"",INDEX('①名簿入力'!$AG$4:$AG$153,S93)))</f>
        <v/>
      </c>
      <c r="U93" s="14" t="str">
        <f>IF(S93="","",IF(INDEX('①名簿入力'!$AH$4:$AH$153,S93)=D93,"",INDEX('①名簿入力'!$AH$4:$AH$153,S93)))</f>
        <v/>
      </c>
      <c r="V93" s="14" t="str">
        <f>IF(S93="","",IF(INDEX('①名簿入力'!$AI$4:$AI$153,S93)=D93,"",INDEX('①名簿入力'!$AI$4:$AI$153,S93)))</f>
        <v/>
      </c>
      <c r="W93" s="14" t="str">
        <f>IF(T93="","",IFERROR(IF(INDEX($E$9:$E$158,MATCH(T93,$D$9:$D$158,0))="","",INDEX($E$9:$E$158,MATCH(T93,$D$9:$D$158,0))),""))</f>
        <v/>
      </c>
      <c r="X93" s="14" t="str">
        <f>IF(U93="","",IFERROR(IF(INDEX($E$9:$E$158,MATCH(U93,$D$9:$D$158,0))="","",INDEX($E$9:$E$158,MATCH(U93,$D$9:$D$158,0))),""))</f>
        <v/>
      </c>
      <c r="Y93" s="14" t="str">
        <f>IF(V93="","",IFERROR(IF(INDEX($E$9:$E$158,MATCH(V93,$D$9:$D$158,0))="","",INDEX($E$9:$E$158,MATCH(V93,$D$9:$D$158,0))),""))</f>
        <v/>
      </c>
      <c r="Z93" s="14">
        <f>IF(AND(T93&lt;&gt;"",W93&lt;&gt;"",E93&lt;&gt;""),IF(W93=E93,1,0),0)</f>
        <v>0</v>
      </c>
      <c r="AA93" s="14">
        <f>IF(AND(U93&lt;&gt;"",X93&lt;&gt;"",E93&lt;&gt;""),IF(X93=E93,1,0),0)</f>
        <v>0</v>
      </c>
      <c r="AB93" s="14">
        <f>IF(AND(V93&lt;&gt;"",Y93&lt;&gt;"",E93&lt;&gt;""),IF(Y93=E93,1,0),0)</f>
        <v>0</v>
      </c>
      <c r="AC93" s="14" t="str">
        <f>IF(OR(T93="",E93=""),"",T93&amp;"|"&amp;E93)</f>
        <v/>
      </c>
      <c r="AD93" s="14" t="str">
        <f>IF(OR(U93="",E93=""),"",U93&amp;"|"&amp;E93)</f>
        <v/>
      </c>
      <c r="AE93" s="14" t="str">
        <f>IF(OR(V93="",E93=""),"",V93&amp;"|"&amp;E93)</f>
        <v/>
      </c>
      <c r="AF93" s="14">
        <f>IF(OR(D93="",E93=""),0,COUNTIF($AC$9:$AC$158,D93&amp;"|"&amp;E93)+COUNTIF($AD$9:$AD$158,D93&amp;"|"&amp;E93)+COUNTIF($AE$9:$AE$158,D93&amp;"|"&amp;E93))</f>
        <v>0</v>
      </c>
      <c r="AG93" s="14">
        <f>Z93+AA93+AB93+AF93</f>
        <v>0</v>
      </c>
      <c r="AH93" s="14" t="str">
        <f>IF(OR(D93="",E93=""),"",IFERROR(MATCH(D93&amp;"|"&amp;E93,$AC$9:$AC$158,0),""))</f>
        <v/>
      </c>
      <c r="AI93" s="14" t="str">
        <f>IF(OR(D93="",E93=""),"",IFERROR(MATCH(D93&amp;"|"&amp;E93,$AD$9:$AD$158,0),""))</f>
        <v/>
      </c>
      <c r="AJ93" s="14" t="str">
        <f>IF(OR(D93="",E93=""),"",IFERROR(MATCH(D93&amp;"|"&amp;E93,$AE$9:$AE$158,0),""))</f>
        <v/>
      </c>
      <c r="AK93" s="14" t="str">
        <f>IF(Z93=1,IFERROR(INDEX($F$9:$F$158,MATCH(T93,$D$9:$D$158,0)),"")&amp;"、","")&amp;IF(AA93=1,IFERROR(INDEX($F$9:$F$158,MATCH(U93,$D$9:$D$158,0)),"")&amp;"、","")&amp;IF(AB93=1,IFERROR(INDEX($F$9:$F$158,MATCH(V93,$D$9:$D$158,0)),"")&amp;"、","")</f>
        <v/>
      </c>
      <c r="AL93" s="14" t="str">
        <f>IF(OR(AH93=""),"",IF(OR(INDEX($D$9:$D$158,AH93)=T93,INDEX($D$9:$D$158,AH93)=U93,INDEX($D$9:$D$158,AH93)=V93),"",INDEX($F$9:$F$158,AH93)&amp;"、"))&amp;IF(OR(AI93="",AI93=AH93),"",IF(OR(INDEX($D$9:$D$158,AI93)=T93,INDEX($D$9:$D$158,AI93)=U93,INDEX($D$9:$D$158,AI93)=V93),"",INDEX($F$9:$F$158,AI93)&amp;"、"))&amp;IF(OR(AJ93="",AJ93=AH93,AJ93=AI93),"",IF(OR(INDEX($D$9:$D$158,AJ93)=T93,INDEX($D$9:$D$158,AJ93)=U93,INDEX($D$9:$D$158,AJ93)=V93),"",INDEX($F$9:$F$158,AJ93)&amp;"、"))</f>
        <v/>
      </c>
      <c r="AM93" s="14" t="str">
        <f>IF(T93="","",IFERROR(INDEX('①名簿入力'!$C$4:$C$153,MATCH(T93,'①名簿入力'!$A$4:$A$153,0)),"?")&amp;IF(W93="","","("&amp;W93&amp;"組)"))</f>
        <v/>
      </c>
      <c r="AN93" s="14" t="str">
        <f>IF(U93="","",IFERROR(INDEX('①名簿入力'!$C$4:$C$153,MATCH(U93,'①名簿入力'!$A$4:$A$153,0)),"?")&amp;IF(X93="","","("&amp;X93&amp;"組)"))</f>
        <v/>
      </c>
      <c r="AO93" s="14" t="str">
        <f>IF(V93="","",IFERROR(INDEX('①名簿入力'!$C$4:$C$153,MATCH(V93,'①名簿入力'!$A$4:$A$153,0)),"?")&amp;IF(Y93="","","("&amp;Y93&amp;"組)"))</f>
        <v/>
      </c>
      <c r="AP93" s="14">
        <f>IF(G93="男",1,IF(G93="女",2,3))</f>
        <v>1</v>
      </c>
      <c r="AQ93" s="14">
        <f>IF(OR(S93="",E93=""),"",IFERROR(IF('③クラス一覧'!$AD$6="番号順",0,AP93*1000000000)+D93,""))</f>
        <v>1000002315</v>
      </c>
      <c r="AR93" s="14">
        <f>IF(AQ93="","",COUNTIFS($E$9:$E$158,E93,$AQ$9:$AQ$158,"&lt;"&amp;AQ93)+1)</f>
        <v>17</v>
      </c>
      <c r="AS93" s="14" t="str">
        <f>IF(AR93="","",E93&amp;"-"&amp;AR93)</f>
        <v>3-17</v>
      </c>
      <c r="AT93" s="14">
        <f>IF(S93="","",IF(INDEX('①名簿入力'!$F$4:$F$153,S93)="","",INDEX('①名簿入力'!$F$4:$F$153,S93)))</f>
        <v>74</v>
      </c>
      <c r="AU93" s="14">
        <f>IF(S93="","",IF(INDEX('①名簿入力'!$G$4:$G$153,S93)="","",INDEX('①名簿入力'!$G$4:$G$153,S93)))</f>
        <v>77</v>
      </c>
      <c r="AV93" s="14">
        <f>IF(S93="","",IF(INDEX('①名簿入力'!$H$4:$H$153,S93)="","",INDEX('①名簿入力'!$H$4:$H$153,S93)))</f>
        <v>72</v>
      </c>
      <c r="AW93" s="14">
        <f>IF(S93="","",IF(INDEX('①名簿入力'!$I$4:$I$153,S93)="","",INDEX('①名簿入力'!$I$4:$I$153,S93)))</f>
        <v>72</v>
      </c>
      <c r="AX93" s="14">
        <f>IF(S93="","",IF(INDEX('①名簿入力'!$J$4:$J$153,S93)="","",INDEX('①名簿入力'!$J$4:$J$153,S93)))</f>
        <v>78</v>
      </c>
    </row>
    <row r="94">
      <c r="A94" s="23">
        <f>IF('①名簿入力'!A89="","",'①名簿入力'!A89)</f>
        <v>2316</v>
      </c>
      <c r="B94" s="23">
        <f>IF(A94="","",'①名簿入力'!U89)</f>
        <v>2</v>
      </c>
      <c r="D94" s="8" t="n">
        <v>2316</v>
      </c>
      <c r="E94" s="24" t="n">
        <v>2</v>
      </c>
      <c r="F94" s="25" t="str">
        <f>IF(D94="","",IF(S94="","（名簿にない番号）",INDEX('①名簿入力'!$C$4:$C$153,S94)&amp;""))</f>
        <v>小林　理沙</v>
      </c>
      <c r="G94" s="13" t="str">
        <f>IF(S94="","",INDEX('①名簿入力'!$E$4:$E$153,S94)&amp;"")</f>
        <v>女</v>
      </c>
      <c r="H94" s="13">
        <f>IF(S94="","",IF(INDEX('①名簿入力'!$B$4:$B$153,S94)="","",INDEX('①名簿入力'!$B$4:$B$153,S94)))</f>
        <v>3</v>
      </c>
      <c r="I94" s="10">
        <f>IF(S94="","",IF(INDEX('①名簿入力'!$K$4:$K$153,S94)="","",INDEX('①名簿入力'!$K$4:$K$153,S94)))</f>
        <v>51.4</v>
      </c>
      <c r="J94" s="10">
        <f>IF(S94="","",IF(INDEX('①名簿入力'!$L$4:$L$153,S94)="","",INDEX('①名簿入力'!$L$4:$L$153,S94)))</f>
        <v>8.9</v>
      </c>
      <c r="K94" s="13" t="str">
        <f>IF(S94="","",IF(INDEX('①名簿入力'!$Y$4:$Y$153,S94)=1,"〇",""))</f>
        <v/>
      </c>
      <c r="L94" s="13" t="str">
        <f>IF(S94="","",IF(INDEX('①名簿入力'!$Z$4:$Z$153,S94)=1,"〇",""))</f>
        <v/>
      </c>
      <c r="M94" s="13" t="str">
        <f>IF(S94="","",IF(INDEX('①名簿入力'!$AA$4:$AA$153,S94)=1,"〇",""))</f>
        <v/>
      </c>
      <c r="N94" s="13" t="str">
        <f>IF(S94="","",IF(INDEX('①名簿入力'!$AB$4:$AB$153,S94)=1,"〇",""))</f>
        <v/>
      </c>
      <c r="O94" s="25" t="str">
        <f>AM94&amp;IF(AND(AM94&lt;&gt;"",AN94&lt;&gt;""),"、","")&amp;AN94&amp;IF(AND(AM94&amp;AN94&lt;&gt;"",AO94&lt;&gt;""),"、","")&amp;AO94</f>
        <v/>
      </c>
      <c r="P94" s="25" t="str">
        <f>IF(AG94=0,"",IF(AK94&amp;AL94="","⚠",LEFT(AK94&amp;AL94,LEN(AK94&amp;AL94)-1)))</f>
        <v/>
      </c>
      <c r="Q94" s="25" t="str">
        <f>IF(S94="","",INDEX('①名簿入力'!$T$4:$T$153,S94)&amp;"")</f>
        <v/>
      </c>
      <c r="S94" s="14">
        <f>IF(D94="","",IFERROR(MATCH(D94,'①名簿入力'!$A$4:$A$153,0),""))</f>
        <v>86</v>
      </c>
      <c r="T94" s="14" t="str">
        <f>IF(S94="","",IF(INDEX('①名簿入力'!$AG$4:$AG$153,S94)=D94,"",INDEX('①名簿入力'!$AG$4:$AG$153,S94)))</f>
        <v/>
      </c>
      <c r="U94" s="14" t="str">
        <f>IF(S94="","",IF(INDEX('①名簿入力'!$AH$4:$AH$153,S94)=D94,"",INDEX('①名簿入力'!$AH$4:$AH$153,S94)))</f>
        <v/>
      </c>
      <c r="V94" s="14" t="str">
        <f>IF(S94="","",IF(INDEX('①名簿入力'!$AI$4:$AI$153,S94)=D94,"",INDEX('①名簿入力'!$AI$4:$AI$153,S94)))</f>
        <v/>
      </c>
      <c r="W94" s="14" t="str">
        <f>IF(T94="","",IFERROR(IF(INDEX($E$9:$E$158,MATCH(T94,$D$9:$D$158,0))="","",INDEX($E$9:$E$158,MATCH(T94,$D$9:$D$158,0))),""))</f>
        <v/>
      </c>
      <c r="X94" s="14" t="str">
        <f>IF(U94="","",IFERROR(IF(INDEX($E$9:$E$158,MATCH(U94,$D$9:$D$158,0))="","",INDEX($E$9:$E$158,MATCH(U94,$D$9:$D$158,0))),""))</f>
        <v/>
      </c>
      <c r="Y94" s="14" t="str">
        <f>IF(V94="","",IFERROR(IF(INDEX($E$9:$E$158,MATCH(V94,$D$9:$D$158,0))="","",INDEX($E$9:$E$158,MATCH(V94,$D$9:$D$158,0))),""))</f>
        <v/>
      </c>
      <c r="Z94" s="14">
        <f>IF(AND(T94&lt;&gt;"",W94&lt;&gt;"",E94&lt;&gt;""),IF(W94=E94,1,0),0)</f>
        <v>0</v>
      </c>
      <c r="AA94" s="14">
        <f>IF(AND(U94&lt;&gt;"",X94&lt;&gt;"",E94&lt;&gt;""),IF(X94=E94,1,0),0)</f>
        <v>0</v>
      </c>
      <c r="AB94" s="14">
        <f>IF(AND(V94&lt;&gt;"",Y94&lt;&gt;"",E94&lt;&gt;""),IF(Y94=E94,1,0),0)</f>
        <v>0</v>
      </c>
      <c r="AC94" s="14" t="str">
        <f>IF(OR(T94="",E94=""),"",T94&amp;"|"&amp;E94)</f>
        <v/>
      </c>
      <c r="AD94" s="14" t="str">
        <f>IF(OR(U94="",E94=""),"",U94&amp;"|"&amp;E94)</f>
        <v/>
      </c>
      <c r="AE94" s="14" t="str">
        <f>IF(OR(V94="",E94=""),"",V94&amp;"|"&amp;E94)</f>
        <v/>
      </c>
      <c r="AF94" s="14">
        <f>IF(OR(D94="",E94=""),0,COUNTIF($AC$9:$AC$158,D94&amp;"|"&amp;E94)+COUNTIF($AD$9:$AD$158,D94&amp;"|"&amp;E94)+COUNTIF($AE$9:$AE$158,D94&amp;"|"&amp;E94))</f>
        <v>0</v>
      </c>
      <c r="AG94" s="14">
        <f>Z94+AA94+AB94+AF94</f>
        <v>0</v>
      </c>
      <c r="AH94" s="14" t="str">
        <f>IF(OR(D94="",E94=""),"",IFERROR(MATCH(D94&amp;"|"&amp;E94,$AC$9:$AC$158,0),""))</f>
        <v/>
      </c>
      <c r="AI94" s="14" t="str">
        <f>IF(OR(D94="",E94=""),"",IFERROR(MATCH(D94&amp;"|"&amp;E94,$AD$9:$AD$158,0),""))</f>
        <v/>
      </c>
      <c r="AJ94" s="14" t="str">
        <f>IF(OR(D94="",E94=""),"",IFERROR(MATCH(D94&amp;"|"&amp;E94,$AE$9:$AE$158,0),""))</f>
        <v/>
      </c>
      <c r="AK94" s="14" t="str">
        <f>IF(Z94=1,IFERROR(INDEX($F$9:$F$158,MATCH(T94,$D$9:$D$158,0)),"")&amp;"、","")&amp;IF(AA94=1,IFERROR(INDEX($F$9:$F$158,MATCH(U94,$D$9:$D$158,0)),"")&amp;"、","")&amp;IF(AB94=1,IFERROR(INDEX($F$9:$F$158,MATCH(V94,$D$9:$D$158,0)),"")&amp;"、","")</f>
        <v/>
      </c>
      <c r="AL94" s="14" t="str">
        <f>IF(OR(AH94=""),"",IF(OR(INDEX($D$9:$D$158,AH94)=T94,INDEX($D$9:$D$158,AH94)=U94,INDEX($D$9:$D$158,AH94)=V94),"",INDEX($F$9:$F$158,AH94)&amp;"、"))&amp;IF(OR(AI94="",AI94=AH94),"",IF(OR(INDEX($D$9:$D$158,AI94)=T94,INDEX($D$9:$D$158,AI94)=U94,INDEX($D$9:$D$158,AI94)=V94),"",INDEX($F$9:$F$158,AI94)&amp;"、"))&amp;IF(OR(AJ94="",AJ94=AH94,AJ94=AI94),"",IF(OR(INDEX($D$9:$D$158,AJ94)=T94,INDEX($D$9:$D$158,AJ94)=U94,INDEX($D$9:$D$158,AJ94)=V94),"",INDEX($F$9:$F$158,AJ94)&amp;"、"))</f>
        <v/>
      </c>
      <c r="AM94" s="14" t="str">
        <f>IF(T94="","",IFERROR(INDEX('①名簿入力'!$C$4:$C$153,MATCH(T94,'①名簿入力'!$A$4:$A$153,0)),"?")&amp;IF(W94="","","("&amp;W94&amp;"組)"))</f>
        <v/>
      </c>
      <c r="AN94" s="14" t="str">
        <f>IF(U94="","",IFERROR(INDEX('①名簿入力'!$C$4:$C$153,MATCH(U94,'①名簿入力'!$A$4:$A$153,0)),"?")&amp;IF(X94="","","("&amp;X94&amp;"組)"))</f>
        <v/>
      </c>
      <c r="AO94" s="14" t="str">
        <f>IF(V94="","",IFERROR(INDEX('①名簿入力'!$C$4:$C$153,MATCH(V94,'①名簿入力'!$A$4:$A$153,0)),"?")&amp;IF(Y94="","","("&amp;Y94&amp;"組)"))</f>
        <v/>
      </c>
      <c r="AP94" s="14">
        <f>IF(G94="男",1,IF(G94="女",2,3))</f>
        <v>2</v>
      </c>
      <c r="AQ94" s="14">
        <f>IF(OR(S94="",E94=""),"",IFERROR(IF('③クラス一覧'!$AD$6="番号順",0,AP94*1000000000)+D94,""))</f>
        <v>2000002316</v>
      </c>
      <c r="AR94" s="14">
        <f>IF(AQ94="","",COUNTIFS($E$9:$E$158,E94,$AQ$9:$AQ$158,"&lt;"&amp;AQ94)+1)</f>
        <v>30</v>
      </c>
      <c r="AS94" s="14" t="str">
        <f>IF(AR94="","",E94&amp;"-"&amp;AR94)</f>
        <v>2-30</v>
      </c>
      <c r="AT94" s="14">
        <f>IF(S94="","",IF(INDEX('①名簿入力'!$F$4:$F$153,S94)="","",INDEX('①名簿入力'!$F$4:$F$153,S94)))</f>
        <v>58</v>
      </c>
      <c r="AU94" s="14">
        <f>IF(S94="","",IF(INDEX('①名簿入力'!$G$4:$G$153,S94)="","",INDEX('①名簿入力'!$G$4:$G$153,S94)))</f>
        <v>55</v>
      </c>
      <c r="AV94" s="14">
        <f>IF(S94="","",IF(INDEX('①名簿入力'!$H$4:$H$153,S94)="","",INDEX('①名簿入力'!$H$4:$H$153,S94)))</f>
        <v>39</v>
      </c>
      <c r="AW94" s="14">
        <f>IF(S94="","",IF(INDEX('①名簿入力'!$I$4:$I$153,S94)="","",INDEX('①名簿入力'!$I$4:$I$153,S94)))</f>
        <v>57</v>
      </c>
      <c r="AX94" s="14">
        <f>IF(S94="","",IF(INDEX('①名簿入力'!$J$4:$J$153,S94)="","",INDEX('①名簿入力'!$J$4:$J$153,S94)))</f>
        <v>48</v>
      </c>
    </row>
    <row r="95">
      <c r="A95" s="23">
        <f>IF('①名簿入力'!A90="","",'①名簿入力'!A90)</f>
        <v>2317</v>
      </c>
      <c r="B95" s="23">
        <f>IF(A95="","",'①名簿入力'!U90)</f>
        <v>1</v>
      </c>
      <c r="D95" s="8" t="n">
        <v>2317</v>
      </c>
      <c r="E95" s="24" t="n">
        <v>1</v>
      </c>
      <c r="F95" s="25" t="str">
        <f>IF(D95="","",IF(S95="","（名簿にない番号）",INDEX('①名簿入力'!$C$4:$C$153,S95)&amp;""))</f>
        <v>後藤　花音</v>
      </c>
      <c r="G95" s="13" t="str">
        <f>IF(S95="","",INDEX('①名簿入力'!$E$4:$E$153,S95)&amp;"")</f>
        <v>女</v>
      </c>
      <c r="H95" s="13">
        <f>IF(S95="","",IF(INDEX('①名簿入力'!$B$4:$B$153,S95)="","",INDEX('①名簿入力'!$B$4:$B$153,S95)))</f>
        <v>3</v>
      </c>
      <c r="I95" s="10">
        <f>IF(S95="","",IF(INDEX('①名簿入力'!$K$4:$K$153,S95)="","",INDEX('①名簿入力'!$K$4:$K$153,S95)))</f>
        <v>46.4</v>
      </c>
      <c r="J95" s="10">
        <f>IF(S95="","",IF(INDEX('①名簿入力'!$L$4:$L$153,S95)="","",INDEX('①名簿入力'!$L$4:$L$153,S95)))</f>
        <v>8.7</v>
      </c>
      <c r="K95" s="13" t="str">
        <f>IF(S95="","",IF(INDEX('①名簿入力'!$Y$4:$Y$153,S95)=1,"〇",""))</f>
        <v>〇</v>
      </c>
      <c r="L95" s="13" t="str">
        <f>IF(S95="","",IF(INDEX('①名簿入力'!$Z$4:$Z$153,S95)=1,"〇",""))</f>
        <v/>
      </c>
      <c r="M95" s="13" t="str">
        <f>IF(S95="","",IF(INDEX('①名簿入力'!$AA$4:$AA$153,S95)=1,"〇",""))</f>
        <v/>
      </c>
      <c r="N95" s="13" t="str">
        <f>IF(S95="","",IF(INDEX('①名簿入力'!$AB$4:$AB$153,S95)=1,"〇",""))</f>
        <v/>
      </c>
      <c r="O95" s="25" t="str">
        <f>AM95&amp;IF(AND(AM95&lt;&gt;"",AN95&lt;&gt;""),"、","")&amp;AN95&amp;IF(AND(AM95&amp;AN95&lt;&gt;"",AO95&lt;&gt;""),"、","")&amp;AO95</f>
        <v/>
      </c>
      <c r="P95" s="25" t="str">
        <f>IF(AG95=0,"",IF(AK95&amp;AL95="","⚠",LEFT(AK95&amp;AL95,LEN(AK95&amp;AL95)-1)))</f>
        <v/>
      </c>
      <c r="Q95" s="25" t="str">
        <f>IF(S95="","",INDEX('①名簿入力'!$T$4:$T$153,S95)&amp;"")</f>
        <v/>
      </c>
      <c r="S95" s="14">
        <f>IF(D95="","",IFERROR(MATCH(D95,'①名簿入力'!$A$4:$A$153,0),""))</f>
        <v>87</v>
      </c>
      <c r="T95" s="14" t="str">
        <f>IF(S95="","",IF(INDEX('①名簿入力'!$AG$4:$AG$153,S95)=D95,"",INDEX('①名簿入力'!$AG$4:$AG$153,S95)))</f>
        <v/>
      </c>
      <c r="U95" s="14" t="str">
        <f>IF(S95="","",IF(INDEX('①名簿入力'!$AH$4:$AH$153,S95)=D95,"",INDEX('①名簿入力'!$AH$4:$AH$153,S95)))</f>
        <v/>
      </c>
      <c r="V95" s="14" t="str">
        <f>IF(S95="","",IF(INDEX('①名簿入力'!$AI$4:$AI$153,S95)=D95,"",INDEX('①名簿入力'!$AI$4:$AI$153,S95)))</f>
        <v/>
      </c>
      <c r="W95" s="14" t="str">
        <f>IF(T95="","",IFERROR(IF(INDEX($E$9:$E$158,MATCH(T95,$D$9:$D$158,0))="","",INDEX($E$9:$E$158,MATCH(T95,$D$9:$D$158,0))),""))</f>
        <v/>
      </c>
      <c r="X95" s="14" t="str">
        <f>IF(U95="","",IFERROR(IF(INDEX($E$9:$E$158,MATCH(U95,$D$9:$D$158,0))="","",INDEX($E$9:$E$158,MATCH(U95,$D$9:$D$158,0))),""))</f>
        <v/>
      </c>
      <c r="Y95" s="14" t="str">
        <f>IF(V95="","",IFERROR(IF(INDEX($E$9:$E$158,MATCH(V95,$D$9:$D$158,0))="","",INDEX($E$9:$E$158,MATCH(V95,$D$9:$D$158,0))),""))</f>
        <v/>
      </c>
      <c r="Z95" s="14">
        <f>IF(AND(T95&lt;&gt;"",W95&lt;&gt;"",E95&lt;&gt;""),IF(W95=E95,1,0),0)</f>
        <v>0</v>
      </c>
      <c r="AA95" s="14">
        <f>IF(AND(U95&lt;&gt;"",X95&lt;&gt;"",E95&lt;&gt;""),IF(X95=E95,1,0),0)</f>
        <v>0</v>
      </c>
      <c r="AB95" s="14">
        <f>IF(AND(V95&lt;&gt;"",Y95&lt;&gt;"",E95&lt;&gt;""),IF(Y95=E95,1,0),0)</f>
        <v>0</v>
      </c>
      <c r="AC95" s="14" t="str">
        <f>IF(OR(T95="",E95=""),"",T95&amp;"|"&amp;E95)</f>
        <v/>
      </c>
      <c r="AD95" s="14" t="str">
        <f>IF(OR(U95="",E95=""),"",U95&amp;"|"&amp;E95)</f>
        <v/>
      </c>
      <c r="AE95" s="14" t="str">
        <f>IF(OR(V95="",E95=""),"",V95&amp;"|"&amp;E95)</f>
        <v/>
      </c>
      <c r="AF95" s="14">
        <f>IF(OR(D95="",E95=""),0,COUNTIF($AC$9:$AC$158,D95&amp;"|"&amp;E95)+COUNTIF($AD$9:$AD$158,D95&amp;"|"&amp;E95)+COUNTIF($AE$9:$AE$158,D95&amp;"|"&amp;E95))</f>
        <v>0</v>
      </c>
      <c r="AG95" s="14">
        <f>Z95+AA95+AB95+AF95</f>
        <v>0</v>
      </c>
      <c r="AH95" s="14" t="str">
        <f>IF(OR(D95="",E95=""),"",IFERROR(MATCH(D95&amp;"|"&amp;E95,$AC$9:$AC$158,0),""))</f>
        <v/>
      </c>
      <c r="AI95" s="14" t="str">
        <f>IF(OR(D95="",E95=""),"",IFERROR(MATCH(D95&amp;"|"&amp;E95,$AD$9:$AD$158,0),""))</f>
        <v/>
      </c>
      <c r="AJ95" s="14" t="str">
        <f>IF(OR(D95="",E95=""),"",IFERROR(MATCH(D95&amp;"|"&amp;E95,$AE$9:$AE$158,0),""))</f>
        <v/>
      </c>
      <c r="AK95" s="14" t="str">
        <f>IF(Z95=1,IFERROR(INDEX($F$9:$F$158,MATCH(T95,$D$9:$D$158,0)),"")&amp;"、","")&amp;IF(AA95=1,IFERROR(INDEX($F$9:$F$158,MATCH(U95,$D$9:$D$158,0)),"")&amp;"、","")&amp;IF(AB95=1,IFERROR(INDEX($F$9:$F$158,MATCH(V95,$D$9:$D$158,0)),"")&amp;"、","")</f>
        <v/>
      </c>
      <c r="AL95" s="14" t="str">
        <f>IF(OR(AH95=""),"",IF(OR(INDEX($D$9:$D$158,AH95)=T95,INDEX($D$9:$D$158,AH95)=U95,INDEX($D$9:$D$158,AH95)=V95),"",INDEX($F$9:$F$158,AH95)&amp;"、"))&amp;IF(OR(AI95="",AI95=AH95),"",IF(OR(INDEX($D$9:$D$158,AI95)=T95,INDEX($D$9:$D$158,AI95)=U95,INDEX($D$9:$D$158,AI95)=V95),"",INDEX($F$9:$F$158,AI95)&amp;"、"))&amp;IF(OR(AJ95="",AJ95=AH95,AJ95=AI95),"",IF(OR(INDEX($D$9:$D$158,AJ95)=T95,INDEX($D$9:$D$158,AJ95)=U95,INDEX($D$9:$D$158,AJ95)=V95),"",INDEX($F$9:$F$158,AJ95)&amp;"、"))</f>
        <v/>
      </c>
      <c r="AM95" s="14" t="str">
        <f>IF(T95="","",IFERROR(INDEX('①名簿入力'!$C$4:$C$153,MATCH(T95,'①名簿入力'!$A$4:$A$153,0)),"?")&amp;IF(W95="","","("&amp;W95&amp;"組)"))</f>
        <v/>
      </c>
      <c r="AN95" s="14" t="str">
        <f>IF(U95="","",IFERROR(INDEX('①名簿入力'!$C$4:$C$153,MATCH(U95,'①名簿入力'!$A$4:$A$153,0)),"?")&amp;IF(X95="","","("&amp;X95&amp;"組)"))</f>
        <v/>
      </c>
      <c r="AO95" s="14" t="str">
        <f>IF(V95="","",IFERROR(INDEX('①名簿入力'!$C$4:$C$153,MATCH(V95,'①名簿入力'!$A$4:$A$153,0)),"?")&amp;IF(Y95="","","("&amp;Y95&amp;"組)"))</f>
        <v/>
      </c>
      <c r="AP95" s="14">
        <f>IF(G95="男",1,IF(G95="女",2,3))</f>
        <v>2</v>
      </c>
      <c r="AQ95" s="14">
        <f>IF(OR(S95="",E95=""),"",IFERROR(IF('③クラス一覧'!$AD$6="番号順",0,AP95*1000000000)+D95,""))</f>
        <v>2000002317</v>
      </c>
      <c r="AR95" s="14">
        <f>IF(AQ95="","",COUNTIFS($E$9:$E$158,E95,$AQ$9:$AQ$158,"&lt;"&amp;AQ95)+1)</f>
        <v>33</v>
      </c>
      <c r="AS95" s="14" t="str">
        <f>IF(AR95="","",E95&amp;"-"&amp;AR95)</f>
        <v>1-33</v>
      </c>
      <c r="AT95" s="14">
        <f>IF(S95="","",IF(INDEX('①名簿入力'!$F$4:$F$153,S95)="","",INDEX('①名簿入力'!$F$4:$F$153,S95)))</f>
        <v>43</v>
      </c>
      <c r="AU95" s="14">
        <f>IF(S95="","",IF(INDEX('①名簿入力'!$G$4:$G$153,S95)="","",INDEX('①名簿入力'!$G$4:$G$153,S95)))</f>
        <v>49</v>
      </c>
      <c r="AV95" s="14">
        <f>IF(S95="","",IF(INDEX('①名簿入力'!$H$4:$H$153,S95)="","",INDEX('①名簿入力'!$H$4:$H$153,S95)))</f>
        <v>55</v>
      </c>
      <c r="AW95" s="14">
        <f>IF(S95="","",IF(INDEX('①名簿入力'!$I$4:$I$153,S95)="","",INDEX('①名簿入力'!$I$4:$I$153,S95)))</f>
        <v>48</v>
      </c>
      <c r="AX95" s="14">
        <f>IF(S95="","",IF(INDEX('①名簿入力'!$J$4:$J$153,S95)="","",INDEX('①名簿入力'!$J$4:$J$153,S95)))</f>
        <v>37</v>
      </c>
    </row>
    <row r="96">
      <c r="A96" s="23">
        <f>IF('①名簿入力'!A91="","",'①名簿入力'!A91)</f>
        <v>2318</v>
      </c>
      <c r="B96" s="23">
        <f>IF(A96="","",'①名簿入力'!U91)</f>
        <v>2</v>
      </c>
      <c r="D96" s="8" t="n">
        <v>2318</v>
      </c>
      <c r="E96" s="24" t="n">
        <v>2</v>
      </c>
      <c r="F96" s="25" t="str">
        <f>IF(D96="","",IF(S96="","（名簿にない番号）",INDEX('①名簿入力'!$C$4:$C$153,S96)&amp;""))</f>
        <v>酒井　太一</v>
      </c>
      <c r="G96" s="13" t="str">
        <f>IF(S96="","",INDEX('①名簿入力'!$E$4:$E$153,S96)&amp;"")</f>
        <v>男</v>
      </c>
      <c r="H96" s="13">
        <f>IF(S96="","",IF(INDEX('①名簿入力'!$B$4:$B$153,S96)="","",INDEX('①名簿入力'!$B$4:$B$153,S96)))</f>
        <v>3</v>
      </c>
      <c r="I96" s="10">
        <f>IF(S96="","",IF(INDEX('①名簿入力'!$K$4:$K$153,S96)="","",INDEX('①名簿入力'!$K$4:$K$153,S96)))</f>
        <v>58.8</v>
      </c>
      <c r="J96" s="10">
        <f>IF(S96="","",IF(INDEX('①名簿入力'!$L$4:$L$153,S96)="","",INDEX('①名簿入力'!$L$4:$L$153,S96)))</f>
        <v>7.5</v>
      </c>
      <c r="K96" s="13" t="str">
        <f>IF(S96="","",IF(INDEX('①名簿入力'!$Y$4:$Y$153,S96)=1,"〇",""))</f>
        <v/>
      </c>
      <c r="L96" s="13" t="str">
        <f>IF(S96="","",IF(INDEX('①名簿入力'!$Z$4:$Z$153,S96)=1,"〇",""))</f>
        <v/>
      </c>
      <c r="M96" s="13" t="str">
        <f>IF(S96="","",IF(INDEX('①名簿入力'!$AA$4:$AA$153,S96)=1,"〇",""))</f>
        <v/>
      </c>
      <c r="N96" s="13" t="str">
        <f>IF(S96="","",IF(INDEX('①名簿入力'!$AB$4:$AB$153,S96)=1,"〇",""))</f>
        <v/>
      </c>
      <c r="O96" s="25" t="str">
        <f>AM96&amp;IF(AND(AM96&lt;&gt;"",AN96&lt;&gt;""),"、","")&amp;AN96&amp;IF(AND(AM96&amp;AN96&lt;&gt;"",AO96&lt;&gt;""),"、","")&amp;AO96</f>
        <v/>
      </c>
      <c r="P96" s="25" t="str">
        <f>IF(AG96=0,"",IF(AK96&amp;AL96="","⚠",LEFT(AK96&amp;AL96,LEN(AK96&amp;AL96)-1)))</f>
        <v/>
      </c>
      <c r="Q96" s="25" t="str">
        <f>IF(S96="","",INDEX('①名簿入力'!$T$4:$T$153,S96)&amp;"")</f>
        <v>部活：陸上</v>
      </c>
      <c r="S96" s="14">
        <f>IF(D96="","",IFERROR(MATCH(D96,'①名簿入力'!$A$4:$A$153,0),""))</f>
        <v>88</v>
      </c>
      <c r="T96" s="14" t="str">
        <f>IF(S96="","",IF(INDEX('①名簿入力'!$AG$4:$AG$153,S96)=D96,"",INDEX('①名簿入力'!$AG$4:$AG$153,S96)))</f>
        <v/>
      </c>
      <c r="U96" s="14" t="str">
        <f>IF(S96="","",IF(INDEX('①名簿入力'!$AH$4:$AH$153,S96)=D96,"",INDEX('①名簿入力'!$AH$4:$AH$153,S96)))</f>
        <v/>
      </c>
      <c r="V96" s="14" t="str">
        <f>IF(S96="","",IF(INDEX('①名簿入力'!$AI$4:$AI$153,S96)=D96,"",INDEX('①名簿入力'!$AI$4:$AI$153,S96)))</f>
        <v/>
      </c>
      <c r="W96" s="14" t="str">
        <f>IF(T96="","",IFERROR(IF(INDEX($E$9:$E$158,MATCH(T96,$D$9:$D$158,0))="","",INDEX($E$9:$E$158,MATCH(T96,$D$9:$D$158,0))),""))</f>
        <v/>
      </c>
      <c r="X96" s="14" t="str">
        <f>IF(U96="","",IFERROR(IF(INDEX($E$9:$E$158,MATCH(U96,$D$9:$D$158,0))="","",INDEX($E$9:$E$158,MATCH(U96,$D$9:$D$158,0))),""))</f>
        <v/>
      </c>
      <c r="Y96" s="14" t="str">
        <f>IF(V96="","",IFERROR(IF(INDEX($E$9:$E$158,MATCH(V96,$D$9:$D$158,0))="","",INDEX($E$9:$E$158,MATCH(V96,$D$9:$D$158,0))),""))</f>
        <v/>
      </c>
      <c r="Z96" s="14">
        <f>IF(AND(T96&lt;&gt;"",W96&lt;&gt;"",E96&lt;&gt;""),IF(W96=E96,1,0),0)</f>
        <v>0</v>
      </c>
      <c r="AA96" s="14">
        <f>IF(AND(U96&lt;&gt;"",X96&lt;&gt;"",E96&lt;&gt;""),IF(X96=E96,1,0),0)</f>
        <v>0</v>
      </c>
      <c r="AB96" s="14">
        <f>IF(AND(V96&lt;&gt;"",Y96&lt;&gt;"",E96&lt;&gt;""),IF(Y96=E96,1,0),0)</f>
        <v>0</v>
      </c>
      <c r="AC96" s="14" t="str">
        <f>IF(OR(T96="",E96=""),"",T96&amp;"|"&amp;E96)</f>
        <v/>
      </c>
      <c r="AD96" s="14" t="str">
        <f>IF(OR(U96="",E96=""),"",U96&amp;"|"&amp;E96)</f>
        <v/>
      </c>
      <c r="AE96" s="14" t="str">
        <f>IF(OR(V96="",E96=""),"",V96&amp;"|"&amp;E96)</f>
        <v/>
      </c>
      <c r="AF96" s="14">
        <f>IF(OR(D96="",E96=""),0,COUNTIF($AC$9:$AC$158,D96&amp;"|"&amp;E96)+COUNTIF($AD$9:$AD$158,D96&amp;"|"&amp;E96)+COUNTIF($AE$9:$AE$158,D96&amp;"|"&amp;E96))</f>
        <v>0</v>
      </c>
      <c r="AG96" s="14">
        <f>Z96+AA96+AB96+AF96</f>
        <v>0</v>
      </c>
      <c r="AH96" s="14" t="str">
        <f>IF(OR(D96="",E96=""),"",IFERROR(MATCH(D96&amp;"|"&amp;E96,$AC$9:$AC$158,0),""))</f>
        <v/>
      </c>
      <c r="AI96" s="14" t="str">
        <f>IF(OR(D96="",E96=""),"",IFERROR(MATCH(D96&amp;"|"&amp;E96,$AD$9:$AD$158,0),""))</f>
        <v/>
      </c>
      <c r="AJ96" s="14" t="str">
        <f>IF(OR(D96="",E96=""),"",IFERROR(MATCH(D96&amp;"|"&amp;E96,$AE$9:$AE$158,0),""))</f>
        <v/>
      </c>
      <c r="AK96" s="14" t="str">
        <f>IF(Z96=1,IFERROR(INDEX($F$9:$F$158,MATCH(T96,$D$9:$D$158,0)),"")&amp;"、","")&amp;IF(AA96=1,IFERROR(INDEX($F$9:$F$158,MATCH(U96,$D$9:$D$158,0)),"")&amp;"、","")&amp;IF(AB96=1,IFERROR(INDEX($F$9:$F$158,MATCH(V96,$D$9:$D$158,0)),"")&amp;"、","")</f>
        <v/>
      </c>
      <c r="AL96" s="14" t="str">
        <f>IF(OR(AH96=""),"",IF(OR(INDEX($D$9:$D$158,AH96)=T96,INDEX($D$9:$D$158,AH96)=U96,INDEX($D$9:$D$158,AH96)=V96),"",INDEX($F$9:$F$158,AH96)&amp;"、"))&amp;IF(OR(AI96="",AI96=AH96),"",IF(OR(INDEX($D$9:$D$158,AI96)=T96,INDEX($D$9:$D$158,AI96)=U96,INDEX($D$9:$D$158,AI96)=V96),"",INDEX($F$9:$F$158,AI96)&amp;"、"))&amp;IF(OR(AJ96="",AJ96=AH96,AJ96=AI96),"",IF(OR(INDEX($D$9:$D$158,AJ96)=T96,INDEX($D$9:$D$158,AJ96)=U96,INDEX($D$9:$D$158,AJ96)=V96),"",INDEX($F$9:$F$158,AJ96)&amp;"、"))</f>
        <v/>
      </c>
      <c r="AM96" s="14" t="str">
        <f>IF(T96="","",IFERROR(INDEX('①名簿入力'!$C$4:$C$153,MATCH(T96,'①名簿入力'!$A$4:$A$153,0)),"?")&amp;IF(W96="","","("&amp;W96&amp;"組)"))</f>
        <v/>
      </c>
      <c r="AN96" s="14" t="str">
        <f>IF(U96="","",IFERROR(INDEX('①名簿入力'!$C$4:$C$153,MATCH(U96,'①名簿入力'!$A$4:$A$153,0)),"?")&amp;IF(X96="","","("&amp;X96&amp;"組)"))</f>
        <v/>
      </c>
      <c r="AO96" s="14" t="str">
        <f>IF(V96="","",IFERROR(INDEX('①名簿入力'!$C$4:$C$153,MATCH(V96,'①名簿入力'!$A$4:$A$153,0)),"?")&amp;IF(Y96="","","("&amp;Y96&amp;"組)"))</f>
        <v/>
      </c>
      <c r="AP96" s="14">
        <f>IF(G96="男",1,IF(G96="女",2,3))</f>
        <v>1</v>
      </c>
      <c r="AQ96" s="14">
        <f>IF(OR(S96="",E96=""),"",IFERROR(IF('③クラス一覧'!$AD$6="番号順",0,AP96*1000000000)+D96,""))</f>
        <v>1000002318</v>
      </c>
      <c r="AR96" s="14">
        <f>IF(AQ96="","",COUNTIFS($E$9:$E$158,E96,$AQ$9:$AQ$158,"&lt;"&amp;AQ96)+1)</f>
        <v>16</v>
      </c>
      <c r="AS96" s="14" t="str">
        <f>IF(AR96="","",E96&amp;"-"&amp;AR96)</f>
        <v>2-16</v>
      </c>
      <c r="AT96" s="14">
        <f>IF(S96="","",IF(INDEX('①名簿入力'!$F$4:$F$153,S96)="","",INDEX('①名簿入力'!$F$4:$F$153,S96)))</f>
        <v>60</v>
      </c>
      <c r="AU96" s="14">
        <f>IF(S96="","",IF(INDEX('①名簿入力'!$G$4:$G$153,S96)="","",INDEX('①名簿入力'!$G$4:$G$153,S96)))</f>
        <v>53</v>
      </c>
      <c r="AV96" s="14">
        <f>IF(S96="","",IF(INDEX('①名簿入力'!$H$4:$H$153,S96)="","",INDEX('①名簿入力'!$H$4:$H$153,S96)))</f>
        <v>55</v>
      </c>
      <c r="AW96" s="14">
        <f>IF(S96="","",IF(INDEX('①名簿入力'!$I$4:$I$153,S96)="","",INDEX('①名簿入力'!$I$4:$I$153,S96)))</f>
        <v>66</v>
      </c>
      <c r="AX96" s="14">
        <f>IF(S96="","",IF(INDEX('①名簿入力'!$J$4:$J$153,S96)="","",INDEX('①名簿入力'!$J$4:$J$153,S96)))</f>
        <v>60</v>
      </c>
    </row>
    <row r="97">
      <c r="A97" s="23">
        <f>IF('①名簿入力'!A92="","",'①名簿入力'!A92)</f>
        <v>2319</v>
      </c>
      <c r="B97" s="23">
        <f>IF(A97="","",'①名簿入力'!U92)</f>
        <v>1</v>
      </c>
      <c r="D97" s="8" t="n">
        <v>2319</v>
      </c>
      <c r="E97" s="24" t="n">
        <v>1</v>
      </c>
      <c r="F97" s="25" t="str">
        <f>IF(D97="","",IF(S97="","（名簿にない番号）",INDEX('①名簿入力'!$C$4:$C$153,S97)&amp;""))</f>
        <v>坂本　結菜</v>
      </c>
      <c r="G97" s="13" t="str">
        <f>IF(S97="","",INDEX('①名簿入力'!$E$4:$E$153,S97)&amp;"")</f>
        <v>女</v>
      </c>
      <c r="H97" s="13">
        <f>IF(S97="","",IF(INDEX('①名簿入力'!$B$4:$B$153,S97)="","",INDEX('①名簿入力'!$B$4:$B$153,S97)))</f>
        <v>3</v>
      </c>
      <c r="I97" s="10">
        <f>IF(S97="","",IF(INDEX('①名簿入力'!$K$4:$K$153,S97)="","",INDEX('①名簿入力'!$K$4:$K$153,S97)))</f>
        <v>78.6</v>
      </c>
      <c r="J97" s="10">
        <f>IF(S97="","",IF(INDEX('①名簿入力'!$L$4:$L$153,S97)="","",INDEX('①名簿入力'!$L$4:$L$153,S97)))</f>
        <v>9.2</v>
      </c>
      <c r="K97" s="13" t="str">
        <f>IF(S97="","",IF(INDEX('①名簿入力'!$Y$4:$Y$153,S97)=1,"〇",""))</f>
        <v/>
      </c>
      <c r="L97" s="13" t="str">
        <f>IF(S97="","",IF(INDEX('①名簿入力'!$Z$4:$Z$153,S97)=1,"〇",""))</f>
        <v/>
      </c>
      <c r="M97" s="13" t="str">
        <f>IF(S97="","",IF(INDEX('①名簿入力'!$AA$4:$AA$153,S97)=1,"〇",""))</f>
        <v/>
      </c>
      <c r="N97" s="13" t="str">
        <f>IF(S97="","",IF(INDEX('①名簿入力'!$AB$4:$AB$153,S97)=1,"〇",""))</f>
        <v/>
      </c>
      <c r="O97" s="25" t="str">
        <f>AM97&amp;IF(AND(AM97&lt;&gt;"",AN97&lt;&gt;""),"、","")&amp;AN97&amp;IF(AND(AM97&amp;AN97&lt;&gt;"",AO97&lt;&gt;""),"、","")&amp;AO97</f>
        <v/>
      </c>
      <c r="P97" s="25" t="str">
        <f>IF(AG97=0,"",IF(AK97&amp;AL97="","⚠",LEFT(AK97&amp;AL97,LEN(AK97&amp;AL97)-1)))</f>
        <v/>
      </c>
      <c r="Q97" s="25" t="str">
        <f>IF(S97="","",INDEX('①名簿入力'!$T$4:$T$153,S97)&amp;"")</f>
        <v/>
      </c>
      <c r="S97" s="14">
        <f>IF(D97="","",IFERROR(MATCH(D97,'①名簿入力'!$A$4:$A$153,0),""))</f>
        <v>89</v>
      </c>
      <c r="T97" s="14" t="str">
        <f>IF(S97="","",IF(INDEX('①名簿入力'!$AG$4:$AG$153,S97)=D97,"",INDEX('①名簿入力'!$AG$4:$AG$153,S97)))</f>
        <v/>
      </c>
      <c r="U97" s="14" t="str">
        <f>IF(S97="","",IF(INDEX('①名簿入力'!$AH$4:$AH$153,S97)=D97,"",INDEX('①名簿入力'!$AH$4:$AH$153,S97)))</f>
        <v/>
      </c>
      <c r="V97" s="14" t="str">
        <f>IF(S97="","",IF(INDEX('①名簿入力'!$AI$4:$AI$153,S97)=D97,"",INDEX('①名簿入力'!$AI$4:$AI$153,S97)))</f>
        <v/>
      </c>
      <c r="W97" s="14" t="str">
        <f>IF(T97="","",IFERROR(IF(INDEX($E$9:$E$158,MATCH(T97,$D$9:$D$158,0))="","",INDEX($E$9:$E$158,MATCH(T97,$D$9:$D$158,0))),""))</f>
        <v/>
      </c>
      <c r="X97" s="14" t="str">
        <f>IF(U97="","",IFERROR(IF(INDEX($E$9:$E$158,MATCH(U97,$D$9:$D$158,0))="","",INDEX($E$9:$E$158,MATCH(U97,$D$9:$D$158,0))),""))</f>
        <v/>
      </c>
      <c r="Y97" s="14" t="str">
        <f>IF(V97="","",IFERROR(IF(INDEX($E$9:$E$158,MATCH(V97,$D$9:$D$158,0))="","",INDEX($E$9:$E$158,MATCH(V97,$D$9:$D$158,0))),""))</f>
        <v/>
      </c>
      <c r="Z97" s="14">
        <f>IF(AND(T97&lt;&gt;"",W97&lt;&gt;"",E97&lt;&gt;""),IF(W97=E97,1,0),0)</f>
        <v>0</v>
      </c>
      <c r="AA97" s="14">
        <f>IF(AND(U97&lt;&gt;"",X97&lt;&gt;"",E97&lt;&gt;""),IF(X97=E97,1,0),0)</f>
        <v>0</v>
      </c>
      <c r="AB97" s="14">
        <f>IF(AND(V97&lt;&gt;"",Y97&lt;&gt;"",E97&lt;&gt;""),IF(Y97=E97,1,0),0)</f>
        <v>0</v>
      </c>
      <c r="AC97" s="14" t="str">
        <f>IF(OR(T97="",E97=""),"",T97&amp;"|"&amp;E97)</f>
        <v/>
      </c>
      <c r="AD97" s="14" t="str">
        <f>IF(OR(U97="",E97=""),"",U97&amp;"|"&amp;E97)</f>
        <v/>
      </c>
      <c r="AE97" s="14" t="str">
        <f>IF(OR(V97="",E97=""),"",V97&amp;"|"&amp;E97)</f>
        <v/>
      </c>
      <c r="AF97" s="14">
        <f>IF(OR(D97="",E97=""),0,COUNTIF($AC$9:$AC$158,D97&amp;"|"&amp;E97)+COUNTIF($AD$9:$AD$158,D97&amp;"|"&amp;E97)+COUNTIF($AE$9:$AE$158,D97&amp;"|"&amp;E97))</f>
        <v>0</v>
      </c>
      <c r="AG97" s="14">
        <f>Z97+AA97+AB97+AF97</f>
        <v>0</v>
      </c>
      <c r="AH97" s="14" t="str">
        <f>IF(OR(D97="",E97=""),"",IFERROR(MATCH(D97&amp;"|"&amp;E97,$AC$9:$AC$158,0),""))</f>
        <v/>
      </c>
      <c r="AI97" s="14" t="str">
        <f>IF(OR(D97="",E97=""),"",IFERROR(MATCH(D97&amp;"|"&amp;E97,$AD$9:$AD$158,0),""))</f>
        <v/>
      </c>
      <c r="AJ97" s="14" t="str">
        <f>IF(OR(D97="",E97=""),"",IFERROR(MATCH(D97&amp;"|"&amp;E97,$AE$9:$AE$158,0),""))</f>
        <v/>
      </c>
      <c r="AK97" s="14" t="str">
        <f>IF(Z97=1,IFERROR(INDEX($F$9:$F$158,MATCH(T97,$D$9:$D$158,0)),"")&amp;"、","")&amp;IF(AA97=1,IFERROR(INDEX($F$9:$F$158,MATCH(U97,$D$9:$D$158,0)),"")&amp;"、","")&amp;IF(AB97=1,IFERROR(INDEX($F$9:$F$158,MATCH(V97,$D$9:$D$158,0)),"")&amp;"、","")</f>
        <v/>
      </c>
      <c r="AL97" s="14" t="str">
        <f>IF(OR(AH97=""),"",IF(OR(INDEX($D$9:$D$158,AH97)=T97,INDEX($D$9:$D$158,AH97)=U97,INDEX($D$9:$D$158,AH97)=V97),"",INDEX($F$9:$F$158,AH97)&amp;"、"))&amp;IF(OR(AI97="",AI97=AH97),"",IF(OR(INDEX($D$9:$D$158,AI97)=T97,INDEX($D$9:$D$158,AI97)=U97,INDEX($D$9:$D$158,AI97)=V97),"",INDEX($F$9:$F$158,AI97)&amp;"、"))&amp;IF(OR(AJ97="",AJ97=AH97,AJ97=AI97),"",IF(OR(INDEX($D$9:$D$158,AJ97)=T97,INDEX($D$9:$D$158,AJ97)=U97,INDEX($D$9:$D$158,AJ97)=V97),"",INDEX($F$9:$F$158,AJ97)&amp;"、"))</f>
        <v/>
      </c>
      <c r="AM97" s="14" t="str">
        <f>IF(T97="","",IFERROR(INDEX('①名簿入力'!$C$4:$C$153,MATCH(T97,'①名簿入力'!$A$4:$A$153,0)),"?")&amp;IF(W97="","","("&amp;W97&amp;"組)"))</f>
        <v/>
      </c>
      <c r="AN97" s="14" t="str">
        <f>IF(U97="","",IFERROR(INDEX('①名簿入力'!$C$4:$C$153,MATCH(U97,'①名簿入力'!$A$4:$A$153,0)),"?")&amp;IF(X97="","","("&amp;X97&amp;"組)"))</f>
        <v/>
      </c>
      <c r="AO97" s="14" t="str">
        <f>IF(V97="","",IFERROR(INDEX('①名簿入力'!$C$4:$C$153,MATCH(V97,'①名簿入力'!$A$4:$A$153,0)),"?")&amp;IF(Y97="","","("&amp;Y97&amp;"組)"))</f>
        <v/>
      </c>
      <c r="AP97" s="14">
        <f>IF(G97="男",1,IF(G97="女",2,3))</f>
        <v>2</v>
      </c>
      <c r="AQ97" s="14">
        <f>IF(OR(S97="",E97=""),"",IFERROR(IF('③クラス一覧'!$AD$6="番号順",0,AP97*1000000000)+D97,""))</f>
        <v>2000002319</v>
      </c>
      <c r="AR97" s="14">
        <f>IF(AQ97="","",COUNTIFS($E$9:$E$158,E97,$AQ$9:$AQ$158,"&lt;"&amp;AQ97)+1)</f>
        <v>34</v>
      </c>
      <c r="AS97" s="14" t="str">
        <f>IF(AR97="","",E97&amp;"-"&amp;AR97)</f>
        <v>1-34</v>
      </c>
      <c r="AT97" s="14">
        <f>IF(S97="","",IF(INDEX('①名簿入力'!$F$4:$F$153,S97)="","",INDEX('①名簿入力'!$F$4:$F$153,S97)))</f>
        <v>69</v>
      </c>
      <c r="AU97" s="14">
        <f>IF(S97="","",IF(INDEX('①名簿入力'!$G$4:$G$153,S97)="","",INDEX('①名簿入力'!$G$4:$G$153,S97)))</f>
        <v>85</v>
      </c>
      <c r="AV97" s="14">
        <f>IF(S97="","",IF(INDEX('①名簿入力'!$H$4:$H$153,S97)="","",INDEX('①名簿入力'!$H$4:$H$153,S97)))</f>
        <v>90</v>
      </c>
      <c r="AW97" s="14">
        <f>IF(S97="","",IF(INDEX('①名簿入力'!$I$4:$I$153,S97)="","",INDEX('①名簿入力'!$I$4:$I$153,S97)))</f>
        <v>73</v>
      </c>
      <c r="AX97" s="14">
        <f>IF(S97="","",IF(INDEX('①名簿入力'!$J$4:$J$153,S97)="","",INDEX('①名簿入力'!$J$4:$J$153,S97)))</f>
        <v>76</v>
      </c>
    </row>
    <row r="98">
      <c r="A98" s="23">
        <f>IF('①名簿入力'!A93="","",'①名簿入力'!A93)</f>
        <v>2320</v>
      </c>
      <c r="B98" s="23">
        <f>IF(A98="","",'①名簿入力'!U93)</f>
        <v>2</v>
      </c>
      <c r="D98" s="8" t="n">
        <v>2320</v>
      </c>
      <c r="E98" s="24" t="n">
        <v>2</v>
      </c>
      <c r="F98" s="25" t="str">
        <f>IF(D98="","",IF(S98="","（名簿にない番号）",INDEX('①名簿入力'!$C$4:$C$153,S98)&amp;""))</f>
        <v>佐々木　誠</v>
      </c>
      <c r="G98" s="13" t="str">
        <f>IF(S98="","",INDEX('①名簿入力'!$E$4:$E$153,S98)&amp;"")</f>
        <v>男</v>
      </c>
      <c r="H98" s="13">
        <f>IF(S98="","",IF(INDEX('①名簿入力'!$B$4:$B$153,S98)="","",INDEX('①名簿入力'!$B$4:$B$153,S98)))</f>
        <v>3</v>
      </c>
      <c r="I98" s="10">
        <f>IF(S98="","",IF(INDEX('①名簿入力'!$K$4:$K$153,S98)="","",INDEX('①名簿入力'!$K$4:$K$153,S98)))</f>
        <v>62</v>
      </c>
      <c r="J98" s="10">
        <f>IF(S98="","",IF(INDEX('①名簿入力'!$L$4:$L$153,S98)="","",INDEX('①名簿入力'!$L$4:$L$153,S98)))</f>
        <v>7.2</v>
      </c>
      <c r="K98" s="13" t="str">
        <f>IF(S98="","",IF(INDEX('①名簿入力'!$Y$4:$Y$153,S98)=1,"〇",""))</f>
        <v/>
      </c>
      <c r="L98" s="13" t="str">
        <f>IF(S98="","",IF(INDEX('①名簿入力'!$Z$4:$Z$153,S98)=1,"〇",""))</f>
        <v/>
      </c>
      <c r="M98" s="13" t="str">
        <f>IF(S98="","",IF(INDEX('①名簿入力'!$AA$4:$AA$153,S98)=1,"〇",""))</f>
        <v/>
      </c>
      <c r="N98" s="13" t="str">
        <f>IF(S98="","",IF(INDEX('①名簿入力'!$AB$4:$AB$153,S98)=1,"〇",""))</f>
        <v/>
      </c>
      <c r="O98" s="25" t="str">
        <f>AM98&amp;IF(AND(AM98&lt;&gt;"",AN98&lt;&gt;""),"、","")&amp;AN98&amp;IF(AND(AM98&amp;AN98&lt;&gt;"",AO98&lt;&gt;""),"、","")&amp;AO98</f>
        <v/>
      </c>
      <c r="P98" s="25" t="str">
        <f>IF(AG98=0,"",IF(AK98&amp;AL98="","⚠",LEFT(AK98&amp;AL98,LEN(AK98&amp;AL98)-1)))</f>
        <v/>
      </c>
      <c r="Q98" s="25" t="str">
        <f>IF(S98="","",INDEX('①名簿入力'!$T$4:$T$153,S98)&amp;"")</f>
        <v/>
      </c>
      <c r="S98" s="14">
        <f>IF(D98="","",IFERROR(MATCH(D98,'①名簿入力'!$A$4:$A$153,0),""))</f>
        <v>90</v>
      </c>
      <c r="T98" s="14" t="str">
        <f>IF(S98="","",IF(INDEX('①名簿入力'!$AG$4:$AG$153,S98)=D98,"",INDEX('①名簿入力'!$AG$4:$AG$153,S98)))</f>
        <v/>
      </c>
      <c r="U98" s="14" t="str">
        <f>IF(S98="","",IF(INDEX('①名簿入力'!$AH$4:$AH$153,S98)=D98,"",INDEX('①名簿入力'!$AH$4:$AH$153,S98)))</f>
        <v/>
      </c>
      <c r="V98" s="14" t="str">
        <f>IF(S98="","",IF(INDEX('①名簿入力'!$AI$4:$AI$153,S98)=D98,"",INDEX('①名簿入力'!$AI$4:$AI$153,S98)))</f>
        <v/>
      </c>
      <c r="W98" s="14" t="str">
        <f>IF(T98="","",IFERROR(IF(INDEX($E$9:$E$158,MATCH(T98,$D$9:$D$158,0))="","",INDEX($E$9:$E$158,MATCH(T98,$D$9:$D$158,0))),""))</f>
        <v/>
      </c>
      <c r="X98" s="14" t="str">
        <f>IF(U98="","",IFERROR(IF(INDEX($E$9:$E$158,MATCH(U98,$D$9:$D$158,0))="","",INDEX($E$9:$E$158,MATCH(U98,$D$9:$D$158,0))),""))</f>
        <v/>
      </c>
      <c r="Y98" s="14" t="str">
        <f>IF(V98="","",IFERROR(IF(INDEX($E$9:$E$158,MATCH(V98,$D$9:$D$158,0))="","",INDEX($E$9:$E$158,MATCH(V98,$D$9:$D$158,0))),""))</f>
        <v/>
      </c>
      <c r="Z98" s="14">
        <f>IF(AND(T98&lt;&gt;"",W98&lt;&gt;"",E98&lt;&gt;""),IF(W98=E98,1,0),0)</f>
        <v>0</v>
      </c>
      <c r="AA98" s="14">
        <f>IF(AND(U98&lt;&gt;"",X98&lt;&gt;"",E98&lt;&gt;""),IF(X98=E98,1,0),0)</f>
        <v>0</v>
      </c>
      <c r="AB98" s="14">
        <f>IF(AND(V98&lt;&gt;"",Y98&lt;&gt;"",E98&lt;&gt;""),IF(Y98=E98,1,0),0)</f>
        <v>0</v>
      </c>
      <c r="AC98" s="14" t="str">
        <f>IF(OR(T98="",E98=""),"",T98&amp;"|"&amp;E98)</f>
        <v/>
      </c>
      <c r="AD98" s="14" t="str">
        <f>IF(OR(U98="",E98=""),"",U98&amp;"|"&amp;E98)</f>
        <v/>
      </c>
      <c r="AE98" s="14" t="str">
        <f>IF(OR(V98="",E98=""),"",V98&amp;"|"&amp;E98)</f>
        <v/>
      </c>
      <c r="AF98" s="14">
        <f>IF(OR(D98="",E98=""),0,COUNTIF($AC$9:$AC$158,D98&amp;"|"&amp;E98)+COUNTIF($AD$9:$AD$158,D98&amp;"|"&amp;E98)+COUNTIF($AE$9:$AE$158,D98&amp;"|"&amp;E98))</f>
        <v>0</v>
      </c>
      <c r="AG98" s="14">
        <f>Z98+AA98+AB98+AF98</f>
        <v>0</v>
      </c>
      <c r="AH98" s="14" t="str">
        <f>IF(OR(D98="",E98=""),"",IFERROR(MATCH(D98&amp;"|"&amp;E98,$AC$9:$AC$158,0),""))</f>
        <v/>
      </c>
      <c r="AI98" s="14" t="str">
        <f>IF(OR(D98="",E98=""),"",IFERROR(MATCH(D98&amp;"|"&amp;E98,$AD$9:$AD$158,0),""))</f>
        <v/>
      </c>
      <c r="AJ98" s="14" t="str">
        <f>IF(OR(D98="",E98=""),"",IFERROR(MATCH(D98&amp;"|"&amp;E98,$AE$9:$AE$158,0),""))</f>
        <v/>
      </c>
      <c r="AK98" s="14" t="str">
        <f>IF(Z98=1,IFERROR(INDEX($F$9:$F$158,MATCH(T98,$D$9:$D$158,0)),"")&amp;"、","")&amp;IF(AA98=1,IFERROR(INDEX($F$9:$F$158,MATCH(U98,$D$9:$D$158,0)),"")&amp;"、","")&amp;IF(AB98=1,IFERROR(INDEX($F$9:$F$158,MATCH(V98,$D$9:$D$158,0)),"")&amp;"、","")</f>
        <v/>
      </c>
      <c r="AL98" s="14" t="str">
        <f>IF(OR(AH98=""),"",IF(OR(INDEX($D$9:$D$158,AH98)=T98,INDEX($D$9:$D$158,AH98)=U98,INDEX($D$9:$D$158,AH98)=V98),"",INDEX($F$9:$F$158,AH98)&amp;"、"))&amp;IF(OR(AI98="",AI98=AH98),"",IF(OR(INDEX($D$9:$D$158,AI98)=T98,INDEX($D$9:$D$158,AI98)=U98,INDEX($D$9:$D$158,AI98)=V98),"",INDEX($F$9:$F$158,AI98)&amp;"、"))&amp;IF(OR(AJ98="",AJ98=AH98,AJ98=AI98),"",IF(OR(INDEX($D$9:$D$158,AJ98)=T98,INDEX($D$9:$D$158,AJ98)=U98,INDEX($D$9:$D$158,AJ98)=V98),"",INDEX($F$9:$F$158,AJ98)&amp;"、"))</f>
        <v/>
      </c>
      <c r="AM98" s="14" t="str">
        <f>IF(T98="","",IFERROR(INDEX('①名簿入力'!$C$4:$C$153,MATCH(T98,'①名簿入力'!$A$4:$A$153,0)),"?")&amp;IF(W98="","","("&amp;W98&amp;"組)"))</f>
        <v/>
      </c>
      <c r="AN98" s="14" t="str">
        <f>IF(U98="","",IFERROR(INDEX('①名簿入力'!$C$4:$C$153,MATCH(U98,'①名簿入力'!$A$4:$A$153,0)),"?")&amp;IF(X98="","","("&amp;X98&amp;"組)"))</f>
        <v/>
      </c>
      <c r="AO98" s="14" t="str">
        <f>IF(V98="","",IFERROR(INDEX('①名簿入力'!$C$4:$C$153,MATCH(V98,'①名簿入力'!$A$4:$A$153,0)),"?")&amp;IF(Y98="","","("&amp;Y98&amp;"組)"))</f>
        <v/>
      </c>
      <c r="AP98" s="14">
        <f>IF(G98="男",1,IF(G98="女",2,3))</f>
        <v>1</v>
      </c>
      <c r="AQ98" s="14">
        <f>IF(OR(S98="",E98=""),"",IFERROR(IF('③クラス一覧'!$AD$6="番号順",0,AP98*1000000000)+D98,""))</f>
        <v>1000002320</v>
      </c>
      <c r="AR98" s="14">
        <f>IF(AQ98="","",COUNTIFS($E$9:$E$158,E98,$AQ$9:$AQ$158,"&lt;"&amp;AQ98)+1)</f>
        <v>17</v>
      </c>
      <c r="AS98" s="14" t="str">
        <f>IF(AR98="","",E98&amp;"-"&amp;AR98)</f>
        <v>2-17</v>
      </c>
      <c r="AT98" s="14">
        <f>IF(S98="","",IF(INDEX('①名簿入力'!$F$4:$F$153,S98)="","",INDEX('①名簿入力'!$F$4:$F$153,S98)))</f>
        <v>64</v>
      </c>
      <c r="AU98" s="14">
        <f>IF(S98="","",IF(INDEX('①名簿入力'!$G$4:$G$153,S98)="","",INDEX('①名簿入力'!$G$4:$G$153,S98)))</f>
        <v>58</v>
      </c>
      <c r="AV98" s="14">
        <f>IF(S98="","",IF(INDEX('①名簿入力'!$H$4:$H$153,S98)="","",INDEX('①名簿入力'!$H$4:$H$153,S98)))</f>
        <v>60</v>
      </c>
      <c r="AW98" s="14">
        <f>IF(S98="","",IF(INDEX('①名簿入力'!$I$4:$I$153,S98)="","",INDEX('①名簿入力'!$I$4:$I$153,S98)))</f>
        <v>72</v>
      </c>
      <c r="AX98" s="14">
        <f>IF(S98="","",IF(INDEX('①名簿入力'!$J$4:$J$153,S98)="","",INDEX('①名簿入力'!$J$4:$J$153,S98)))</f>
        <v>56</v>
      </c>
    </row>
    <row r="99">
      <c r="A99" s="23">
        <f>IF('①名簿入力'!A94="","",'①名簿入力'!A94)</f>
        <v>2321</v>
      </c>
      <c r="B99" s="23">
        <f>IF(A99="","",'①名簿入力'!U94)</f>
        <v>2</v>
      </c>
      <c r="D99" s="8" t="n">
        <v>2321</v>
      </c>
      <c r="E99" s="24" t="n">
        <v>2</v>
      </c>
      <c r="F99" s="25" t="str">
        <f>IF(D99="","",IF(S99="","（名簿にない番号）",INDEX('①名簿入力'!$C$4:$C$153,S99)&amp;""))</f>
        <v>佐藤　結衣</v>
      </c>
      <c r="G99" s="13" t="str">
        <f>IF(S99="","",INDEX('①名簿入力'!$E$4:$E$153,S99)&amp;"")</f>
        <v>女</v>
      </c>
      <c r="H99" s="13">
        <f>IF(S99="","",IF(INDEX('①名簿入力'!$B$4:$B$153,S99)="","",INDEX('①名簿入力'!$B$4:$B$153,S99)))</f>
        <v>3</v>
      </c>
      <c r="I99" s="10">
        <f>IF(S99="","",IF(INDEX('①名簿入力'!$K$4:$K$153,S99)="","",INDEX('①名簿入力'!$K$4:$K$153,S99)))</f>
        <v>65.8</v>
      </c>
      <c r="J99" s="10">
        <f>IF(S99="","",IF(INDEX('①名簿入力'!$L$4:$L$153,S99)="","",INDEX('①名簿入力'!$L$4:$L$153,S99)))</f>
        <v>9.5</v>
      </c>
      <c r="K99" s="13" t="str">
        <f>IF(S99="","",IF(INDEX('①名簿入力'!$Y$4:$Y$153,S99)=1,"〇",""))</f>
        <v/>
      </c>
      <c r="L99" s="13" t="str">
        <f>IF(S99="","",IF(INDEX('①名簿入力'!$Z$4:$Z$153,S99)=1,"〇",""))</f>
        <v/>
      </c>
      <c r="M99" s="13" t="str">
        <f>IF(S99="","",IF(INDEX('①名簿入力'!$AA$4:$AA$153,S99)=1,"〇",""))</f>
        <v/>
      </c>
      <c r="N99" s="13" t="str">
        <f>IF(S99="","",IF(INDEX('①名簿入力'!$AB$4:$AB$153,S99)=1,"〇",""))</f>
        <v/>
      </c>
      <c r="O99" s="25" t="str">
        <f>AM99&amp;IF(AND(AM99&lt;&gt;"",AN99&lt;&gt;""),"、","")&amp;AN99&amp;IF(AND(AM99&amp;AN99&lt;&gt;"",AO99&lt;&gt;""),"、","")&amp;AO99</f>
        <v/>
      </c>
      <c r="P99" s="25" t="str">
        <f>IF(AG99=0,"",IF(AK99&amp;AL99="","⚠",LEFT(AK99&amp;AL99,LEN(AK99&amp;AL99)-1)))</f>
        <v/>
      </c>
      <c r="Q99" s="25" t="str">
        <f>IF(S99="","",INDEX('①名簿入力'!$T$4:$T$153,S99)&amp;"")</f>
        <v/>
      </c>
      <c r="S99" s="14">
        <f>IF(D99="","",IFERROR(MATCH(D99,'①名簿入力'!$A$4:$A$153,0),""))</f>
        <v>91</v>
      </c>
      <c r="T99" s="14" t="str">
        <f>IF(S99="","",IF(INDEX('①名簿入力'!$AG$4:$AG$153,S99)=D99,"",INDEX('①名簿入力'!$AG$4:$AG$153,S99)))</f>
        <v/>
      </c>
      <c r="U99" s="14" t="str">
        <f>IF(S99="","",IF(INDEX('①名簿入力'!$AH$4:$AH$153,S99)=D99,"",INDEX('①名簿入力'!$AH$4:$AH$153,S99)))</f>
        <v/>
      </c>
      <c r="V99" s="14" t="str">
        <f>IF(S99="","",IF(INDEX('①名簿入力'!$AI$4:$AI$153,S99)=D99,"",INDEX('①名簿入力'!$AI$4:$AI$153,S99)))</f>
        <v/>
      </c>
      <c r="W99" s="14" t="str">
        <f>IF(T99="","",IFERROR(IF(INDEX($E$9:$E$158,MATCH(T99,$D$9:$D$158,0))="","",INDEX($E$9:$E$158,MATCH(T99,$D$9:$D$158,0))),""))</f>
        <v/>
      </c>
      <c r="X99" s="14" t="str">
        <f>IF(U99="","",IFERROR(IF(INDEX($E$9:$E$158,MATCH(U99,$D$9:$D$158,0))="","",INDEX($E$9:$E$158,MATCH(U99,$D$9:$D$158,0))),""))</f>
        <v/>
      </c>
      <c r="Y99" s="14" t="str">
        <f>IF(V99="","",IFERROR(IF(INDEX($E$9:$E$158,MATCH(V99,$D$9:$D$158,0))="","",INDEX($E$9:$E$158,MATCH(V99,$D$9:$D$158,0))),""))</f>
        <v/>
      </c>
      <c r="Z99" s="14">
        <f>IF(AND(T99&lt;&gt;"",W99&lt;&gt;"",E99&lt;&gt;""),IF(W99=E99,1,0),0)</f>
        <v>0</v>
      </c>
      <c r="AA99" s="14">
        <f>IF(AND(U99&lt;&gt;"",X99&lt;&gt;"",E99&lt;&gt;""),IF(X99=E99,1,0),0)</f>
        <v>0</v>
      </c>
      <c r="AB99" s="14">
        <f>IF(AND(V99&lt;&gt;"",Y99&lt;&gt;"",E99&lt;&gt;""),IF(Y99=E99,1,0),0)</f>
        <v>0</v>
      </c>
      <c r="AC99" s="14" t="str">
        <f>IF(OR(T99="",E99=""),"",T99&amp;"|"&amp;E99)</f>
        <v/>
      </c>
      <c r="AD99" s="14" t="str">
        <f>IF(OR(U99="",E99=""),"",U99&amp;"|"&amp;E99)</f>
        <v/>
      </c>
      <c r="AE99" s="14" t="str">
        <f>IF(OR(V99="",E99=""),"",V99&amp;"|"&amp;E99)</f>
        <v/>
      </c>
      <c r="AF99" s="14">
        <f>IF(OR(D99="",E99=""),0,COUNTIF($AC$9:$AC$158,D99&amp;"|"&amp;E99)+COUNTIF($AD$9:$AD$158,D99&amp;"|"&amp;E99)+COUNTIF($AE$9:$AE$158,D99&amp;"|"&amp;E99))</f>
        <v>0</v>
      </c>
      <c r="AG99" s="14">
        <f>Z99+AA99+AB99+AF99</f>
        <v>0</v>
      </c>
      <c r="AH99" s="14" t="str">
        <f>IF(OR(D99="",E99=""),"",IFERROR(MATCH(D99&amp;"|"&amp;E99,$AC$9:$AC$158,0),""))</f>
        <v/>
      </c>
      <c r="AI99" s="14" t="str">
        <f>IF(OR(D99="",E99=""),"",IFERROR(MATCH(D99&amp;"|"&amp;E99,$AD$9:$AD$158,0),""))</f>
        <v/>
      </c>
      <c r="AJ99" s="14" t="str">
        <f>IF(OR(D99="",E99=""),"",IFERROR(MATCH(D99&amp;"|"&amp;E99,$AE$9:$AE$158,0),""))</f>
        <v/>
      </c>
      <c r="AK99" s="14" t="str">
        <f>IF(Z99=1,IFERROR(INDEX($F$9:$F$158,MATCH(T99,$D$9:$D$158,0)),"")&amp;"、","")&amp;IF(AA99=1,IFERROR(INDEX($F$9:$F$158,MATCH(U99,$D$9:$D$158,0)),"")&amp;"、","")&amp;IF(AB99=1,IFERROR(INDEX($F$9:$F$158,MATCH(V99,$D$9:$D$158,0)),"")&amp;"、","")</f>
        <v/>
      </c>
      <c r="AL99" s="14" t="str">
        <f>IF(OR(AH99=""),"",IF(OR(INDEX($D$9:$D$158,AH99)=T99,INDEX($D$9:$D$158,AH99)=U99,INDEX($D$9:$D$158,AH99)=V99),"",INDEX($F$9:$F$158,AH99)&amp;"、"))&amp;IF(OR(AI99="",AI99=AH99),"",IF(OR(INDEX($D$9:$D$158,AI99)=T99,INDEX($D$9:$D$158,AI99)=U99,INDEX($D$9:$D$158,AI99)=V99),"",INDEX($F$9:$F$158,AI99)&amp;"、"))&amp;IF(OR(AJ99="",AJ99=AH99,AJ99=AI99),"",IF(OR(INDEX($D$9:$D$158,AJ99)=T99,INDEX($D$9:$D$158,AJ99)=U99,INDEX($D$9:$D$158,AJ99)=V99),"",INDEX($F$9:$F$158,AJ99)&amp;"、"))</f>
        <v/>
      </c>
      <c r="AM99" s="14" t="str">
        <f>IF(T99="","",IFERROR(INDEX('①名簿入力'!$C$4:$C$153,MATCH(T99,'①名簿入力'!$A$4:$A$153,0)),"?")&amp;IF(W99="","","("&amp;W99&amp;"組)"))</f>
        <v/>
      </c>
      <c r="AN99" s="14" t="str">
        <f>IF(U99="","",IFERROR(INDEX('①名簿入力'!$C$4:$C$153,MATCH(U99,'①名簿入力'!$A$4:$A$153,0)),"?")&amp;IF(X99="","","("&amp;X99&amp;"組)"))</f>
        <v/>
      </c>
      <c r="AO99" s="14" t="str">
        <f>IF(V99="","",IFERROR(INDEX('①名簿入力'!$C$4:$C$153,MATCH(V99,'①名簿入力'!$A$4:$A$153,0)),"?")&amp;IF(Y99="","","("&amp;Y99&amp;"組)"))</f>
        <v/>
      </c>
      <c r="AP99" s="14">
        <f>IF(G99="男",1,IF(G99="女",2,3))</f>
        <v>2</v>
      </c>
      <c r="AQ99" s="14">
        <f>IF(OR(S99="",E99=""),"",IFERROR(IF('③クラス一覧'!$AD$6="番号順",0,AP99*1000000000)+D99,""))</f>
        <v>2000002321</v>
      </c>
      <c r="AR99" s="14">
        <f>IF(AQ99="","",COUNTIFS($E$9:$E$158,E99,$AQ$9:$AQ$158,"&lt;"&amp;AQ99)+1)</f>
        <v>31</v>
      </c>
      <c r="AS99" s="14" t="str">
        <f>IF(AR99="","",E99&amp;"-"&amp;AR99)</f>
        <v>2-31</v>
      </c>
      <c r="AT99" s="14">
        <f>IF(S99="","",IF(INDEX('①名簿入力'!$F$4:$F$153,S99)="","",INDEX('①名簿入力'!$F$4:$F$153,S99)))</f>
        <v>72</v>
      </c>
      <c r="AU99" s="14">
        <f>IF(S99="","",IF(INDEX('①名簿入力'!$G$4:$G$153,S99)="","",INDEX('①名簿入力'!$G$4:$G$153,S99)))</f>
        <v>69</v>
      </c>
      <c r="AV99" s="14">
        <f>IF(S99="","",IF(INDEX('①名簿入力'!$H$4:$H$153,S99)="","",INDEX('①名簿入力'!$H$4:$H$153,S99)))</f>
        <v>55</v>
      </c>
      <c r="AW99" s="14">
        <f>IF(S99="","",IF(INDEX('①名簿入力'!$I$4:$I$153,S99)="","",INDEX('①名簿入力'!$I$4:$I$153,S99)))</f>
        <v>69</v>
      </c>
      <c r="AX99" s="14">
        <f>IF(S99="","",IF(INDEX('①名簿入力'!$J$4:$J$153,S99)="","",INDEX('①名簿入力'!$J$4:$J$153,S99)))</f>
        <v>64</v>
      </c>
    </row>
    <row r="100">
      <c r="A100" s="23">
        <f>IF('①名簿入力'!A95="","",'①名簿入力'!A95)</f>
        <v>2322</v>
      </c>
      <c r="B100" s="23">
        <f>IF(A100="","",'①名簿入力'!U95)</f>
        <v>2</v>
      </c>
      <c r="D100" s="8" t="n">
        <v>2322</v>
      </c>
      <c r="E100" s="24" t="n">
        <v>2</v>
      </c>
      <c r="F100" s="25" t="str">
        <f>IF(D100="","",IF(S100="","（名簿にない番号）",INDEX('①名簿入力'!$C$4:$C$153,S100)&amp;""))</f>
        <v>鈴木　陽葵</v>
      </c>
      <c r="G100" s="13" t="str">
        <f>IF(S100="","",INDEX('①名簿入力'!$E$4:$E$153,S100)&amp;"")</f>
        <v>女</v>
      </c>
      <c r="H100" s="13">
        <f>IF(S100="","",IF(INDEX('①名簿入力'!$B$4:$B$153,S100)="","",INDEX('①名簿入力'!$B$4:$B$153,S100)))</f>
        <v>3</v>
      </c>
      <c r="I100" s="10">
        <f>IF(S100="","",IF(INDEX('①名簿入力'!$K$4:$K$153,S100)="","",INDEX('①名簿入力'!$K$4:$K$153,S100)))</f>
        <v>80.8</v>
      </c>
      <c r="J100" s="10">
        <f>IF(S100="","",IF(INDEX('①名簿入力'!$L$4:$L$153,S100)="","",INDEX('①名簿入力'!$L$4:$L$153,S100)))</f>
        <v>9.5</v>
      </c>
      <c r="K100" s="13" t="str">
        <f>IF(S100="","",IF(INDEX('①名簿入力'!$Y$4:$Y$153,S100)=1,"〇",""))</f>
        <v/>
      </c>
      <c r="L100" s="13" t="str">
        <f>IF(S100="","",IF(INDEX('①名簿入力'!$Z$4:$Z$153,S100)=1,"〇",""))</f>
        <v/>
      </c>
      <c r="M100" s="13" t="str">
        <f>IF(S100="","",IF(INDEX('①名簿入力'!$AA$4:$AA$153,S100)=1,"〇",""))</f>
        <v>〇</v>
      </c>
      <c r="N100" s="13" t="str">
        <f>IF(S100="","",IF(INDEX('①名簿入力'!$AB$4:$AB$153,S100)=1,"〇",""))</f>
        <v/>
      </c>
      <c r="O100" s="25" t="str">
        <f>AM100&amp;IF(AND(AM100&lt;&gt;"",AN100&lt;&gt;""),"、","")&amp;AN100&amp;IF(AND(AM100&amp;AN100&lt;&gt;"",AO100&lt;&gt;""),"、","")&amp;AO100</f>
        <v/>
      </c>
      <c r="P100" s="25" t="str">
        <f>IF(AG100=0,"",IF(AK100&amp;AL100="","⚠",LEFT(AK100&amp;AL100,LEN(AK100&amp;AL100)-1)))</f>
        <v/>
      </c>
      <c r="Q100" s="25" t="str">
        <f>IF(S100="","",INDEX('①名簿入力'!$T$4:$T$153,S100)&amp;"")</f>
        <v/>
      </c>
      <c r="S100" s="14">
        <f>IF(D100="","",IFERROR(MATCH(D100,'①名簿入力'!$A$4:$A$153,0),""))</f>
        <v>92</v>
      </c>
      <c r="T100" s="14" t="str">
        <f>IF(S100="","",IF(INDEX('①名簿入力'!$AG$4:$AG$153,S100)=D100,"",INDEX('①名簿入力'!$AG$4:$AG$153,S100)))</f>
        <v/>
      </c>
      <c r="U100" s="14" t="str">
        <f>IF(S100="","",IF(INDEX('①名簿入力'!$AH$4:$AH$153,S100)=D100,"",INDEX('①名簿入力'!$AH$4:$AH$153,S100)))</f>
        <v/>
      </c>
      <c r="V100" s="14" t="str">
        <f>IF(S100="","",IF(INDEX('①名簿入力'!$AI$4:$AI$153,S100)=D100,"",INDEX('①名簿入力'!$AI$4:$AI$153,S100)))</f>
        <v/>
      </c>
      <c r="W100" s="14" t="str">
        <f>IF(T100="","",IFERROR(IF(INDEX($E$9:$E$158,MATCH(T100,$D$9:$D$158,0))="","",INDEX($E$9:$E$158,MATCH(T100,$D$9:$D$158,0))),""))</f>
        <v/>
      </c>
      <c r="X100" s="14" t="str">
        <f>IF(U100="","",IFERROR(IF(INDEX($E$9:$E$158,MATCH(U100,$D$9:$D$158,0))="","",INDEX($E$9:$E$158,MATCH(U100,$D$9:$D$158,0))),""))</f>
        <v/>
      </c>
      <c r="Y100" s="14" t="str">
        <f>IF(V100="","",IFERROR(IF(INDEX($E$9:$E$158,MATCH(V100,$D$9:$D$158,0))="","",INDEX($E$9:$E$158,MATCH(V100,$D$9:$D$158,0))),""))</f>
        <v/>
      </c>
      <c r="Z100" s="14">
        <f>IF(AND(T100&lt;&gt;"",W100&lt;&gt;"",E100&lt;&gt;""),IF(W100=E100,1,0),0)</f>
        <v>0</v>
      </c>
      <c r="AA100" s="14">
        <f>IF(AND(U100&lt;&gt;"",X100&lt;&gt;"",E100&lt;&gt;""),IF(X100=E100,1,0),0)</f>
        <v>0</v>
      </c>
      <c r="AB100" s="14">
        <f>IF(AND(V100&lt;&gt;"",Y100&lt;&gt;"",E100&lt;&gt;""),IF(Y100=E100,1,0),0)</f>
        <v>0</v>
      </c>
      <c r="AC100" s="14" t="str">
        <f>IF(OR(T100="",E100=""),"",T100&amp;"|"&amp;E100)</f>
        <v/>
      </c>
      <c r="AD100" s="14" t="str">
        <f>IF(OR(U100="",E100=""),"",U100&amp;"|"&amp;E100)</f>
        <v/>
      </c>
      <c r="AE100" s="14" t="str">
        <f>IF(OR(V100="",E100=""),"",V100&amp;"|"&amp;E100)</f>
        <v/>
      </c>
      <c r="AF100" s="14">
        <f>IF(OR(D100="",E100=""),0,COUNTIF($AC$9:$AC$158,D100&amp;"|"&amp;E100)+COUNTIF($AD$9:$AD$158,D100&amp;"|"&amp;E100)+COUNTIF($AE$9:$AE$158,D100&amp;"|"&amp;E100))</f>
        <v>0</v>
      </c>
      <c r="AG100" s="14">
        <f>Z100+AA100+AB100+AF100</f>
        <v>0</v>
      </c>
      <c r="AH100" s="14" t="str">
        <f>IF(OR(D100="",E100=""),"",IFERROR(MATCH(D100&amp;"|"&amp;E100,$AC$9:$AC$158,0),""))</f>
        <v/>
      </c>
      <c r="AI100" s="14" t="str">
        <f>IF(OR(D100="",E100=""),"",IFERROR(MATCH(D100&amp;"|"&amp;E100,$AD$9:$AD$158,0),""))</f>
        <v/>
      </c>
      <c r="AJ100" s="14" t="str">
        <f>IF(OR(D100="",E100=""),"",IFERROR(MATCH(D100&amp;"|"&amp;E100,$AE$9:$AE$158,0),""))</f>
        <v/>
      </c>
      <c r="AK100" s="14" t="str">
        <f>IF(Z100=1,IFERROR(INDEX($F$9:$F$158,MATCH(T100,$D$9:$D$158,0)),"")&amp;"、","")&amp;IF(AA100=1,IFERROR(INDEX($F$9:$F$158,MATCH(U100,$D$9:$D$158,0)),"")&amp;"、","")&amp;IF(AB100=1,IFERROR(INDEX($F$9:$F$158,MATCH(V100,$D$9:$D$158,0)),"")&amp;"、","")</f>
        <v/>
      </c>
      <c r="AL100" s="14" t="str">
        <f>IF(OR(AH100=""),"",IF(OR(INDEX($D$9:$D$158,AH100)=T100,INDEX($D$9:$D$158,AH100)=U100,INDEX($D$9:$D$158,AH100)=V100),"",INDEX($F$9:$F$158,AH100)&amp;"、"))&amp;IF(OR(AI100="",AI100=AH100),"",IF(OR(INDEX($D$9:$D$158,AI100)=T100,INDEX($D$9:$D$158,AI100)=U100,INDEX($D$9:$D$158,AI100)=V100),"",INDEX($F$9:$F$158,AI100)&amp;"、"))&amp;IF(OR(AJ100="",AJ100=AH100,AJ100=AI100),"",IF(OR(INDEX($D$9:$D$158,AJ100)=T100,INDEX($D$9:$D$158,AJ100)=U100,INDEX($D$9:$D$158,AJ100)=V100),"",INDEX($F$9:$F$158,AJ100)&amp;"、"))</f>
        <v/>
      </c>
      <c r="AM100" s="14" t="str">
        <f>IF(T100="","",IFERROR(INDEX('①名簿入力'!$C$4:$C$153,MATCH(T100,'①名簿入力'!$A$4:$A$153,0)),"?")&amp;IF(W100="","","("&amp;W100&amp;"組)"))</f>
        <v/>
      </c>
      <c r="AN100" s="14" t="str">
        <f>IF(U100="","",IFERROR(INDEX('①名簿入力'!$C$4:$C$153,MATCH(U100,'①名簿入力'!$A$4:$A$153,0)),"?")&amp;IF(X100="","","("&amp;X100&amp;"組)"))</f>
        <v/>
      </c>
      <c r="AO100" s="14" t="str">
        <f>IF(V100="","",IFERROR(INDEX('①名簿入力'!$C$4:$C$153,MATCH(V100,'①名簿入力'!$A$4:$A$153,0)),"?")&amp;IF(Y100="","","("&amp;Y100&amp;"組)"))</f>
        <v/>
      </c>
      <c r="AP100" s="14">
        <f>IF(G100="男",1,IF(G100="女",2,3))</f>
        <v>2</v>
      </c>
      <c r="AQ100" s="14">
        <f>IF(OR(S100="",E100=""),"",IFERROR(IF('③クラス一覧'!$AD$6="番号順",0,AP100*1000000000)+D100,""))</f>
        <v>2000002322</v>
      </c>
      <c r="AR100" s="14">
        <f>IF(AQ100="","",COUNTIFS($E$9:$E$158,E100,$AQ$9:$AQ$158,"&lt;"&amp;AQ100)+1)</f>
        <v>32</v>
      </c>
      <c r="AS100" s="14" t="str">
        <f>IF(AR100="","",E100&amp;"-"&amp;AR100)</f>
        <v>2-32</v>
      </c>
      <c r="AT100" s="14">
        <f>IF(S100="","",IF(INDEX('①名簿入力'!$F$4:$F$153,S100)="","",INDEX('①名簿入力'!$F$4:$F$153,S100)))</f>
        <v>75</v>
      </c>
      <c r="AU100" s="14">
        <f>IF(S100="","",IF(INDEX('①名簿入力'!$G$4:$G$153,S100)="","",INDEX('①名簿入力'!$G$4:$G$153,S100)))</f>
        <v>95</v>
      </c>
      <c r="AV100" s="14">
        <f>IF(S100="","",IF(INDEX('①名簿入力'!$H$4:$H$153,S100)="","",INDEX('①名簿入力'!$H$4:$H$153,S100)))</f>
        <v>80</v>
      </c>
      <c r="AW100" s="14">
        <f>IF(S100="","",IF(INDEX('①名簿入力'!$I$4:$I$153,S100)="","",INDEX('①名簿入力'!$I$4:$I$153,S100)))</f>
        <v>71</v>
      </c>
      <c r="AX100" s="14">
        <f>IF(S100="","",IF(INDEX('①名簿入力'!$J$4:$J$153,S100)="","",INDEX('①名簿入力'!$J$4:$J$153,S100)))</f>
        <v>83</v>
      </c>
    </row>
    <row r="101">
      <c r="A101" s="23">
        <f>IF('①名簿入力'!A96="","",'①名簿入力'!A96)</f>
        <v>2323</v>
      </c>
      <c r="B101" s="23">
        <f>IF(A101="","",'①名簿入力'!U96)</f>
        <v>2</v>
      </c>
      <c r="D101" s="8" t="n">
        <v>2323</v>
      </c>
      <c r="E101" s="24" t="n">
        <v>2</v>
      </c>
      <c r="F101" s="25" t="str">
        <f>IF(D101="","",IF(S101="","（名簿にない番号）",INDEX('①名簿入力'!$C$4:$C$153,S101)&amp;""))</f>
        <v>副島　美羽</v>
      </c>
      <c r="G101" s="13" t="str">
        <f>IF(S101="","",INDEX('①名簿入力'!$E$4:$E$153,S101)&amp;"")</f>
        <v>女</v>
      </c>
      <c r="H101" s="13">
        <f>IF(S101="","",IF(INDEX('①名簿入力'!$B$4:$B$153,S101)="","",INDEX('①名簿入力'!$B$4:$B$153,S101)))</f>
        <v>3</v>
      </c>
      <c r="I101" s="10">
        <f>IF(S101="","",IF(INDEX('①名簿入力'!$K$4:$K$153,S101)="","",INDEX('①名簿入力'!$K$4:$K$153,S101)))</f>
        <v>84.4</v>
      </c>
      <c r="J101" s="10">
        <f>IF(S101="","",IF(INDEX('①名簿入力'!$L$4:$L$153,S101)="","",INDEX('①名簿入力'!$L$4:$L$153,S101)))</f>
        <v>8.5</v>
      </c>
      <c r="K101" s="13" t="str">
        <f>IF(S101="","",IF(INDEX('①名簿入力'!$Y$4:$Y$153,S101)=1,"〇",""))</f>
        <v/>
      </c>
      <c r="L101" s="13" t="str">
        <f>IF(S101="","",IF(INDEX('①名簿入力'!$Z$4:$Z$153,S101)=1,"〇",""))</f>
        <v/>
      </c>
      <c r="M101" s="13" t="str">
        <f>IF(S101="","",IF(INDEX('①名簿入力'!$AA$4:$AA$153,S101)=1,"〇",""))</f>
        <v/>
      </c>
      <c r="N101" s="13" t="str">
        <f>IF(S101="","",IF(INDEX('①名簿入力'!$AB$4:$AB$153,S101)=1,"〇",""))</f>
        <v/>
      </c>
      <c r="O101" s="25" t="str">
        <f>AM101&amp;IF(AND(AM101&lt;&gt;"",AN101&lt;&gt;""),"、","")&amp;AN101&amp;IF(AND(AM101&amp;AN101&lt;&gt;"",AO101&lt;&gt;""),"、","")&amp;AO101</f>
        <v/>
      </c>
      <c r="P101" s="25" t="str">
        <f>IF(AG101=0,"",IF(AK101&amp;AL101="","⚠",LEFT(AK101&amp;AL101,LEN(AK101&amp;AL101)-1)))</f>
        <v/>
      </c>
      <c r="Q101" s="25" t="str">
        <f>IF(S101="","",INDEX('①名簿入力'!$T$4:$T$153,S101)&amp;"")</f>
        <v/>
      </c>
      <c r="S101" s="14">
        <f>IF(D101="","",IFERROR(MATCH(D101,'①名簿入力'!$A$4:$A$153,0),""))</f>
        <v>93</v>
      </c>
      <c r="T101" s="14" t="str">
        <f>IF(S101="","",IF(INDEX('①名簿入力'!$AG$4:$AG$153,S101)=D101,"",INDEX('①名簿入力'!$AG$4:$AG$153,S101)))</f>
        <v/>
      </c>
      <c r="U101" s="14" t="str">
        <f>IF(S101="","",IF(INDEX('①名簿入力'!$AH$4:$AH$153,S101)=D101,"",INDEX('①名簿入力'!$AH$4:$AH$153,S101)))</f>
        <v/>
      </c>
      <c r="V101" s="14" t="str">
        <f>IF(S101="","",IF(INDEX('①名簿入力'!$AI$4:$AI$153,S101)=D101,"",INDEX('①名簿入力'!$AI$4:$AI$153,S101)))</f>
        <v/>
      </c>
      <c r="W101" s="14" t="str">
        <f>IF(T101="","",IFERROR(IF(INDEX($E$9:$E$158,MATCH(T101,$D$9:$D$158,0))="","",INDEX($E$9:$E$158,MATCH(T101,$D$9:$D$158,0))),""))</f>
        <v/>
      </c>
      <c r="X101" s="14" t="str">
        <f>IF(U101="","",IFERROR(IF(INDEX($E$9:$E$158,MATCH(U101,$D$9:$D$158,0))="","",INDEX($E$9:$E$158,MATCH(U101,$D$9:$D$158,0))),""))</f>
        <v/>
      </c>
      <c r="Y101" s="14" t="str">
        <f>IF(V101="","",IFERROR(IF(INDEX($E$9:$E$158,MATCH(V101,$D$9:$D$158,0))="","",INDEX($E$9:$E$158,MATCH(V101,$D$9:$D$158,0))),""))</f>
        <v/>
      </c>
      <c r="Z101" s="14">
        <f>IF(AND(T101&lt;&gt;"",W101&lt;&gt;"",E101&lt;&gt;""),IF(W101=E101,1,0),0)</f>
        <v>0</v>
      </c>
      <c r="AA101" s="14">
        <f>IF(AND(U101&lt;&gt;"",X101&lt;&gt;"",E101&lt;&gt;""),IF(X101=E101,1,0),0)</f>
        <v>0</v>
      </c>
      <c r="AB101" s="14">
        <f>IF(AND(V101&lt;&gt;"",Y101&lt;&gt;"",E101&lt;&gt;""),IF(Y101=E101,1,0),0)</f>
        <v>0</v>
      </c>
      <c r="AC101" s="14" t="str">
        <f>IF(OR(T101="",E101=""),"",T101&amp;"|"&amp;E101)</f>
        <v/>
      </c>
      <c r="AD101" s="14" t="str">
        <f>IF(OR(U101="",E101=""),"",U101&amp;"|"&amp;E101)</f>
        <v/>
      </c>
      <c r="AE101" s="14" t="str">
        <f>IF(OR(V101="",E101=""),"",V101&amp;"|"&amp;E101)</f>
        <v/>
      </c>
      <c r="AF101" s="14">
        <f>IF(OR(D101="",E101=""),0,COUNTIF($AC$9:$AC$158,D101&amp;"|"&amp;E101)+COUNTIF($AD$9:$AD$158,D101&amp;"|"&amp;E101)+COUNTIF($AE$9:$AE$158,D101&amp;"|"&amp;E101))</f>
        <v>0</v>
      </c>
      <c r="AG101" s="14">
        <f>Z101+AA101+AB101+AF101</f>
        <v>0</v>
      </c>
      <c r="AH101" s="14" t="str">
        <f>IF(OR(D101="",E101=""),"",IFERROR(MATCH(D101&amp;"|"&amp;E101,$AC$9:$AC$158,0),""))</f>
        <v/>
      </c>
      <c r="AI101" s="14" t="str">
        <f>IF(OR(D101="",E101=""),"",IFERROR(MATCH(D101&amp;"|"&amp;E101,$AD$9:$AD$158,0),""))</f>
        <v/>
      </c>
      <c r="AJ101" s="14" t="str">
        <f>IF(OR(D101="",E101=""),"",IFERROR(MATCH(D101&amp;"|"&amp;E101,$AE$9:$AE$158,0),""))</f>
        <v/>
      </c>
      <c r="AK101" s="14" t="str">
        <f>IF(Z101=1,IFERROR(INDEX($F$9:$F$158,MATCH(T101,$D$9:$D$158,0)),"")&amp;"、","")&amp;IF(AA101=1,IFERROR(INDEX($F$9:$F$158,MATCH(U101,$D$9:$D$158,0)),"")&amp;"、","")&amp;IF(AB101=1,IFERROR(INDEX($F$9:$F$158,MATCH(V101,$D$9:$D$158,0)),"")&amp;"、","")</f>
        <v/>
      </c>
      <c r="AL101" s="14" t="str">
        <f>IF(OR(AH101=""),"",IF(OR(INDEX($D$9:$D$158,AH101)=T101,INDEX($D$9:$D$158,AH101)=U101,INDEX($D$9:$D$158,AH101)=V101),"",INDEX($F$9:$F$158,AH101)&amp;"、"))&amp;IF(OR(AI101="",AI101=AH101),"",IF(OR(INDEX($D$9:$D$158,AI101)=T101,INDEX($D$9:$D$158,AI101)=U101,INDEX($D$9:$D$158,AI101)=V101),"",INDEX($F$9:$F$158,AI101)&amp;"、"))&amp;IF(OR(AJ101="",AJ101=AH101,AJ101=AI101),"",IF(OR(INDEX($D$9:$D$158,AJ101)=T101,INDEX($D$9:$D$158,AJ101)=U101,INDEX($D$9:$D$158,AJ101)=V101),"",INDEX($F$9:$F$158,AJ101)&amp;"、"))</f>
        <v/>
      </c>
      <c r="AM101" s="14" t="str">
        <f>IF(T101="","",IFERROR(INDEX('①名簿入力'!$C$4:$C$153,MATCH(T101,'①名簿入力'!$A$4:$A$153,0)),"?")&amp;IF(W101="","","("&amp;W101&amp;"組)"))</f>
        <v/>
      </c>
      <c r="AN101" s="14" t="str">
        <f>IF(U101="","",IFERROR(INDEX('①名簿入力'!$C$4:$C$153,MATCH(U101,'①名簿入力'!$A$4:$A$153,0)),"?")&amp;IF(X101="","","("&amp;X101&amp;"組)"))</f>
        <v/>
      </c>
      <c r="AO101" s="14" t="str">
        <f>IF(V101="","",IFERROR(INDEX('①名簿入力'!$C$4:$C$153,MATCH(V101,'①名簿入力'!$A$4:$A$153,0)),"?")&amp;IF(Y101="","","("&amp;Y101&amp;"組)"))</f>
        <v/>
      </c>
      <c r="AP101" s="14">
        <f>IF(G101="男",1,IF(G101="女",2,3))</f>
        <v>2</v>
      </c>
      <c r="AQ101" s="14">
        <f>IF(OR(S101="",E101=""),"",IFERROR(IF('③クラス一覧'!$AD$6="番号順",0,AP101*1000000000)+D101,""))</f>
        <v>2000002323</v>
      </c>
      <c r="AR101" s="14">
        <f>IF(AQ101="","",COUNTIFS($E$9:$E$158,E101,$AQ$9:$AQ$158,"&lt;"&amp;AQ101)+1)</f>
        <v>33</v>
      </c>
      <c r="AS101" s="14" t="str">
        <f>IF(AR101="","",E101&amp;"-"&amp;AR101)</f>
        <v>2-33</v>
      </c>
      <c r="AT101" s="14">
        <f>IF(S101="","",IF(INDEX('①名簿入力'!$F$4:$F$153,S101)="","",INDEX('①名簿入力'!$F$4:$F$153,S101)))</f>
        <v>77</v>
      </c>
      <c r="AU101" s="14">
        <f>IF(S101="","",IF(INDEX('①名簿入力'!$G$4:$G$153,S101)="","",INDEX('①名簿入力'!$G$4:$G$153,S101)))</f>
        <v>100</v>
      </c>
      <c r="AV101" s="14">
        <f>IF(S101="","",IF(INDEX('①名簿入力'!$H$4:$H$153,S101)="","",INDEX('①名簿入力'!$H$4:$H$153,S101)))</f>
        <v>85</v>
      </c>
      <c r="AW101" s="14">
        <f>IF(S101="","",IF(INDEX('①名簿入力'!$I$4:$I$153,S101)="","",INDEX('①名簿入力'!$I$4:$I$153,S101)))</f>
        <v>84</v>
      </c>
      <c r="AX101" s="14">
        <f>IF(S101="","",IF(INDEX('①名簿入力'!$J$4:$J$153,S101)="","",INDEX('①名簿入力'!$J$4:$J$153,S101)))</f>
        <v>76</v>
      </c>
    </row>
    <row r="102">
      <c r="A102" s="23">
        <f>IF('①名簿入力'!A97="","",'①名簿入力'!A97)</f>
        <v>2324</v>
      </c>
      <c r="B102" s="23">
        <f>IF(A102="","",'①名簿入力'!U97)</f>
        <v>3</v>
      </c>
      <c r="D102" s="8" t="n">
        <v>2324</v>
      </c>
      <c r="E102" s="24" t="n">
        <v>3</v>
      </c>
      <c r="F102" s="25" t="str">
        <f>IF(D102="","",IF(S102="","（名簿にない番号）",INDEX('①名簿入力'!$C$4:$C$153,S102)&amp;""))</f>
        <v>西村　結菜</v>
      </c>
      <c r="G102" s="13" t="str">
        <f>IF(S102="","",INDEX('①名簿入力'!$E$4:$E$153,S102)&amp;"")</f>
        <v>女</v>
      </c>
      <c r="H102" s="13">
        <f>IF(S102="","",IF(INDEX('①名簿入力'!$B$4:$B$153,S102)="","",INDEX('①名簿入力'!$B$4:$B$153,S102)))</f>
        <v>3</v>
      </c>
      <c r="I102" s="10">
        <f>IF(S102="","",IF(INDEX('①名簿入力'!$K$4:$K$153,S102)="","",INDEX('①名簿入力'!$K$4:$K$153,S102)))</f>
        <v>50.6</v>
      </c>
      <c r="J102" s="10">
        <f>IF(S102="","",IF(INDEX('①名簿入力'!$L$4:$L$153,S102)="","",INDEX('①名簿入力'!$L$4:$L$153,S102)))</f>
        <v>8.4</v>
      </c>
      <c r="K102" s="13" t="str">
        <f>IF(S102="","",IF(INDEX('①名簿入力'!$Y$4:$Y$153,S102)=1,"〇",""))</f>
        <v/>
      </c>
      <c r="L102" s="13" t="str">
        <f>IF(S102="","",IF(INDEX('①名簿入力'!$Z$4:$Z$153,S102)=1,"〇",""))</f>
        <v/>
      </c>
      <c r="M102" s="13" t="str">
        <f>IF(S102="","",IF(INDEX('①名簿入力'!$AA$4:$AA$153,S102)=1,"〇",""))</f>
        <v/>
      </c>
      <c r="N102" s="13" t="str">
        <f>IF(S102="","",IF(INDEX('①名簿入力'!$AB$4:$AB$153,S102)=1,"〇",""))</f>
        <v/>
      </c>
      <c r="O102" s="25" t="str">
        <f>AM102&amp;IF(AND(AM102&lt;&gt;"",AN102&lt;&gt;""),"、","")&amp;AN102&amp;IF(AND(AM102&amp;AN102&lt;&gt;"",AO102&lt;&gt;""),"、","")&amp;AO102</f>
        <v/>
      </c>
      <c r="P102" s="25" t="str">
        <f>IF(AG102=0,"",IF(AK102&amp;AL102="","⚠",LEFT(AK102&amp;AL102,LEN(AK102&amp;AL102)-1)))</f>
        <v/>
      </c>
      <c r="Q102" s="25" t="str">
        <f>IF(S102="","",INDEX('①名簿入力'!$T$4:$T$153,S102)&amp;"")</f>
        <v/>
      </c>
      <c r="S102" s="14">
        <f>IF(D102="","",IFERROR(MATCH(D102,'①名簿入力'!$A$4:$A$153,0),""))</f>
        <v>94</v>
      </c>
      <c r="T102" s="14" t="str">
        <f>IF(S102="","",IF(INDEX('①名簿入力'!$AG$4:$AG$153,S102)=D102,"",INDEX('①名簿入力'!$AG$4:$AG$153,S102)))</f>
        <v/>
      </c>
      <c r="U102" s="14" t="str">
        <f>IF(S102="","",IF(INDEX('①名簿入力'!$AH$4:$AH$153,S102)=D102,"",INDEX('①名簿入力'!$AH$4:$AH$153,S102)))</f>
        <v/>
      </c>
      <c r="V102" s="14" t="str">
        <f>IF(S102="","",IF(INDEX('①名簿入力'!$AI$4:$AI$153,S102)=D102,"",INDEX('①名簿入力'!$AI$4:$AI$153,S102)))</f>
        <v/>
      </c>
      <c r="W102" s="14" t="str">
        <f>IF(T102="","",IFERROR(IF(INDEX($E$9:$E$158,MATCH(T102,$D$9:$D$158,0))="","",INDEX($E$9:$E$158,MATCH(T102,$D$9:$D$158,0))),""))</f>
        <v/>
      </c>
      <c r="X102" s="14" t="str">
        <f>IF(U102="","",IFERROR(IF(INDEX($E$9:$E$158,MATCH(U102,$D$9:$D$158,0))="","",INDEX($E$9:$E$158,MATCH(U102,$D$9:$D$158,0))),""))</f>
        <v/>
      </c>
      <c r="Y102" s="14" t="str">
        <f>IF(V102="","",IFERROR(IF(INDEX($E$9:$E$158,MATCH(V102,$D$9:$D$158,0))="","",INDEX($E$9:$E$158,MATCH(V102,$D$9:$D$158,0))),""))</f>
        <v/>
      </c>
      <c r="Z102" s="14">
        <f>IF(AND(T102&lt;&gt;"",W102&lt;&gt;"",E102&lt;&gt;""),IF(W102=E102,1,0),0)</f>
        <v>0</v>
      </c>
      <c r="AA102" s="14">
        <f>IF(AND(U102&lt;&gt;"",X102&lt;&gt;"",E102&lt;&gt;""),IF(X102=E102,1,0),0)</f>
        <v>0</v>
      </c>
      <c r="AB102" s="14">
        <f>IF(AND(V102&lt;&gt;"",Y102&lt;&gt;"",E102&lt;&gt;""),IF(Y102=E102,1,0),0)</f>
        <v>0</v>
      </c>
      <c r="AC102" s="14" t="str">
        <f>IF(OR(T102="",E102=""),"",T102&amp;"|"&amp;E102)</f>
        <v/>
      </c>
      <c r="AD102" s="14" t="str">
        <f>IF(OR(U102="",E102=""),"",U102&amp;"|"&amp;E102)</f>
        <v/>
      </c>
      <c r="AE102" s="14" t="str">
        <f>IF(OR(V102="",E102=""),"",V102&amp;"|"&amp;E102)</f>
        <v/>
      </c>
      <c r="AF102" s="14">
        <f>IF(OR(D102="",E102=""),0,COUNTIF($AC$9:$AC$158,D102&amp;"|"&amp;E102)+COUNTIF($AD$9:$AD$158,D102&amp;"|"&amp;E102)+COUNTIF($AE$9:$AE$158,D102&amp;"|"&amp;E102))</f>
        <v>0</v>
      </c>
      <c r="AG102" s="14">
        <f>Z102+AA102+AB102+AF102</f>
        <v>0</v>
      </c>
      <c r="AH102" s="14" t="str">
        <f>IF(OR(D102="",E102=""),"",IFERROR(MATCH(D102&amp;"|"&amp;E102,$AC$9:$AC$158,0),""))</f>
        <v/>
      </c>
      <c r="AI102" s="14" t="str">
        <f>IF(OR(D102="",E102=""),"",IFERROR(MATCH(D102&amp;"|"&amp;E102,$AD$9:$AD$158,0),""))</f>
        <v/>
      </c>
      <c r="AJ102" s="14" t="str">
        <f>IF(OR(D102="",E102=""),"",IFERROR(MATCH(D102&amp;"|"&amp;E102,$AE$9:$AE$158,0),""))</f>
        <v/>
      </c>
      <c r="AK102" s="14" t="str">
        <f>IF(Z102=1,IFERROR(INDEX($F$9:$F$158,MATCH(T102,$D$9:$D$158,0)),"")&amp;"、","")&amp;IF(AA102=1,IFERROR(INDEX($F$9:$F$158,MATCH(U102,$D$9:$D$158,0)),"")&amp;"、","")&amp;IF(AB102=1,IFERROR(INDEX($F$9:$F$158,MATCH(V102,$D$9:$D$158,0)),"")&amp;"、","")</f>
        <v/>
      </c>
      <c r="AL102" s="14" t="str">
        <f>IF(OR(AH102=""),"",IF(OR(INDEX($D$9:$D$158,AH102)=T102,INDEX($D$9:$D$158,AH102)=U102,INDEX($D$9:$D$158,AH102)=V102),"",INDEX($F$9:$F$158,AH102)&amp;"、"))&amp;IF(OR(AI102="",AI102=AH102),"",IF(OR(INDEX($D$9:$D$158,AI102)=T102,INDEX($D$9:$D$158,AI102)=U102,INDEX($D$9:$D$158,AI102)=V102),"",INDEX($F$9:$F$158,AI102)&amp;"、"))&amp;IF(OR(AJ102="",AJ102=AH102,AJ102=AI102),"",IF(OR(INDEX($D$9:$D$158,AJ102)=T102,INDEX($D$9:$D$158,AJ102)=U102,INDEX($D$9:$D$158,AJ102)=V102),"",INDEX($F$9:$F$158,AJ102)&amp;"、"))</f>
        <v/>
      </c>
      <c r="AM102" s="14" t="str">
        <f>IF(T102="","",IFERROR(INDEX('①名簿入力'!$C$4:$C$153,MATCH(T102,'①名簿入力'!$A$4:$A$153,0)),"?")&amp;IF(W102="","","("&amp;W102&amp;"組)"))</f>
        <v/>
      </c>
      <c r="AN102" s="14" t="str">
        <f>IF(U102="","",IFERROR(INDEX('①名簿入力'!$C$4:$C$153,MATCH(U102,'①名簿入力'!$A$4:$A$153,0)),"?")&amp;IF(X102="","","("&amp;X102&amp;"組)"))</f>
        <v/>
      </c>
      <c r="AO102" s="14" t="str">
        <f>IF(V102="","",IFERROR(INDEX('①名簿入力'!$C$4:$C$153,MATCH(V102,'①名簿入力'!$A$4:$A$153,0)),"?")&amp;IF(Y102="","","("&amp;Y102&amp;"組)"))</f>
        <v/>
      </c>
      <c r="AP102" s="14">
        <f>IF(G102="男",1,IF(G102="女",2,3))</f>
        <v>2</v>
      </c>
      <c r="AQ102" s="14">
        <f>IF(OR(S102="",E102=""),"",IFERROR(IF('③クラス一覧'!$AD$6="番号順",0,AP102*1000000000)+D102,""))</f>
        <v>2000002324</v>
      </c>
      <c r="AR102" s="14">
        <f>IF(AQ102="","",COUNTIFS($E$9:$E$158,E102,$AQ$9:$AQ$158,"&lt;"&amp;AQ102)+1)</f>
        <v>32</v>
      </c>
      <c r="AS102" s="14" t="str">
        <f>IF(AR102="","",E102&amp;"-"&amp;AR102)</f>
        <v>3-32</v>
      </c>
      <c r="AT102" s="14">
        <f>IF(S102="","",IF(INDEX('①名簿入力'!$F$4:$F$153,S102)="","",INDEX('①名簿入力'!$F$4:$F$153,S102)))</f>
        <v>51</v>
      </c>
      <c r="AU102" s="14">
        <f>IF(S102="","",IF(INDEX('①名簿入力'!$G$4:$G$153,S102)="","",INDEX('①名簿入力'!$G$4:$G$153,S102)))</f>
        <v>52</v>
      </c>
      <c r="AV102" s="14">
        <f>IF(S102="","",IF(INDEX('①名簿入力'!$H$4:$H$153,S102)="","",INDEX('①名簿入力'!$H$4:$H$153,S102)))</f>
        <v>51</v>
      </c>
      <c r="AW102" s="14">
        <f>IF(S102="","",IF(INDEX('①名簿入力'!$I$4:$I$153,S102)="","",INDEX('①名簿入力'!$I$4:$I$153,S102)))</f>
        <v>56</v>
      </c>
      <c r="AX102" s="14">
        <f>IF(S102="","",IF(INDEX('①名簿入力'!$J$4:$J$153,S102)="","",INDEX('①名簿入力'!$J$4:$J$153,S102)))</f>
        <v>43</v>
      </c>
    </row>
    <row r="103">
      <c r="A103" s="23">
        <f>IF('①名簿入力'!A98="","",'①名簿入力'!A98)</f>
        <v>2325</v>
      </c>
      <c r="B103" s="23">
        <f>IF(A103="","",'①名簿入力'!U98)</f>
        <v>3</v>
      </c>
      <c r="D103" s="8" t="n">
        <v>2325</v>
      </c>
      <c r="E103" s="24" t="n">
        <v>3</v>
      </c>
      <c r="F103" s="25" t="str">
        <f>IF(D103="","",IF(S103="","（名簿にない番号）",INDEX('①名簿入力'!$C$4:$C$153,S103)&amp;""))</f>
        <v>西村　理沙</v>
      </c>
      <c r="G103" s="13" t="str">
        <f>IF(S103="","",INDEX('①名簿入力'!$E$4:$E$153,S103)&amp;"")</f>
        <v>女</v>
      </c>
      <c r="H103" s="13">
        <f>IF(S103="","",IF(INDEX('①名簿入力'!$B$4:$B$153,S103)="","",INDEX('①名簿入力'!$B$4:$B$153,S103)))</f>
        <v>3</v>
      </c>
      <c r="I103" s="10">
        <f>IF(S103="","",IF(INDEX('①名簿入力'!$K$4:$K$153,S103)="","",INDEX('①名簿入力'!$K$4:$K$153,S103)))</f>
        <v>48.4</v>
      </c>
      <c r="J103" s="10">
        <f>IF(S103="","",IF(INDEX('①名簿入力'!$L$4:$L$153,S103)="","",INDEX('①名簿入力'!$L$4:$L$153,S103)))</f>
        <v>9.7</v>
      </c>
      <c r="K103" s="13" t="str">
        <f>IF(S103="","",IF(INDEX('①名簿入力'!$Y$4:$Y$153,S103)=1,"〇",""))</f>
        <v/>
      </c>
      <c r="L103" s="13" t="str">
        <f>IF(S103="","",IF(INDEX('①名簿入力'!$Z$4:$Z$153,S103)=1,"〇",""))</f>
        <v>〇</v>
      </c>
      <c r="M103" s="13" t="str">
        <f>IF(S103="","",IF(INDEX('①名簿入力'!$AA$4:$AA$153,S103)=1,"〇",""))</f>
        <v/>
      </c>
      <c r="N103" s="13" t="str">
        <f>IF(S103="","",IF(INDEX('①名簿入力'!$AB$4:$AB$153,S103)=1,"〇",""))</f>
        <v/>
      </c>
      <c r="O103" s="25" t="str">
        <f>AM103&amp;IF(AND(AM103&lt;&gt;"",AN103&lt;&gt;""),"、","")&amp;AN103&amp;IF(AND(AM103&amp;AN103&lt;&gt;"",AO103&lt;&gt;""),"、","")&amp;AO103</f>
        <v>副島　美羽(2組)</v>
      </c>
      <c r="P103" s="25" t="str">
        <f>IF(AG103=0,"",IF(AK103&amp;AL103="","⚠",LEFT(AK103&amp;AL103,LEN(AK103&amp;AL103)-1)))</f>
        <v/>
      </c>
      <c r="Q103" s="25" t="str">
        <f>IF(S103="","",INDEX('①名簿入力'!$T$4:$T$153,S103)&amp;"")</f>
        <v>部活：陸上</v>
      </c>
      <c r="S103" s="14">
        <f>IF(D103="","",IFERROR(MATCH(D103,'①名簿入力'!$A$4:$A$153,0),""))</f>
        <v>95</v>
      </c>
      <c r="T103" s="14">
        <f>IF(S103="","",IF(INDEX('①名簿入力'!$AG$4:$AG$153,S103)=D103,"",INDEX('①名簿入力'!$AG$4:$AG$153,S103)))</f>
        <v>2323</v>
      </c>
      <c r="U103" s="14" t="str">
        <f>IF(S103="","",IF(INDEX('①名簿入力'!$AH$4:$AH$153,S103)=D103,"",INDEX('①名簿入力'!$AH$4:$AH$153,S103)))</f>
        <v/>
      </c>
      <c r="V103" s="14" t="str">
        <f>IF(S103="","",IF(INDEX('①名簿入力'!$AI$4:$AI$153,S103)=D103,"",INDEX('①名簿入力'!$AI$4:$AI$153,S103)))</f>
        <v/>
      </c>
      <c r="W103" s="14">
        <f>IF(T103="","",IFERROR(IF(INDEX($E$9:$E$158,MATCH(T103,$D$9:$D$158,0))="","",INDEX($E$9:$E$158,MATCH(T103,$D$9:$D$158,0))),""))</f>
        <v>2</v>
      </c>
      <c r="X103" s="14" t="str">
        <f>IF(U103="","",IFERROR(IF(INDEX($E$9:$E$158,MATCH(U103,$D$9:$D$158,0))="","",INDEX($E$9:$E$158,MATCH(U103,$D$9:$D$158,0))),""))</f>
        <v/>
      </c>
      <c r="Y103" s="14" t="str">
        <f>IF(V103="","",IFERROR(IF(INDEX($E$9:$E$158,MATCH(V103,$D$9:$D$158,0))="","",INDEX($E$9:$E$158,MATCH(V103,$D$9:$D$158,0))),""))</f>
        <v/>
      </c>
      <c r="Z103" s="14">
        <f>IF(AND(T103&lt;&gt;"",W103&lt;&gt;"",E103&lt;&gt;""),IF(W103=E103,1,0),0)</f>
        <v>0</v>
      </c>
      <c r="AA103" s="14">
        <f>IF(AND(U103&lt;&gt;"",X103&lt;&gt;"",E103&lt;&gt;""),IF(X103=E103,1,0),0)</f>
        <v>0</v>
      </c>
      <c r="AB103" s="14">
        <f>IF(AND(V103&lt;&gt;"",Y103&lt;&gt;"",E103&lt;&gt;""),IF(Y103=E103,1,0),0)</f>
        <v>0</v>
      </c>
      <c r="AC103" s="14" t="str">
        <f>IF(OR(T103="",E103=""),"",T103&amp;"|"&amp;E103)</f>
        <v>2323|3</v>
      </c>
      <c r="AD103" s="14" t="str">
        <f>IF(OR(U103="",E103=""),"",U103&amp;"|"&amp;E103)</f>
        <v/>
      </c>
      <c r="AE103" s="14" t="str">
        <f>IF(OR(V103="",E103=""),"",V103&amp;"|"&amp;E103)</f>
        <v/>
      </c>
      <c r="AF103" s="14">
        <f>IF(OR(D103="",E103=""),0,COUNTIF($AC$9:$AC$158,D103&amp;"|"&amp;E103)+COUNTIF($AD$9:$AD$158,D103&amp;"|"&amp;E103)+COUNTIF($AE$9:$AE$158,D103&amp;"|"&amp;E103))</f>
        <v>0</v>
      </c>
      <c r="AG103" s="14">
        <f>Z103+AA103+AB103+AF103</f>
        <v>0</v>
      </c>
      <c r="AH103" s="14" t="str">
        <f>IF(OR(D103="",E103=""),"",IFERROR(MATCH(D103&amp;"|"&amp;E103,$AC$9:$AC$158,0),""))</f>
        <v/>
      </c>
      <c r="AI103" s="14" t="str">
        <f>IF(OR(D103="",E103=""),"",IFERROR(MATCH(D103&amp;"|"&amp;E103,$AD$9:$AD$158,0),""))</f>
        <v/>
      </c>
      <c r="AJ103" s="14" t="str">
        <f>IF(OR(D103="",E103=""),"",IFERROR(MATCH(D103&amp;"|"&amp;E103,$AE$9:$AE$158,0),""))</f>
        <v/>
      </c>
      <c r="AK103" s="14" t="str">
        <f>IF(Z103=1,IFERROR(INDEX($F$9:$F$158,MATCH(T103,$D$9:$D$158,0)),"")&amp;"、","")&amp;IF(AA103=1,IFERROR(INDEX($F$9:$F$158,MATCH(U103,$D$9:$D$158,0)),"")&amp;"、","")&amp;IF(AB103=1,IFERROR(INDEX($F$9:$F$158,MATCH(V103,$D$9:$D$158,0)),"")&amp;"、","")</f>
        <v/>
      </c>
      <c r="AL103" s="14" t="str">
        <f>IF(OR(AH103=""),"",IF(OR(INDEX($D$9:$D$158,AH103)=T103,INDEX($D$9:$D$158,AH103)=U103,INDEX($D$9:$D$158,AH103)=V103),"",INDEX($F$9:$F$158,AH103)&amp;"、"))&amp;IF(OR(AI103="",AI103=AH103),"",IF(OR(INDEX($D$9:$D$158,AI103)=T103,INDEX($D$9:$D$158,AI103)=U103,INDEX($D$9:$D$158,AI103)=V103),"",INDEX($F$9:$F$158,AI103)&amp;"、"))&amp;IF(OR(AJ103="",AJ103=AH103,AJ103=AI103),"",IF(OR(INDEX($D$9:$D$158,AJ103)=T103,INDEX($D$9:$D$158,AJ103)=U103,INDEX($D$9:$D$158,AJ103)=V103),"",INDEX($F$9:$F$158,AJ103)&amp;"、"))</f>
        <v/>
      </c>
      <c r="AM103" s="14" t="str">
        <f>IF(T103="","",IFERROR(INDEX('①名簿入力'!$C$4:$C$153,MATCH(T103,'①名簿入力'!$A$4:$A$153,0)),"?")&amp;IF(W103="","","("&amp;W103&amp;"組)"))</f>
        <v>副島　美羽(2組)</v>
      </c>
      <c r="AN103" s="14" t="str">
        <f>IF(U103="","",IFERROR(INDEX('①名簿入力'!$C$4:$C$153,MATCH(U103,'①名簿入力'!$A$4:$A$153,0)),"?")&amp;IF(X103="","","("&amp;X103&amp;"組)"))</f>
        <v/>
      </c>
      <c r="AO103" s="14" t="str">
        <f>IF(V103="","",IFERROR(INDEX('①名簿入力'!$C$4:$C$153,MATCH(V103,'①名簿入力'!$A$4:$A$153,0)),"?")&amp;IF(Y103="","","("&amp;Y103&amp;"組)"))</f>
        <v/>
      </c>
      <c r="AP103" s="14">
        <f>IF(G103="男",1,IF(G103="女",2,3))</f>
        <v>2</v>
      </c>
      <c r="AQ103" s="14">
        <f>IF(OR(S103="",E103=""),"",IFERROR(IF('③クラス一覧'!$AD$6="番号順",0,AP103*1000000000)+D103,""))</f>
        <v>2000002325</v>
      </c>
      <c r="AR103" s="14">
        <f>IF(AQ103="","",COUNTIFS($E$9:$E$158,E103,$AQ$9:$AQ$158,"&lt;"&amp;AQ103)+1)</f>
        <v>33</v>
      </c>
      <c r="AS103" s="14" t="str">
        <f>IF(AR103="","",E103&amp;"-"&amp;AR103)</f>
        <v>3-33</v>
      </c>
      <c r="AT103" s="14">
        <f>IF(S103="","",IF(INDEX('①名簿入力'!$F$4:$F$153,S103)="","",INDEX('①名簿入力'!$F$4:$F$153,S103)))</f>
        <v>46</v>
      </c>
      <c r="AU103" s="14">
        <f>IF(S103="","",IF(INDEX('①名簿入力'!$G$4:$G$153,S103)="","",INDEX('①名簿入力'!$G$4:$G$153,S103)))</f>
        <v>53</v>
      </c>
      <c r="AV103" s="14">
        <f>IF(S103="","",IF(INDEX('①名簿入力'!$H$4:$H$153,S103)="","",INDEX('①名簿入力'!$H$4:$H$153,S103)))</f>
        <v>46</v>
      </c>
      <c r="AW103" s="14">
        <f>IF(S103="","",IF(INDEX('①名簿入力'!$I$4:$I$153,S103)="","",INDEX('①名簿入力'!$I$4:$I$153,S103)))</f>
        <v>46</v>
      </c>
      <c r="AX103" s="14">
        <f>IF(S103="","",IF(INDEX('①名簿入力'!$J$4:$J$153,S103)="","",INDEX('①名簿入力'!$J$4:$J$153,S103)))</f>
        <v>51</v>
      </c>
    </row>
    <row r="104">
      <c r="A104" s="23">
        <f>IF('①名簿入力'!A99="","",'①名簿入力'!A99)</f>
        <v>2326</v>
      </c>
      <c r="B104" s="23">
        <f>IF(A104="","",'①名簿入力'!U99)</f>
        <v>3</v>
      </c>
      <c r="D104" s="8" t="n">
        <v>2326</v>
      </c>
      <c r="E104" s="24" t="n">
        <v>3</v>
      </c>
      <c r="F104" s="25" t="str">
        <f>IF(D104="","",IF(S104="","（名簿にない番号）",INDEX('①名簿入力'!$C$4:$C$153,S104)&amp;""))</f>
        <v>野中　理沙</v>
      </c>
      <c r="G104" s="13" t="str">
        <f>IF(S104="","",INDEX('①名簿入力'!$E$4:$E$153,S104)&amp;"")</f>
        <v>女</v>
      </c>
      <c r="H104" s="13">
        <f>IF(S104="","",IF(INDEX('①名簿入力'!$B$4:$B$153,S104)="","",INDEX('①名簿入力'!$B$4:$B$153,S104)))</f>
        <v>3</v>
      </c>
      <c r="I104" s="10">
        <f>IF(S104="","",IF(INDEX('①名簿入力'!$K$4:$K$153,S104)="","",INDEX('①名簿入力'!$K$4:$K$153,S104)))</f>
        <v>53.2</v>
      </c>
      <c r="J104" s="10">
        <f>IF(S104="","",IF(INDEX('①名簿入力'!$L$4:$L$153,S104)="","",INDEX('①名簿入力'!$L$4:$L$153,S104)))</f>
        <v>7.9</v>
      </c>
      <c r="K104" s="13" t="str">
        <f>IF(S104="","",IF(INDEX('①名簿入力'!$Y$4:$Y$153,S104)=1,"〇",""))</f>
        <v/>
      </c>
      <c r="L104" s="13" t="str">
        <f>IF(S104="","",IF(INDEX('①名簿入力'!$Z$4:$Z$153,S104)=1,"〇",""))</f>
        <v/>
      </c>
      <c r="M104" s="13" t="str">
        <f>IF(S104="","",IF(INDEX('①名簿入力'!$AA$4:$AA$153,S104)=1,"〇",""))</f>
        <v/>
      </c>
      <c r="N104" s="13" t="str">
        <f>IF(S104="","",IF(INDEX('①名簿入力'!$AB$4:$AB$153,S104)=1,"〇",""))</f>
        <v/>
      </c>
      <c r="O104" s="25" t="str">
        <f>AM104&amp;IF(AND(AM104&lt;&gt;"",AN104&lt;&gt;""),"、","")&amp;AN104&amp;IF(AND(AM104&amp;AN104&lt;&gt;"",AO104&lt;&gt;""),"、","")&amp;AO104</f>
        <v/>
      </c>
      <c r="P104" s="25" t="str">
        <f>IF(AG104=0,"",IF(AK104&amp;AL104="","⚠",LEFT(AK104&amp;AL104,LEN(AK104&amp;AL104)-1)))</f>
        <v/>
      </c>
      <c r="Q104" s="25" t="str">
        <f>IF(S104="","",INDEX('①名簿入力'!$T$4:$T$153,S104)&amp;"")</f>
        <v/>
      </c>
      <c r="S104" s="14">
        <f>IF(D104="","",IFERROR(MATCH(D104,'①名簿入力'!$A$4:$A$153,0),""))</f>
        <v>96</v>
      </c>
      <c r="T104" s="14" t="str">
        <f>IF(S104="","",IF(INDEX('①名簿入力'!$AG$4:$AG$153,S104)=D104,"",INDEX('①名簿入力'!$AG$4:$AG$153,S104)))</f>
        <v/>
      </c>
      <c r="U104" s="14" t="str">
        <f>IF(S104="","",IF(INDEX('①名簿入力'!$AH$4:$AH$153,S104)=D104,"",INDEX('①名簿入力'!$AH$4:$AH$153,S104)))</f>
        <v/>
      </c>
      <c r="V104" s="14" t="str">
        <f>IF(S104="","",IF(INDEX('①名簿入力'!$AI$4:$AI$153,S104)=D104,"",INDEX('①名簿入力'!$AI$4:$AI$153,S104)))</f>
        <v/>
      </c>
      <c r="W104" s="14" t="str">
        <f>IF(T104="","",IFERROR(IF(INDEX($E$9:$E$158,MATCH(T104,$D$9:$D$158,0))="","",INDEX($E$9:$E$158,MATCH(T104,$D$9:$D$158,0))),""))</f>
        <v/>
      </c>
      <c r="X104" s="14" t="str">
        <f>IF(U104="","",IFERROR(IF(INDEX($E$9:$E$158,MATCH(U104,$D$9:$D$158,0))="","",INDEX($E$9:$E$158,MATCH(U104,$D$9:$D$158,0))),""))</f>
        <v/>
      </c>
      <c r="Y104" s="14" t="str">
        <f>IF(V104="","",IFERROR(IF(INDEX($E$9:$E$158,MATCH(V104,$D$9:$D$158,0))="","",INDEX($E$9:$E$158,MATCH(V104,$D$9:$D$158,0))),""))</f>
        <v/>
      </c>
      <c r="Z104" s="14">
        <f>IF(AND(T104&lt;&gt;"",W104&lt;&gt;"",E104&lt;&gt;""),IF(W104=E104,1,0),0)</f>
        <v>0</v>
      </c>
      <c r="AA104" s="14">
        <f>IF(AND(U104&lt;&gt;"",X104&lt;&gt;"",E104&lt;&gt;""),IF(X104=E104,1,0),0)</f>
        <v>0</v>
      </c>
      <c r="AB104" s="14">
        <f>IF(AND(V104&lt;&gt;"",Y104&lt;&gt;"",E104&lt;&gt;""),IF(Y104=E104,1,0),0)</f>
        <v>0</v>
      </c>
      <c r="AC104" s="14" t="str">
        <f>IF(OR(T104="",E104=""),"",T104&amp;"|"&amp;E104)</f>
        <v/>
      </c>
      <c r="AD104" s="14" t="str">
        <f>IF(OR(U104="",E104=""),"",U104&amp;"|"&amp;E104)</f>
        <v/>
      </c>
      <c r="AE104" s="14" t="str">
        <f>IF(OR(V104="",E104=""),"",V104&amp;"|"&amp;E104)</f>
        <v/>
      </c>
      <c r="AF104" s="14">
        <f>IF(OR(D104="",E104=""),0,COUNTIF($AC$9:$AC$158,D104&amp;"|"&amp;E104)+COUNTIF($AD$9:$AD$158,D104&amp;"|"&amp;E104)+COUNTIF($AE$9:$AE$158,D104&amp;"|"&amp;E104))</f>
        <v>0</v>
      </c>
      <c r="AG104" s="14">
        <f>Z104+AA104+AB104+AF104</f>
        <v>0</v>
      </c>
      <c r="AH104" s="14" t="str">
        <f>IF(OR(D104="",E104=""),"",IFERROR(MATCH(D104&amp;"|"&amp;E104,$AC$9:$AC$158,0),""))</f>
        <v/>
      </c>
      <c r="AI104" s="14" t="str">
        <f>IF(OR(D104="",E104=""),"",IFERROR(MATCH(D104&amp;"|"&amp;E104,$AD$9:$AD$158,0),""))</f>
        <v/>
      </c>
      <c r="AJ104" s="14" t="str">
        <f>IF(OR(D104="",E104=""),"",IFERROR(MATCH(D104&amp;"|"&amp;E104,$AE$9:$AE$158,0),""))</f>
        <v/>
      </c>
      <c r="AK104" s="14" t="str">
        <f>IF(Z104=1,IFERROR(INDEX($F$9:$F$158,MATCH(T104,$D$9:$D$158,0)),"")&amp;"、","")&amp;IF(AA104=1,IFERROR(INDEX($F$9:$F$158,MATCH(U104,$D$9:$D$158,0)),"")&amp;"、","")&amp;IF(AB104=1,IFERROR(INDEX($F$9:$F$158,MATCH(V104,$D$9:$D$158,0)),"")&amp;"、","")</f>
        <v/>
      </c>
      <c r="AL104" s="14" t="str">
        <f>IF(OR(AH104=""),"",IF(OR(INDEX($D$9:$D$158,AH104)=T104,INDEX($D$9:$D$158,AH104)=U104,INDEX($D$9:$D$158,AH104)=V104),"",INDEX($F$9:$F$158,AH104)&amp;"、"))&amp;IF(OR(AI104="",AI104=AH104),"",IF(OR(INDEX($D$9:$D$158,AI104)=T104,INDEX($D$9:$D$158,AI104)=U104,INDEX($D$9:$D$158,AI104)=V104),"",INDEX($F$9:$F$158,AI104)&amp;"、"))&amp;IF(OR(AJ104="",AJ104=AH104,AJ104=AI104),"",IF(OR(INDEX($D$9:$D$158,AJ104)=T104,INDEX($D$9:$D$158,AJ104)=U104,INDEX($D$9:$D$158,AJ104)=V104),"",INDEX($F$9:$F$158,AJ104)&amp;"、"))</f>
        <v/>
      </c>
      <c r="AM104" s="14" t="str">
        <f>IF(T104="","",IFERROR(INDEX('①名簿入力'!$C$4:$C$153,MATCH(T104,'①名簿入力'!$A$4:$A$153,0)),"?")&amp;IF(W104="","","("&amp;W104&amp;"組)"))</f>
        <v/>
      </c>
      <c r="AN104" s="14" t="str">
        <f>IF(U104="","",IFERROR(INDEX('①名簿入力'!$C$4:$C$153,MATCH(U104,'①名簿入力'!$A$4:$A$153,0)),"?")&amp;IF(X104="","","("&amp;X104&amp;"組)"))</f>
        <v/>
      </c>
      <c r="AO104" s="14" t="str">
        <f>IF(V104="","",IFERROR(INDEX('①名簿入力'!$C$4:$C$153,MATCH(V104,'①名簿入力'!$A$4:$A$153,0)),"?")&amp;IF(Y104="","","("&amp;Y104&amp;"組)"))</f>
        <v/>
      </c>
      <c r="AP104" s="14">
        <f>IF(G104="男",1,IF(G104="女",2,3))</f>
        <v>2</v>
      </c>
      <c r="AQ104" s="14">
        <f>IF(OR(S104="",E104=""),"",IFERROR(IF('③クラス一覧'!$AD$6="番号順",0,AP104*1000000000)+D104,""))</f>
        <v>2000002326</v>
      </c>
      <c r="AR104" s="14">
        <f>IF(AQ104="","",COUNTIFS($E$9:$E$158,E104,$AQ$9:$AQ$158,"&lt;"&amp;AQ104)+1)</f>
        <v>34</v>
      </c>
      <c r="AS104" s="14" t="str">
        <f>IF(AR104="","",E104&amp;"-"&amp;AR104)</f>
        <v>3-34</v>
      </c>
      <c r="AT104" s="14">
        <f>IF(S104="","",IF(INDEX('①名簿入力'!$F$4:$F$153,S104)="","",INDEX('①名簿入力'!$F$4:$F$153,S104)))</f>
        <v>42</v>
      </c>
      <c r="AU104" s="14">
        <f>IF(S104="","",IF(INDEX('①名簿入力'!$G$4:$G$153,S104)="","",INDEX('①名簿入力'!$G$4:$G$153,S104)))</f>
        <v>50</v>
      </c>
      <c r="AV104" s="14">
        <f>IF(S104="","",IF(INDEX('①名簿入力'!$H$4:$H$153,S104)="","",INDEX('①名簿入力'!$H$4:$H$153,S104)))</f>
        <v>64</v>
      </c>
      <c r="AW104" s="14">
        <f>IF(S104="","",IF(INDEX('①名簿入力'!$I$4:$I$153,S104)="","",INDEX('①名簿入力'!$I$4:$I$153,S104)))</f>
        <v>55</v>
      </c>
      <c r="AX104" s="14">
        <f>IF(S104="","",IF(INDEX('①名簿入力'!$J$4:$J$153,S104)="","",INDEX('①名簿入力'!$J$4:$J$153,S104)))</f>
        <v>55</v>
      </c>
    </row>
    <row r="105">
      <c r="A105" s="23">
        <f>IF('①名簿入力'!A100="","",'①名簿入力'!A100)</f>
        <v>2327</v>
      </c>
      <c r="B105" s="23">
        <f>IF(A105="","",'①名簿入力'!U100)</f>
        <v>2</v>
      </c>
      <c r="D105" s="8" t="n">
        <v>2327</v>
      </c>
      <c r="E105" s="24" t="n">
        <v>2</v>
      </c>
      <c r="F105" s="25" t="str">
        <f>IF(D105="","",IF(S105="","（名簿にない番号）",INDEX('①名簿入力'!$C$4:$C$153,S105)&amp;""))</f>
        <v>橋本　芽依</v>
      </c>
      <c r="G105" s="13" t="str">
        <f>IF(S105="","",INDEX('①名簿入力'!$E$4:$E$153,S105)&amp;"")</f>
        <v>女</v>
      </c>
      <c r="H105" s="13">
        <f>IF(S105="","",IF(INDEX('①名簿入力'!$B$4:$B$153,S105)="","",INDEX('①名簿入力'!$B$4:$B$153,S105)))</f>
        <v>3</v>
      </c>
      <c r="I105" s="10">
        <f>IF(S105="","",IF(INDEX('①名簿入力'!$K$4:$K$153,S105)="","",INDEX('①名簿入力'!$K$4:$K$153,S105)))</f>
        <v>66</v>
      </c>
      <c r="J105" s="10">
        <f>IF(S105="","",IF(INDEX('①名簿入力'!$L$4:$L$153,S105)="","",INDEX('①名簿入力'!$L$4:$L$153,S105)))</f>
        <v>9</v>
      </c>
      <c r="K105" s="13" t="str">
        <f>IF(S105="","",IF(INDEX('①名簿入力'!$Y$4:$Y$153,S105)=1,"〇",""))</f>
        <v>〇</v>
      </c>
      <c r="L105" s="13" t="str">
        <f>IF(S105="","",IF(INDEX('①名簿入力'!$Z$4:$Z$153,S105)=1,"〇",""))</f>
        <v/>
      </c>
      <c r="M105" s="13" t="str">
        <f>IF(S105="","",IF(INDEX('①名簿入力'!$AA$4:$AA$153,S105)=1,"〇",""))</f>
        <v/>
      </c>
      <c r="N105" s="13" t="str">
        <f>IF(S105="","",IF(INDEX('①名簿入力'!$AB$4:$AB$153,S105)=1,"〇",""))</f>
        <v/>
      </c>
      <c r="O105" s="25" t="str">
        <f>AM105&amp;IF(AND(AM105&lt;&gt;"",AN105&lt;&gt;""),"、","")&amp;AN105&amp;IF(AND(AM105&amp;AN105&lt;&gt;"",AO105&lt;&gt;""),"、","")&amp;AO105</f>
        <v/>
      </c>
      <c r="P105" s="25" t="str">
        <f>IF(AG105=0,"",IF(AK105&amp;AL105="","⚠",LEFT(AK105&amp;AL105,LEN(AK105&amp;AL105)-1)))</f>
        <v/>
      </c>
      <c r="Q105" s="25" t="str">
        <f>IF(S105="","",INDEX('①名簿入力'!$T$4:$T$153,S105)&amp;"")</f>
        <v/>
      </c>
      <c r="S105" s="14">
        <f>IF(D105="","",IFERROR(MATCH(D105,'①名簿入力'!$A$4:$A$153,0),""))</f>
        <v>97</v>
      </c>
      <c r="T105" s="14" t="str">
        <f>IF(S105="","",IF(INDEX('①名簿入力'!$AG$4:$AG$153,S105)=D105,"",INDEX('①名簿入力'!$AG$4:$AG$153,S105)))</f>
        <v/>
      </c>
      <c r="U105" s="14" t="str">
        <f>IF(S105="","",IF(INDEX('①名簿入力'!$AH$4:$AH$153,S105)=D105,"",INDEX('①名簿入力'!$AH$4:$AH$153,S105)))</f>
        <v/>
      </c>
      <c r="V105" s="14" t="str">
        <f>IF(S105="","",IF(INDEX('①名簿入力'!$AI$4:$AI$153,S105)=D105,"",INDEX('①名簿入力'!$AI$4:$AI$153,S105)))</f>
        <v/>
      </c>
      <c r="W105" s="14" t="str">
        <f>IF(T105="","",IFERROR(IF(INDEX($E$9:$E$158,MATCH(T105,$D$9:$D$158,0))="","",INDEX($E$9:$E$158,MATCH(T105,$D$9:$D$158,0))),""))</f>
        <v/>
      </c>
      <c r="X105" s="14" t="str">
        <f>IF(U105="","",IFERROR(IF(INDEX($E$9:$E$158,MATCH(U105,$D$9:$D$158,0))="","",INDEX($E$9:$E$158,MATCH(U105,$D$9:$D$158,0))),""))</f>
        <v/>
      </c>
      <c r="Y105" s="14" t="str">
        <f>IF(V105="","",IFERROR(IF(INDEX($E$9:$E$158,MATCH(V105,$D$9:$D$158,0))="","",INDEX($E$9:$E$158,MATCH(V105,$D$9:$D$158,0))),""))</f>
        <v/>
      </c>
      <c r="Z105" s="14">
        <f>IF(AND(T105&lt;&gt;"",W105&lt;&gt;"",E105&lt;&gt;""),IF(W105=E105,1,0),0)</f>
        <v>0</v>
      </c>
      <c r="AA105" s="14">
        <f>IF(AND(U105&lt;&gt;"",X105&lt;&gt;"",E105&lt;&gt;""),IF(X105=E105,1,0),0)</f>
        <v>0</v>
      </c>
      <c r="AB105" s="14">
        <f>IF(AND(V105&lt;&gt;"",Y105&lt;&gt;"",E105&lt;&gt;""),IF(Y105=E105,1,0),0)</f>
        <v>0</v>
      </c>
      <c r="AC105" s="14" t="str">
        <f>IF(OR(T105="",E105=""),"",T105&amp;"|"&amp;E105)</f>
        <v/>
      </c>
      <c r="AD105" s="14" t="str">
        <f>IF(OR(U105="",E105=""),"",U105&amp;"|"&amp;E105)</f>
        <v/>
      </c>
      <c r="AE105" s="14" t="str">
        <f>IF(OR(V105="",E105=""),"",V105&amp;"|"&amp;E105)</f>
        <v/>
      </c>
      <c r="AF105" s="14">
        <f>IF(OR(D105="",E105=""),0,COUNTIF($AC$9:$AC$158,D105&amp;"|"&amp;E105)+COUNTIF($AD$9:$AD$158,D105&amp;"|"&amp;E105)+COUNTIF($AE$9:$AE$158,D105&amp;"|"&amp;E105))</f>
        <v>0</v>
      </c>
      <c r="AG105" s="14">
        <f>Z105+AA105+AB105+AF105</f>
        <v>0</v>
      </c>
      <c r="AH105" s="14" t="str">
        <f>IF(OR(D105="",E105=""),"",IFERROR(MATCH(D105&amp;"|"&amp;E105,$AC$9:$AC$158,0),""))</f>
        <v/>
      </c>
      <c r="AI105" s="14" t="str">
        <f>IF(OR(D105="",E105=""),"",IFERROR(MATCH(D105&amp;"|"&amp;E105,$AD$9:$AD$158,0),""))</f>
        <v/>
      </c>
      <c r="AJ105" s="14" t="str">
        <f>IF(OR(D105="",E105=""),"",IFERROR(MATCH(D105&amp;"|"&amp;E105,$AE$9:$AE$158,0),""))</f>
        <v/>
      </c>
      <c r="AK105" s="14" t="str">
        <f>IF(Z105=1,IFERROR(INDEX($F$9:$F$158,MATCH(T105,$D$9:$D$158,0)),"")&amp;"、","")&amp;IF(AA105=1,IFERROR(INDEX($F$9:$F$158,MATCH(U105,$D$9:$D$158,0)),"")&amp;"、","")&amp;IF(AB105=1,IFERROR(INDEX($F$9:$F$158,MATCH(V105,$D$9:$D$158,0)),"")&amp;"、","")</f>
        <v/>
      </c>
      <c r="AL105" s="14" t="str">
        <f>IF(OR(AH105=""),"",IF(OR(INDEX($D$9:$D$158,AH105)=T105,INDEX($D$9:$D$158,AH105)=U105,INDEX($D$9:$D$158,AH105)=V105),"",INDEX($F$9:$F$158,AH105)&amp;"、"))&amp;IF(OR(AI105="",AI105=AH105),"",IF(OR(INDEX($D$9:$D$158,AI105)=T105,INDEX($D$9:$D$158,AI105)=U105,INDEX($D$9:$D$158,AI105)=V105),"",INDEX($F$9:$F$158,AI105)&amp;"、"))&amp;IF(OR(AJ105="",AJ105=AH105,AJ105=AI105),"",IF(OR(INDEX($D$9:$D$158,AJ105)=T105,INDEX($D$9:$D$158,AJ105)=U105,INDEX($D$9:$D$158,AJ105)=V105),"",INDEX($F$9:$F$158,AJ105)&amp;"、"))</f>
        <v/>
      </c>
      <c r="AM105" s="14" t="str">
        <f>IF(T105="","",IFERROR(INDEX('①名簿入力'!$C$4:$C$153,MATCH(T105,'①名簿入力'!$A$4:$A$153,0)),"?")&amp;IF(W105="","","("&amp;W105&amp;"組)"))</f>
        <v/>
      </c>
      <c r="AN105" s="14" t="str">
        <f>IF(U105="","",IFERROR(INDEX('①名簿入力'!$C$4:$C$153,MATCH(U105,'①名簿入力'!$A$4:$A$153,0)),"?")&amp;IF(X105="","","("&amp;X105&amp;"組)"))</f>
        <v/>
      </c>
      <c r="AO105" s="14" t="str">
        <f>IF(V105="","",IFERROR(INDEX('①名簿入力'!$C$4:$C$153,MATCH(V105,'①名簿入力'!$A$4:$A$153,0)),"?")&amp;IF(Y105="","","("&amp;Y105&amp;"組)"))</f>
        <v/>
      </c>
      <c r="AP105" s="14">
        <f>IF(G105="男",1,IF(G105="女",2,3))</f>
        <v>2</v>
      </c>
      <c r="AQ105" s="14">
        <f>IF(OR(S105="",E105=""),"",IFERROR(IF('③クラス一覧'!$AD$6="番号順",0,AP105*1000000000)+D105,""))</f>
        <v>2000002327</v>
      </c>
      <c r="AR105" s="14">
        <f>IF(AQ105="","",COUNTIFS($E$9:$E$158,E105,$AQ$9:$AQ$158,"&lt;"&amp;AQ105)+1)</f>
        <v>34</v>
      </c>
      <c r="AS105" s="14" t="str">
        <f>IF(AR105="","",E105&amp;"-"&amp;AR105)</f>
        <v>2-34</v>
      </c>
      <c r="AT105" s="14">
        <f>IF(S105="","",IF(INDEX('①名簿入力'!$F$4:$F$153,S105)="","",INDEX('①名簿入力'!$F$4:$F$153,S105)))</f>
        <v>75</v>
      </c>
      <c r="AU105" s="14">
        <f>IF(S105="","",IF(INDEX('①名簿入力'!$G$4:$G$153,S105)="","",INDEX('①名簿入力'!$G$4:$G$153,S105)))</f>
        <v>55</v>
      </c>
      <c r="AV105" s="14">
        <f>IF(S105="","",IF(INDEX('①名簿入力'!$H$4:$H$153,S105)="","",INDEX('①名簿入力'!$H$4:$H$153,S105)))</f>
        <v>63</v>
      </c>
      <c r="AW105" s="14">
        <f>IF(S105="","",IF(INDEX('①名簿入力'!$I$4:$I$153,S105)="","",INDEX('①名簿入力'!$I$4:$I$153,S105)))</f>
        <v>61</v>
      </c>
      <c r="AX105" s="14">
        <f>IF(S105="","",IF(INDEX('①名簿入力'!$J$4:$J$153,S105)="","",INDEX('①名簿入力'!$J$4:$J$153,S105)))</f>
        <v>76</v>
      </c>
    </row>
    <row r="106">
      <c r="A106" s="23">
        <f>IF('①名簿入力'!A101="","",'①名簿入力'!A101)</f>
        <v>2328</v>
      </c>
      <c r="B106" s="23">
        <f>IF(A106="","",'①名簿入力'!U101)</f>
        <v>1</v>
      </c>
      <c r="D106" s="8" t="n">
        <v>2328</v>
      </c>
      <c r="E106" s="24" t="n">
        <v>1</v>
      </c>
      <c r="F106" s="25" t="str">
        <f>IF(D106="","",IF(S106="","（名簿にない番号）",INDEX('①名簿入力'!$C$4:$C$153,S106)&amp;""))</f>
        <v>林　湊</v>
      </c>
      <c r="G106" s="13" t="str">
        <f>IF(S106="","",INDEX('①名簿入力'!$E$4:$E$153,S106)&amp;"")</f>
        <v>男</v>
      </c>
      <c r="H106" s="13">
        <f>IF(S106="","",IF(INDEX('①名簿入力'!$B$4:$B$153,S106)="","",INDEX('①名簿入力'!$B$4:$B$153,S106)))</f>
        <v>3</v>
      </c>
      <c r="I106" s="10">
        <f>IF(S106="","",IF(INDEX('①名簿入力'!$K$4:$K$153,S106)="","",INDEX('①名簿入力'!$K$4:$K$153,S106)))</f>
        <v>62.8</v>
      </c>
      <c r="J106" s="10">
        <f>IF(S106="","",IF(INDEX('①名簿入力'!$L$4:$L$153,S106)="","",INDEX('①名簿入力'!$L$4:$L$153,S106)))</f>
        <v>8.3</v>
      </c>
      <c r="K106" s="13" t="str">
        <f>IF(S106="","",IF(INDEX('①名簿入力'!$Y$4:$Y$153,S106)=1,"〇",""))</f>
        <v/>
      </c>
      <c r="L106" s="13" t="str">
        <f>IF(S106="","",IF(INDEX('①名簿入力'!$Z$4:$Z$153,S106)=1,"〇",""))</f>
        <v/>
      </c>
      <c r="M106" s="13" t="str">
        <f>IF(S106="","",IF(INDEX('①名簿入力'!$AA$4:$AA$153,S106)=1,"〇",""))</f>
        <v/>
      </c>
      <c r="N106" s="13" t="str">
        <f>IF(S106="","",IF(INDEX('①名簿入力'!$AB$4:$AB$153,S106)=1,"〇",""))</f>
        <v/>
      </c>
      <c r="O106" s="25" t="str">
        <f>AM106&amp;IF(AND(AM106&lt;&gt;"",AN106&lt;&gt;""),"、","")&amp;AN106&amp;IF(AND(AM106&amp;AN106&lt;&gt;"",AO106&lt;&gt;""),"、","")&amp;AO106</f>
        <v/>
      </c>
      <c r="P106" s="25" t="str">
        <f>IF(AG106=0,"",IF(AK106&amp;AL106="","⚠",LEFT(AK106&amp;AL106,LEN(AK106&amp;AL106)-1)))</f>
        <v/>
      </c>
      <c r="Q106" s="25" t="str">
        <f>IF(S106="","",INDEX('①名簿入力'!$T$4:$T$153,S106)&amp;"")</f>
        <v/>
      </c>
      <c r="S106" s="14">
        <f>IF(D106="","",IFERROR(MATCH(D106,'①名簿入力'!$A$4:$A$153,0),""))</f>
        <v>98</v>
      </c>
      <c r="T106" s="14" t="str">
        <f>IF(S106="","",IF(INDEX('①名簿入力'!$AG$4:$AG$153,S106)=D106,"",INDEX('①名簿入力'!$AG$4:$AG$153,S106)))</f>
        <v/>
      </c>
      <c r="U106" s="14" t="str">
        <f>IF(S106="","",IF(INDEX('①名簿入力'!$AH$4:$AH$153,S106)=D106,"",INDEX('①名簿入力'!$AH$4:$AH$153,S106)))</f>
        <v/>
      </c>
      <c r="V106" s="14" t="str">
        <f>IF(S106="","",IF(INDEX('①名簿入力'!$AI$4:$AI$153,S106)=D106,"",INDEX('①名簿入力'!$AI$4:$AI$153,S106)))</f>
        <v/>
      </c>
      <c r="W106" s="14" t="str">
        <f>IF(T106="","",IFERROR(IF(INDEX($E$9:$E$158,MATCH(T106,$D$9:$D$158,0))="","",INDEX($E$9:$E$158,MATCH(T106,$D$9:$D$158,0))),""))</f>
        <v/>
      </c>
      <c r="X106" s="14" t="str">
        <f>IF(U106="","",IFERROR(IF(INDEX($E$9:$E$158,MATCH(U106,$D$9:$D$158,0))="","",INDEX($E$9:$E$158,MATCH(U106,$D$9:$D$158,0))),""))</f>
        <v/>
      </c>
      <c r="Y106" s="14" t="str">
        <f>IF(V106="","",IFERROR(IF(INDEX($E$9:$E$158,MATCH(V106,$D$9:$D$158,0))="","",INDEX($E$9:$E$158,MATCH(V106,$D$9:$D$158,0))),""))</f>
        <v/>
      </c>
      <c r="Z106" s="14">
        <f>IF(AND(T106&lt;&gt;"",W106&lt;&gt;"",E106&lt;&gt;""),IF(W106=E106,1,0),0)</f>
        <v>0</v>
      </c>
      <c r="AA106" s="14">
        <f>IF(AND(U106&lt;&gt;"",X106&lt;&gt;"",E106&lt;&gt;""),IF(X106=E106,1,0),0)</f>
        <v>0</v>
      </c>
      <c r="AB106" s="14">
        <f>IF(AND(V106&lt;&gt;"",Y106&lt;&gt;"",E106&lt;&gt;""),IF(Y106=E106,1,0),0)</f>
        <v>0</v>
      </c>
      <c r="AC106" s="14" t="str">
        <f>IF(OR(T106="",E106=""),"",T106&amp;"|"&amp;E106)</f>
        <v/>
      </c>
      <c r="AD106" s="14" t="str">
        <f>IF(OR(U106="",E106=""),"",U106&amp;"|"&amp;E106)</f>
        <v/>
      </c>
      <c r="AE106" s="14" t="str">
        <f>IF(OR(V106="",E106=""),"",V106&amp;"|"&amp;E106)</f>
        <v/>
      </c>
      <c r="AF106" s="14">
        <f>IF(OR(D106="",E106=""),0,COUNTIF($AC$9:$AC$158,D106&amp;"|"&amp;E106)+COUNTIF($AD$9:$AD$158,D106&amp;"|"&amp;E106)+COUNTIF($AE$9:$AE$158,D106&amp;"|"&amp;E106))</f>
        <v>0</v>
      </c>
      <c r="AG106" s="14">
        <f>Z106+AA106+AB106+AF106</f>
        <v>0</v>
      </c>
      <c r="AH106" s="14" t="str">
        <f>IF(OR(D106="",E106=""),"",IFERROR(MATCH(D106&amp;"|"&amp;E106,$AC$9:$AC$158,0),""))</f>
        <v/>
      </c>
      <c r="AI106" s="14" t="str">
        <f>IF(OR(D106="",E106=""),"",IFERROR(MATCH(D106&amp;"|"&amp;E106,$AD$9:$AD$158,0),""))</f>
        <v/>
      </c>
      <c r="AJ106" s="14" t="str">
        <f>IF(OR(D106="",E106=""),"",IFERROR(MATCH(D106&amp;"|"&amp;E106,$AE$9:$AE$158,0),""))</f>
        <v/>
      </c>
      <c r="AK106" s="14" t="str">
        <f>IF(Z106=1,IFERROR(INDEX($F$9:$F$158,MATCH(T106,$D$9:$D$158,0)),"")&amp;"、","")&amp;IF(AA106=1,IFERROR(INDEX($F$9:$F$158,MATCH(U106,$D$9:$D$158,0)),"")&amp;"、","")&amp;IF(AB106=1,IFERROR(INDEX($F$9:$F$158,MATCH(V106,$D$9:$D$158,0)),"")&amp;"、","")</f>
        <v/>
      </c>
      <c r="AL106" s="14" t="str">
        <f>IF(OR(AH106=""),"",IF(OR(INDEX($D$9:$D$158,AH106)=T106,INDEX($D$9:$D$158,AH106)=U106,INDEX($D$9:$D$158,AH106)=V106),"",INDEX($F$9:$F$158,AH106)&amp;"、"))&amp;IF(OR(AI106="",AI106=AH106),"",IF(OR(INDEX($D$9:$D$158,AI106)=T106,INDEX($D$9:$D$158,AI106)=U106,INDEX($D$9:$D$158,AI106)=V106),"",INDEX($F$9:$F$158,AI106)&amp;"、"))&amp;IF(OR(AJ106="",AJ106=AH106,AJ106=AI106),"",IF(OR(INDEX($D$9:$D$158,AJ106)=T106,INDEX($D$9:$D$158,AJ106)=U106,INDEX($D$9:$D$158,AJ106)=V106),"",INDEX($F$9:$F$158,AJ106)&amp;"、"))</f>
        <v/>
      </c>
      <c r="AM106" s="14" t="str">
        <f>IF(T106="","",IFERROR(INDEX('①名簿入力'!$C$4:$C$153,MATCH(T106,'①名簿入力'!$A$4:$A$153,0)),"?")&amp;IF(W106="","","("&amp;W106&amp;"組)"))</f>
        <v/>
      </c>
      <c r="AN106" s="14" t="str">
        <f>IF(U106="","",IFERROR(INDEX('①名簿入力'!$C$4:$C$153,MATCH(U106,'①名簿入力'!$A$4:$A$153,0)),"?")&amp;IF(X106="","","("&amp;X106&amp;"組)"))</f>
        <v/>
      </c>
      <c r="AO106" s="14" t="str">
        <f>IF(V106="","",IFERROR(INDEX('①名簿入力'!$C$4:$C$153,MATCH(V106,'①名簿入力'!$A$4:$A$153,0)),"?")&amp;IF(Y106="","","("&amp;Y106&amp;"組)"))</f>
        <v/>
      </c>
      <c r="AP106" s="14">
        <f>IF(G106="男",1,IF(G106="女",2,3))</f>
        <v>1</v>
      </c>
      <c r="AQ106" s="14">
        <f>IF(OR(S106="",E106=""),"",IFERROR(IF('③クラス一覧'!$AD$6="番号順",0,AP106*1000000000)+D106,""))</f>
        <v>1000002328</v>
      </c>
      <c r="AR106" s="14">
        <f>IF(AQ106="","",COUNTIFS($E$9:$E$158,E106,$AQ$9:$AQ$158,"&lt;"&amp;AQ106)+1)</f>
        <v>16</v>
      </c>
      <c r="AS106" s="14" t="str">
        <f>IF(AR106="","",E106&amp;"-"&amp;AR106)</f>
        <v>1-16</v>
      </c>
      <c r="AT106" s="14">
        <f>IF(S106="","",IF(INDEX('①名簿入力'!$F$4:$F$153,S106)="","",INDEX('①名簿入力'!$F$4:$F$153,S106)))</f>
        <v>56</v>
      </c>
      <c r="AU106" s="14">
        <f>IF(S106="","",IF(INDEX('①名簿入力'!$G$4:$G$153,S106)="","",INDEX('①名簿入力'!$G$4:$G$153,S106)))</f>
        <v>77</v>
      </c>
      <c r="AV106" s="14">
        <f>IF(S106="","",IF(INDEX('①名簿入力'!$H$4:$H$153,S106)="","",INDEX('①名簿入力'!$H$4:$H$153,S106)))</f>
        <v>65</v>
      </c>
      <c r="AW106" s="14">
        <f>IF(S106="","",IF(INDEX('①名簿入力'!$I$4:$I$153,S106)="","",INDEX('①名簿入力'!$I$4:$I$153,S106)))</f>
        <v>57</v>
      </c>
      <c r="AX106" s="14">
        <f>IF(S106="","",IF(INDEX('①名簿入力'!$J$4:$J$153,S106)="","",INDEX('①名簿入力'!$J$4:$J$153,S106)))</f>
        <v>59</v>
      </c>
    </row>
    <row r="107">
      <c r="A107" s="23">
        <f>IF('①名簿入力'!A102="","",'①名簿入力'!A102)</f>
        <v>2329</v>
      </c>
      <c r="B107" s="23">
        <f>IF(A107="","",'①名簿入力'!U102)</f>
        <v>2</v>
      </c>
      <c r="D107" s="8" t="n">
        <v>2329</v>
      </c>
      <c r="E107" s="24" t="n">
        <v>2</v>
      </c>
      <c r="F107" s="25" t="str">
        <f>IF(D107="","",IF(S107="","（名簿にない番号）",INDEX('①名簿入力'!$C$4:$C$153,S107)&amp;""))</f>
        <v>原田　結菜</v>
      </c>
      <c r="G107" s="13" t="str">
        <f>IF(S107="","",INDEX('①名簿入力'!$E$4:$E$153,S107)&amp;"")</f>
        <v>女</v>
      </c>
      <c r="H107" s="13">
        <f>IF(S107="","",IF(INDEX('①名簿入力'!$B$4:$B$153,S107)="","",INDEX('①名簿入力'!$B$4:$B$153,S107)))</f>
        <v>3</v>
      </c>
      <c r="I107" s="10">
        <f>IF(S107="","",IF(INDEX('①名簿入力'!$K$4:$K$153,S107)="","",INDEX('①名簿入力'!$K$4:$K$153,S107)))</f>
        <v>69</v>
      </c>
      <c r="J107" s="10">
        <f>IF(S107="","",IF(INDEX('①名簿入力'!$L$4:$L$153,S107)="","",INDEX('①名簿入力'!$L$4:$L$153,S107)))</f>
        <v>7.9</v>
      </c>
      <c r="K107" s="13" t="str">
        <f>IF(S107="","",IF(INDEX('①名簿入力'!$Y$4:$Y$153,S107)=1,"〇",""))</f>
        <v/>
      </c>
      <c r="L107" s="13" t="str">
        <f>IF(S107="","",IF(INDEX('①名簿入力'!$Z$4:$Z$153,S107)=1,"〇",""))</f>
        <v/>
      </c>
      <c r="M107" s="13" t="str">
        <f>IF(S107="","",IF(INDEX('①名簿入力'!$AA$4:$AA$153,S107)=1,"〇",""))</f>
        <v/>
      </c>
      <c r="N107" s="13" t="str">
        <f>IF(S107="","",IF(INDEX('①名簿入力'!$AB$4:$AB$153,S107)=1,"〇",""))</f>
        <v/>
      </c>
      <c r="O107" s="25" t="str">
        <f>AM107&amp;IF(AND(AM107&lt;&gt;"",AN107&lt;&gt;""),"、","")&amp;AN107&amp;IF(AND(AM107&amp;AN107&lt;&gt;"",AO107&lt;&gt;""),"、","")&amp;AO107</f>
        <v/>
      </c>
      <c r="P107" s="25" t="str">
        <f>IF(AG107=0,"",IF(AK107&amp;AL107="","⚠",LEFT(AK107&amp;AL107,LEN(AK107&amp;AL107)-1)))</f>
        <v/>
      </c>
      <c r="Q107" s="25" t="str">
        <f>IF(S107="","",INDEX('①名簿入力'!$T$4:$T$153,S107)&amp;"")</f>
        <v/>
      </c>
      <c r="S107" s="14">
        <f>IF(D107="","",IFERROR(MATCH(D107,'①名簿入力'!$A$4:$A$153,0),""))</f>
        <v>99</v>
      </c>
      <c r="T107" s="14" t="str">
        <f>IF(S107="","",IF(INDEX('①名簿入力'!$AG$4:$AG$153,S107)=D107,"",INDEX('①名簿入力'!$AG$4:$AG$153,S107)))</f>
        <v/>
      </c>
      <c r="U107" s="14" t="str">
        <f>IF(S107="","",IF(INDEX('①名簿入力'!$AH$4:$AH$153,S107)=D107,"",INDEX('①名簿入力'!$AH$4:$AH$153,S107)))</f>
        <v/>
      </c>
      <c r="V107" s="14" t="str">
        <f>IF(S107="","",IF(INDEX('①名簿入力'!$AI$4:$AI$153,S107)=D107,"",INDEX('①名簿入力'!$AI$4:$AI$153,S107)))</f>
        <v/>
      </c>
      <c r="W107" s="14" t="str">
        <f>IF(T107="","",IFERROR(IF(INDEX($E$9:$E$158,MATCH(T107,$D$9:$D$158,0))="","",INDEX($E$9:$E$158,MATCH(T107,$D$9:$D$158,0))),""))</f>
        <v/>
      </c>
      <c r="X107" s="14" t="str">
        <f>IF(U107="","",IFERROR(IF(INDEX($E$9:$E$158,MATCH(U107,$D$9:$D$158,0))="","",INDEX($E$9:$E$158,MATCH(U107,$D$9:$D$158,0))),""))</f>
        <v/>
      </c>
      <c r="Y107" s="14" t="str">
        <f>IF(V107="","",IFERROR(IF(INDEX($E$9:$E$158,MATCH(V107,$D$9:$D$158,0))="","",INDEX($E$9:$E$158,MATCH(V107,$D$9:$D$158,0))),""))</f>
        <v/>
      </c>
      <c r="Z107" s="14">
        <f>IF(AND(T107&lt;&gt;"",W107&lt;&gt;"",E107&lt;&gt;""),IF(W107=E107,1,0),0)</f>
        <v>0</v>
      </c>
      <c r="AA107" s="14">
        <f>IF(AND(U107&lt;&gt;"",X107&lt;&gt;"",E107&lt;&gt;""),IF(X107=E107,1,0),0)</f>
        <v>0</v>
      </c>
      <c r="AB107" s="14">
        <f>IF(AND(V107&lt;&gt;"",Y107&lt;&gt;"",E107&lt;&gt;""),IF(Y107=E107,1,0),0)</f>
        <v>0</v>
      </c>
      <c r="AC107" s="14" t="str">
        <f>IF(OR(T107="",E107=""),"",T107&amp;"|"&amp;E107)</f>
        <v/>
      </c>
      <c r="AD107" s="14" t="str">
        <f>IF(OR(U107="",E107=""),"",U107&amp;"|"&amp;E107)</f>
        <v/>
      </c>
      <c r="AE107" s="14" t="str">
        <f>IF(OR(V107="",E107=""),"",V107&amp;"|"&amp;E107)</f>
        <v/>
      </c>
      <c r="AF107" s="14">
        <f>IF(OR(D107="",E107=""),0,COUNTIF($AC$9:$AC$158,D107&amp;"|"&amp;E107)+COUNTIF($AD$9:$AD$158,D107&amp;"|"&amp;E107)+COUNTIF($AE$9:$AE$158,D107&amp;"|"&amp;E107))</f>
        <v>0</v>
      </c>
      <c r="AG107" s="14">
        <f>Z107+AA107+AB107+AF107</f>
        <v>0</v>
      </c>
      <c r="AH107" s="14" t="str">
        <f>IF(OR(D107="",E107=""),"",IFERROR(MATCH(D107&amp;"|"&amp;E107,$AC$9:$AC$158,0),""))</f>
        <v/>
      </c>
      <c r="AI107" s="14" t="str">
        <f>IF(OR(D107="",E107=""),"",IFERROR(MATCH(D107&amp;"|"&amp;E107,$AD$9:$AD$158,0),""))</f>
        <v/>
      </c>
      <c r="AJ107" s="14" t="str">
        <f>IF(OR(D107="",E107=""),"",IFERROR(MATCH(D107&amp;"|"&amp;E107,$AE$9:$AE$158,0),""))</f>
        <v/>
      </c>
      <c r="AK107" s="14" t="str">
        <f>IF(Z107=1,IFERROR(INDEX($F$9:$F$158,MATCH(T107,$D$9:$D$158,0)),"")&amp;"、","")&amp;IF(AA107=1,IFERROR(INDEX($F$9:$F$158,MATCH(U107,$D$9:$D$158,0)),"")&amp;"、","")&amp;IF(AB107=1,IFERROR(INDEX($F$9:$F$158,MATCH(V107,$D$9:$D$158,0)),"")&amp;"、","")</f>
        <v/>
      </c>
      <c r="AL107" s="14" t="str">
        <f>IF(OR(AH107=""),"",IF(OR(INDEX($D$9:$D$158,AH107)=T107,INDEX($D$9:$D$158,AH107)=U107,INDEX($D$9:$D$158,AH107)=V107),"",INDEX($F$9:$F$158,AH107)&amp;"、"))&amp;IF(OR(AI107="",AI107=AH107),"",IF(OR(INDEX($D$9:$D$158,AI107)=T107,INDEX($D$9:$D$158,AI107)=U107,INDEX($D$9:$D$158,AI107)=V107),"",INDEX($F$9:$F$158,AI107)&amp;"、"))&amp;IF(OR(AJ107="",AJ107=AH107,AJ107=AI107),"",IF(OR(INDEX($D$9:$D$158,AJ107)=T107,INDEX($D$9:$D$158,AJ107)=U107,INDEX($D$9:$D$158,AJ107)=V107),"",INDEX($F$9:$F$158,AJ107)&amp;"、"))</f>
        <v/>
      </c>
      <c r="AM107" s="14" t="str">
        <f>IF(T107="","",IFERROR(INDEX('①名簿入力'!$C$4:$C$153,MATCH(T107,'①名簿入力'!$A$4:$A$153,0)),"?")&amp;IF(W107="","","("&amp;W107&amp;"組)"))</f>
        <v/>
      </c>
      <c r="AN107" s="14" t="str">
        <f>IF(U107="","",IFERROR(INDEX('①名簿入力'!$C$4:$C$153,MATCH(U107,'①名簿入力'!$A$4:$A$153,0)),"?")&amp;IF(X107="","","("&amp;X107&amp;"組)"))</f>
        <v/>
      </c>
      <c r="AO107" s="14" t="str">
        <f>IF(V107="","",IFERROR(INDEX('①名簿入力'!$C$4:$C$153,MATCH(V107,'①名簿入力'!$A$4:$A$153,0)),"?")&amp;IF(Y107="","","("&amp;Y107&amp;"組)"))</f>
        <v/>
      </c>
      <c r="AP107" s="14">
        <f>IF(G107="男",1,IF(G107="女",2,3))</f>
        <v>2</v>
      </c>
      <c r="AQ107" s="14">
        <f>IF(OR(S107="",E107=""),"",IFERROR(IF('③クラス一覧'!$AD$6="番号順",0,AP107*1000000000)+D107,""))</f>
        <v>2000002329</v>
      </c>
      <c r="AR107" s="14">
        <f>IF(AQ107="","",COUNTIFS($E$9:$E$158,E107,$AQ$9:$AQ$158,"&lt;"&amp;AQ107)+1)</f>
        <v>35</v>
      </c>
      <c r="AS107" s="14" t="str">
        <f>IF(AR107="","",E107&amp;"-"&amp;AR107)</f>
        <v>2-35</v>
      </c>
      <c r="AT107" s="14">
        <f>IF(S107="","",IF(INDEX('①名簿入力'!$F$4:$F$153,S107)="","",INDEX('①名簿入力'!$F$4:$F$153,S107)))</f>
        <v>67</v>
      </c>
      <c r="AU107" s="14">
        <f>IF(S107="","",IF(INDEX('①名簿入力'!$G$4:$G$153,S107)="","",INDEX('①名簿入力'!$G$4:$G$153,S107)))</f>
        <v>63</v>
      </c>
      <c r="AV107" s="14">
        <f>IF(S107="","",IF(INDEX('①名簿入力'!$H$4:$H$153,S107)="","",INDEX('①名簿入力'!$H$4:$H$153,S107)))</f>
        <v>84</v>
      </c>
      <c r="AW107" s="14">
        <f>IF(S107="","",IF(INDEX('①名簿入力'!$I$4:$I$153,S107)="","",INDEX('①名簿入力'!$I$4:$I$153,S107)))</f>
        <v>61</v>
      </c>
      <c r="AX107" s="14">
        <f>IF(S107="","",IF(INDEX('①名簿入力'!$J$4:$J$153,S107)="","",INDEX('①名簿入力'!$J$4:$J$153,S107)))</f>
        <v>70</v>
      </c>
    </row>
    <row r="108">
      <c r="A108" s="23">
        <f>IF('①名簿入力'!A103="","",'①名簿入力'!A103)</f>
        <v>2330</v>
      </c>
      <c r="B108" s="23">
        <f>IF(A108="","",'①名簿入力'!U103)</f>
        <v>2</v>
      </c>
      <c r="D108" s="8" t="n">
        <v>2330</v>
      </c>
      <c r="E108" s="24" t="n">
        <v>2</v>
      </c>
      <c r="F108" s="25" t="str">
        <f>IF(D108="","",IF(S108="","（名簿にない番号）",INDEX('①名簿入力'!$C$4:$C$153,S108)&amp;""))</f>
        <v>三浦　健太</v>
      </c>
      <c r="G108" s="13" t="str">
        <f>IF(S108="","",INDEX('①名簿入力'!$E$4:$E$153,S108)&amp;"")</f>
        <v>男</v>
      </c>
      <c r="H108" s="13">
        <f>IF(S108="","",IF(INDEX('①名簿入力'!$B$4:$B$153,S108)="","",INDEX('①名簿入力'!$B$4:$B$153,S108)))</f>
        <v>3</v>
      </c>
      <c r="I108" s="10">
        <f>IF(S108="","",IF(INDEX('①名簿入力'!$K$4:$K$153,S108)="","",INDEX('①名簿入力'!$K$4:$K$153,S108)))</f>
        <v>77.2</v>
      </c>
      <c r="J108" s="10">
        <f>IF(S108="","",IF(INDEX('①名簿入力'!$L$4:$L$153,S108)="","",INDEX('①名簿入力'!$L$4:$L$153,S108)))</f>
        <v>7.3</v>
      </c>
      <c r="K108" s="13" t="str">
        <f>IF(S108="","",IF(INDEX('①名簿入力'!$Y$4:$Y$153,S108)=1,"〇",""))</f>
        <v/>
      </c>
      <c r="L108" s="13" t="str">
        <f>IF(S108="","",IF(INDEX('①名簿入力'!$Z$4:$Z$153,S108)=1,"〇",""))</f>
        <v/>
      </c>
      <c r="M108" s="13" t="str">
        <f>IF(S108="","",IF(INDEX('①名簿入力'!$AA$4:$AA$153,S108)=1,"〇",""))</f>
        <v/>
      </c>
      <c r="N108" s="13" t="str">
        <f>IF(S108="","",IF(INDEX('①名簿入力'!$AB$4:$AB$153,S108)=1,"〇",""))</f>
        <v/>
      </c>
      <c r="O108" s="25" t="str">
        <f>AM108&amp;IF(AND(AM108&lt;&gt;"",AN108&lt;&gt;""),"、","")&amp;AN108&amp;IF(AND(AM108&amp;AN108&lt;&gt;"",AO108&lt;&gt;""),"、","")&amp;AO108</f>
        <v/>
      </c>
      <c r="P108" s="25" t="str">
        <f>IF(AG108=0,"",IF(AK108&amp;AL108="","⚠",LEFT(AK108&amp;AL108,LEN(AK108&amp;AL108)-1)))</f>
        <v/>
      </c>
      <c r="Q108" s="25" t="str">
        <f>IF(S108="","",INDEX('①名簿入力'!$T$4:$T$153,S108)&amp;"")</f>
        <v/>
      </c>
      <c r="S108" s="14">
        <f>IF(D108="","",IFERROR(MATCH(D108,'①名簿入力'!$A$4:$A$153,0),""))</f>
        <v>100</v>
      </c>
      <c r="T108" s="14" t="str">
        <f>IF(S108="","",IF(INDEX('①名簿入力'!$AG$4:$AG$153,S108)=D108,"",INDEX('①名簿入力'!$AG$4:$AG$153,S108)))</f>
        <v/>
      </c>
      <c r="U108" s="14" t="str">
        <f>IF(S108="","",IF(INDEX('①名簿入力'!$AH$4:$AH$153,S108)=D108,"",INDEX('①名簿入力'!$AH$4:$AH$153,S108)))</f>
        <v/>
      </c>
      <c r="V108" s="14" t="str">
        <f>IF(S108="","",IF(INDEX('①名簿入力'!$AI$4:$AI$153,S108)=D108,"",INDEX('①名簿入力'!$AI$4:$AI$153,S108)))</f>
        <v/>
      </c>
      <c r="W108" s="14" t="str">
        <f>IF(T108="","",IFERROR(IF(INDEX($E$9:$E$158,MATCH(T108,$D$9:$D$158,0))="","",INDEX($E$9:$E$158,MATCH(T108,$D$9:$D$158,0))),""))</f>
        <v/>
      </c>
      <c r="X108" s="14" t="str">
        <f>IF(U108="","",IFERROR(IF(INDEX($E$9:$E$158,MATCH(U108,$D$9:$D$158,0))="","",INDEX($E$9:$E$158,MATCH(U108,$D$9:$D$158,0))),""))</f>
        <v/>
      </c>
      <c r="Y108" s="14" t="str">
        <f>IF(V108="","",IFERROR(IF(INDEX($E$9:$E$158,MATCH(V108,$D$9:$D$158,0))="","",INDEX($E$9:$E$158,MATCH(V108,$D$9:$D$158,0))),""))</f>
        <v/>
      </c>
      <c r="Z108" s="14">
        <f>IF(AND(T108&lt;&gt;"",W108&lt;&gt;"",E108&lt;&gt;""),IF(W108=E108,1,0),0)</f>
        <v>0</v>
      </c>
      <c r="AA108" s="14">
        <f>IF(AND(U108&lt;&gt;"",X108&lt;&gt;"",E108&lt;&gt;""),IF(X108=E108,1,0),0)</f>
        <v>0</v>
      </c>
      <c r="AB108" s="14">
        <f>IF(AND(V108&lt;&gt;"",Y108&lt;&gt;"",E108&lt;&gt;""),IF(Y108=E108,1,0),0)</f>
        <v>0</v>
      </c>
      <c r="AC108" s="14" t="str">
        <f>IF(OR(T108="",E108=""),"",T108&amp;"|"&amp;E108)</f>
        <v/>
      </c>
      <c r="AD108" s="14" t="str">
        <f>IF(OR(U108="",E108=""),"",U108&amp;"|"&amp;E108)</f>
        <v/>
      </c>
      <c r="AE108" s="14" t="str">
        <f>IF(OR(V108="",E108=""),"",V108&amp;"|"&amp;E108)</f>
        <v/>
      </c>
      <c r="AF108" s="14">
        <f>IF(OR(D108="",E108=""),0,COUNTIF($AC$9:$AC$158,D108&amp;"|"&amp;E108)+COUNTIF($AD$9:$AD$158,D108&amp;"|"&amp;E108)+COUNTIF($AE$9:$AE$158,D108&amp;"|"&amp;E108))</f>
        <v>0</v>
      </c>
      <c r="AG108" s="14">
        <f>Z108+AA108+AB108+AF108</f>
        <v>0</v>
      </c>
      <c r="AH108" s="14" t="str">
        <f>IF(OR(D108="",E108=""),"",IFERROR(MATCH(D108&amp;"|"&amp;E108,$AC$9:$AC$158,0),""))</f>
        <v/>
      </c>
      <c r="AI108" s="14" t="str">
        <f>IF(OR(D108="",E108=""),"",IFERROR(MATCH(D108&amp;"|"&amp;E108,$AD$9:$AD$158,0),""))</f>
        <v/>
      </c>
      <c r="AJ108" s="14" t="str">
        <f>IF(OR(D108="",E108=""),"",IFERROR(MATCH(D108&amp;"|"&amp;E108,$AE$9:$AE$158,0),""))</f>
        <v/>
      </c>
      <c r="AK108" s="14" t="str">
        <f>IF(Z108=1,IFERROR(INDEX($F$9:$F$158,MATCH(T108,$D$9:$D$158,0)),"")&amp;"、","")&amp;IF(AA108=1,IFERROR(INDEX($F$9:$F$158,MATCH(U108,$D$9:$D$158,0)),"")&amp;"、","")&amp;IF(AB108=1,IFERROR(INDEX($F$9:$F$158,MATCH(V108,$D$9:$D$158,0)),"")&amp;"、","")</f>
        <v/>
      </c>
      <c r="AL108" s="14" t="str">
        <f>IF(OR(AH108=""),"",IF(OR(INDEX($D$9:$D$158,AH108)=T108,INDEX($D$9:$D$158,AH108)=U108,INDEX($D$9:$D$158,AH108)=V108),"",INDEX($F$9:$F$158,AH108)&amp;"、"))&amp;IF(OR(AI108="",AI108=AH108),"",IF(OR(INDEX($D$9:$D$158,AI108)=T108,INDEX($D$9:$D$158,AI108)=U108,INDEX($D$9:$D$158,AI108)=V108),"",INDEX($F$9:$F$158,AI108)&amp;"、"))&amp;IF(OR(AJ108="",AJ108=AH108,AJ108=AI108),"",IF(OR(INDEX($D$9:$D$158,AJ108)=T108,INDEX($D$9:$D$158,AJ108)=U108,INDEX($D$9:$D$158,AJ108)=V108),"",INDEX($F$9:$F$158,AJ108)&amp;"、"))</f>
        <v/>
      </c>
      <c r="AM108" s="14" t="str">
        <f>IF(T108="","",IFERROR(INDEX('①名簿入力'!$C$4:$C$153,MATCH(T108,'①名簿入力'!$A$4:$A$153,0)),"?")&amp;IF(W108="","","("&amp;W108&amp;"組)"))</f>
        <v/>
      </c>
      <c r="AN108" s="14" t="str">
        <f>IF(U108="","",IFERROR(INDEX('①名簿入力'!$C$4:$C$153,MATCH(U108,'①名簿入力'!$A$4:$A$153,0)),"?")&amp;IF(X108="","","("&amp;X108&amp;"組)"))</f>
        <v/>
      </c>
      <c r="AO108" s="14" t="str">
        <f>IF(V108="","",IFERROR(INDEX('①名簿入力'!$C$4:$C$153,MATCH(V108,'①名簿入力'!$A$4:$A$153,0)),"?")&amp;IF(Y108="","","("&amp;Y108&amp;"組)"))</f>
        <v/>
      </c>
      <c r="AP108" s="14">
        <f>IF(G108="男",1,IF(G108="女",2,3))</f>
        <v>1</v>
      </c>
      <c r="AQ108" s="14">
        <f>IF(OR(S108="",E108=""),"",IFERROR(IF('③クラス一覧'!$AD$6="番号順",0,AP108*1000000000)+D108,""))</f>
        <v>1000002330</v>
      </c>
      <c r="AR108" s="14">
        <f>IF(AQ108="","",COUNTIFS($E$9:$E$158,E108,$AQ$9:$AQ$158,"&lt;"&amp;AQ108)+1)</f>
        <v>18</v>
      </c>
      <c r="AS108" s="14" t="str">
        <f>IF(AR108="","",E108&amp;"-"&amp;AR108)</f>
        <v>2-18</v>
      </c>
      <c r="AT108" s="14">
        <f>IF(S108="","",IF(INDEX('①名簿入力'!$F$4:$F$153,S108)="","",INDEX('①名簿入力'!$F$4:$F$153,S108)))</f>
        <v>74</v>
      </c>
      <c r="AU108" s="14">
        <f>IF(S108="","",IF(INDEX('①名簿入力'!$G$4:$G$153,S108)="","",INDEX('①名簿入力'!$G$4:$G$153,S108)))</f>
        <v>75</v>
      </c>
      <c r="AV108" s="14">
        <f>IF(S108="","",IF(INDEX('①名簿入力'!$H$4:$H$153,S108)="","",INDEX('①名簿入力'!$H$4:$H$153,S108)))</f>
        <v>78</v>
      </c>
      <c r="AW108" s="14">
        <f>IF(S108="","",IF(INDEX('①名簿入力'!$I$4:$I$153,S108)="","",INDEX('①名簿入力'!$I$4:$I$153,S108)))</f>
        <v>80</v>
      </c>
      <c r="AX108" s="14">
        <f>IF(S108="","",IF(INDEX('①名簿入力'!$J$4:$J$153,S108)="","",INDEX('①名簿入力'!$J$4:$J$153,S108)))</f>
        <v>79</v>
      </c>
    </row>
    <row r="109">
      <c r="A109" s="23">
        <f>IF('①名簿入力'!A104="","",'①名簿入力'!A104)</f>
        <v>2331</v>
      </c>
      <c r="B109" s="23">
        <f>IF(A109="","",'①名簿入力'!U104)</f>
        <v>1</v>
      </c>
      <c r="D109" s="8" t="n">
        <v>2331</v>
      </c>
      <c r="E109" s="24" t="n">
        <v>1</v>
      </c>
      <c r="F109" s="25" t="str">
        <f>IF(D109="","",IF(S109="","（名簿にない番号）",INDEX('①名簿入力'!$C$4:$C$153,S109)&amp;""))</f>
        <v>森　湊</v>
      </c>
      <c r="G109" s="13" t="str">
        <f>IF(S109="","",INDEX('①名簿入力'!$E$4:$E$153,S109)&amp;"")</f>
        <v>男</v>
      </c>
      <c r="H109" s="13">
        <f>IF(S109="","",IF(INDEX('①名簿入力'!$B$4:$B$153,S109)="","",INDEX('①名簿入力'!$B$4:$B$153,S109)))</f>
        <v>3</v>
      </c>
      <c r="I109" s="10">
        <f>IF(S109="","",IF(INDEX('①名簿入力'!$K$4:$K$153,S109)="","",INDEX('①名簿入力'!$K$4:$K$153,S109)))</f>
        <v>80</v>
      </c>
      <c r="J109" s="10">
        <f>IF(S109="","",IF(INDEX('①名簿入力'!$L$4:$L$153,S109)="","",INDEX('①名簿入力'!$L$4:$L$153,S109)))</f>
        <v>8.3</v>
      </c>
      <c r="K109" s="13" t="str">
        <f>IF(S109="","",IF(INDEX('①名簿入力'!$Y$4:$Y$153,S109)=1,"〇",""))</f>
        <v/>
      </c>
      <c r="L109" s="13" t="str">
        <f>IF(S109="","",IF(INDEX('①名簿入力'!$Z$4:$Z$153,S109)=1,"〇",""))</f>
        <v/>
      </c>
      <c r="M109" s="13" t="str">
        <f>IF(S109="","",IF(INDEX('①名簿入力'!$AA$4:$AA$153,S109)=1,"〇",""))</f>
        <v/>
      </c>
      <c r="N109" s="13" t="str">
        <f>IF(S109="","",IF(INDEX('①名簿入力'!$AB$4:$AB$153,S109)=1,"〇",""))</f>
        <v/>
      </c>
      <c r="O109" s="25" t="str">
        <f>AM109&amp;IF(AND(AM109&lt;&gt;"",AN109&lt;&gt;""),"、","")&amp;AN109&amp;IF(AND(AM109&amp;AN109&lt;&gt;"",AO109&lt;&gt;""),"、","")&amp;AO109</f>
        <v/>
      </c>
      <c r="P109" s="25" t="str">
        <f>IF(AG109=0,"",IF(AK109&amp;AL109="","⚠",LEFT(AK109&amp;AL109,LEN(AK109&amp;AL109)-1)))</f>
        <v/>
      </c>
      <c r="Q109" s="25" t="str">
        <f>IF(S109="","",INDEX('①名簿入力'!$T$4:$T$153,S109)&amp;"")</f>
        <v/>
      </c>
      <c r="S109" s="14">
        <f>IF(D109="","",IFERROR(MATCH(D109,'①名簿入力'!$A$4:$A$153,0),""))</f>
        <v>101</v>
      </c>
      <c r="T109" s="14" t="str">
        <f>IF(S109="","",IF(INDEX('①名簿入力'!$AG$4:$AG$153,S109)=D109,"",INDEX('①名簿入力'!$AG$4:$AG$153,S109)))</f>
        <v/>
      </c>
      <c r="U109" s="14" t="str">
        <f>IF(S109="","",IF(INDEX('①名簿入力'!$AH$4:$AH$153,S109)=D109,"",INDEX('①名簿入力'!$AH$4:$AH$153,S109)))</f>
        <v/>
      </c>
      <c r="V109" s="14" t="str">
        <f>IF(S109="","",IF(INDEX('①名簿入力'!$AI$4:$AI$153,S109)=D109,"",INDEX('①名簿入力'!$AI$4:$AI$153,S109)))</f>
        <v/>
      </c>
      <c r="W109" s="14" t="str">
        <f>IF(T109="","",IFERROR(IF(INDEX($E$9:$E$158,MATCH(T109,$D$9:$D$158,0))="","",INDEX($E$9:$E$158,MATCH(T109,$D$9:$D$158,0))),""))</f>
        <v/>
      </c>
      <c r="X109" s="14" t="str">
        <f>IF(U109="","",IFERROR(IF(INDEX($E$9:$E$158,MATCH(U109,$D$9:$D$158,0))="","",INDEX($E$9:$E$158,MATCH(U109,$D$9:$D$158,0))),""))</f>
        <v/>
      </c>
      <c r="Y109" s="14" t="str">
        <f>IF(V109="","",IFERROR(IF(INDEX($E$9:$E$158,MATCH(V109,$D$9:$D$158,0))="","",INDEX($E$9:$E$158,MATCH(V109,$D$9:$D$158,0))),""))</f>
        <v/>
      </c>
      <c r="Z109" s="14">
        <f>IF(AND(T109&lt;&gt;"",W109&lt;&gt;"",E109&lt;&gt;""),IF(W109=E109,1,0),0)</f>
        <v>0</v>
      </c>
      <c r="AA109" s="14">
        <f>IF(AND(U109&lt;&gt;"",X109&lt;&gt;"",E109&lt;&gt;""),IF(X109=E109,1,0),0)</f>
        <v>0</v>
      </c>
      <c r="AB109" s="14">
        <f>IF(AND(V109&lt;&gt;"",Y109&lt;&gt;"",E109&lt;&gt;""),IF(Y109=E109,1,0),0)</f>
        <v>0</v>
      </c>
      <c r="AC109" s="14" t="str">
        <f>IF(OR(T109="",E109=""),"",T109&amp;"|"&amp;E109)</f>
        <v/>
      </c>
      <c r="AD109" s="14" t="str">
        <f>IF(OR(U109="",E109=""),"",U109&amp;"|"&amp;E109)</f>
        <v/>
      </c>
      <c r="AE109" s="14" t="str">
        <f>IF(OR(V109="",E109=""),"",V109&amp;"|"&amp;E109)</f>
        <v/>
      </c>
      <c r="AF109" s="14">
        <f>IF(OR(D109="",E109=""),0,COUNTIF($AC$9:$AC$158,D109&amp;"|"&amp;E109)+COUNTIF($AD$9:$AD$158,D109&amp;"|"&amp;E109)+COUNTIF($AE$9:$AE$158,D109&amp;"|"&amp;E109))</f>
        <v>0</v>
      </c>
      <c r="AG109" s="14">
        <f>Z109+AA109+AB109+AF109</f>
        <v>0</v>
      </c>
      <c r="AH109" s="14" t="str">
        <f>IF(OR(D109="",E109=""),"",IFERROR(MATCH(D109&amp;"|"&amp;E109,$AC$9:$AC$158,0),""))</f>
        <v/>
      </c>
      <c r="AI109" s="14" t="str">
        <f>IF(OR(D109="",E109=""),"",IFERROR(MATCH(D109&amp;"|"&amp;E109,$AD$9:$AD$158,0),""))</f>
        <v/>
      </c>
      <c r="AJ109" s="14" t="str">
        <f>IF(OR(D109="",E109=""),"",IFERROR(MATCH(D109&amp;"|"&amp;E109,$AE$9:$AE$158,0),""))</f>
        <v/>
      </c>
      <c r="AK109" s="14" t="str">
        <f>IF(Z109=1,IFERROR(INDEX($F$9:$F$158,MATCH(T109,$D$9:$D$158,0)),"")&amp;"、","")&amp;IF(AA109=1,IFERROR(INDEX($F$9:$F$158,MATCH(U109,$D$9:$D$158,0)),"")&amp;"、","")&amp;IF(AB109=1,IFERROR(INDEX($F$9:$F$158,MATCH(V109,$D$9:$D$158,0)),"")&amp;"、","")</f>
        <v/>
      </c>
      <c r="AL109" s="14" t="str">
        <f>IF(OR(AH109=""),"",IF(OR(INDEX($D$9:$D$158,AH109)=T109,INDEX($D$9:$D$158,AH109)=U109,INDEX($D$9:$D$158,AH109)=V109),"",INDEX($F$9:$F$158,AH109)&amp;"、"))&amp;IF(OR(AI109="",AI109=AH109),"",IF(OR(INDEX($D$9:$D$158,AI109)=T109,INDEX($D$9:$D$158,AI109)=U109,INDEX($D$9:$D$158,AI109)=V109),"",INDEX($F$9:$F$158,AI109)&amp;"、"))&amp;IF(OR(AJ109="",AJ109=AH109,AJ109=AI109),"",IF(OR(INDEX($D$9:$D$158,AJ109)=T109,INDEX($D$9:$D$158,AJ109)=U109,INDEX($D$9:$D$158,AJ109)=V109),"",INDEX($F$9:$F$158,AJ109)&amp;"、"))</f>
        <v/>
      </c>
      <c r="AM109" s="14" t="str">
        <f>IF(T109="","",IFERROR(INDEX('①名簿入力'!$C$4:$C$153,MATCH(T109,'①名簿入力'!$A$4:$A$153,0)),"?")&amp;IF(W109="","","("&amp;W109&amp;"組)"))</f>
        <v/>
      </c>
      <c r="AN109" s="14" t="str">
        <f>IF(U109="","",IFERROR(INDEX('①名簿入力'!$C$4:$C$153,MATCH(U109,'①名簿入力'!$A$4:$A$153,0)),"?")&amp;IF(X109="","","("&amp;X109&amp;"組)"))</f>
        <v/>
      </c>
      <c r="AO109" s="14" t="str">
        <f>IF(V109="","",IFERROR(INDEX('①名簿入力'!$C$4:$C$153,MATCH(V109,'①名簿入力'!$A$4:$A$153,0)),"?")&amp;IF(Y109="","","("&amp;Y109&amp;"組)"))</f>
        <v/>
      </c>
      <c r="AP109" s="14">
        <f>IF(G109="男",1,IF(G109="女",2,3))</f>
        <v>1</v>
      </c>
      <c r="AQ109" s="14">
        <f>IF(OR(S109="",E109=""),"",IFERROR(IF('③クラス一覧'!$AD$6="番号順",0,AP109*1000000000)+D109,""))</f>
        <v>1000002331</v>
      </c>
      <c r="AR109" s="14">
        <f>IF(AQ109="","",COUNTIFS($E$9:$E$158,E109,$AQ$9:$AQ$158,"&lt;"&amp;AQ109)+1)</f>
        <v>17</v>
      </c>
      <c r="AS109" s="14" t="str">
        <f>IF(AR109="","",E109&amp;"-"&amp;AR109)</f>
        <v>1-17</v>
      </c>
      <c r="AT109" s="14">
        <f>IF(S109="","",IF(INDEX('①名簿入力'!$F$4:$F$153,S109)="","",INDEX('①名簿入力'!$F$4:$F$153,S109)))</f>
        <v>83</v>
      </c>
      <c r="AU109" s="14">
        <f>IF(S109="","",IF(INDEX('①名簿入力'!$G$4:$G$153,S109)="","",INDEX('①名簿入力'!$G$4:$G$153,S109)))</f>
        <v>80</v>
      </c>
      <c r="AV109" s="14">
        <f>IF(S109="","",IF(INDEX('①名簿入力'!$H$4:$H$153,S109)="","",INDEX('①名簿入力'!$H$4:$H$153,S109)))</f>
        <v>92</v>
      </c>
      <c r="AW109" s="14">
        <f>IF(S109="","",IF(INDEX('①名簿入力'!$I$4:$I$153,S109)="","",INDEX('①名簿入力'!$I$4:$I$153,S109)))</f>
        <v>74</v>
      </c>
      <c r="AX109" s="14">
        <f>IF(S109="","",IF(INDEX('①名簿入力'!$J$4:$J$153,S109)="","",INDEX('①名簿入力'!$J$4:$J$153,S109)))</f>
        <v>71</v>
      </c>
    </row>
    <row r="110">
      <c r="A110" s="23">
        <f>IF('①名簿入力'!A105="","",'①名簿入力'!A105)</f>
        <v>2332</v>
      </c>
      <c r="B110" s="23">
        <f>IF(A110="","",'①名簿入力'!U105)</f>
        <v>3</v>
      </c>
      <c r="D110" s="8" t="n">
        <v>2332</v>
      </c>
      <c r="E110" s="24" t="n">
        <v>3</v>
      </c>
      <c r="F110" s="25" t="str">
        <f>IF(D110="","",IF(S110="","（名簿にない番号）",INDEX('①名簿入力'!$C$4:$C$153,S110)&amp;""))</f>
        <v>山崎　優奈</v>
      </c>
      <c r="G110" s="13" t="str">
        <f>IF(S110="","",INDEX('①名簿入力'!$E$4:$E$153,S110)&amp;"")</f>
        <v>女</v>
      </c>
      <c r="H110" s="13">
        <f>IF(S110="","",IF(INDEX('①名簿入力'!$B$4:$B$153,S110)="","",INDEX('①名簿入力'!$B$4:$B$153,S110)))</f>
        <v>3</v>
      </c>
      <c r="I110" s="10">
        <f>IF(S110="","",IF(INDEX('①名簿入力'!$K$4:$K$153,S110)="","",INDEX('①名簿入力'!$K$4:$K$153,S110)))</f>
        <v>64</v>
      </c>
      <c r="J110" s="10">
        <f>IF(S110="","",IF(INDEX('①名簿入力'!$L$4:$L$153,S110)="","",INDEX('①名簿入力'!$L$4:$L$153,S110)))</f>
        <v>8.4</v>
      </c>
      <c r="K110" s="13" t="str">
        <f>IF(S110="","",IF(INDEX('①名簿入力'!$Y$4:$Y$153,S110)=1,"〇",""))</f>
        <v/>
      </c>
      <c r="L110" s="13" t="str">
        <f>IF(S110="","",IF(INDEX('①名簿入力'!$Z$4:$Z$153,S110)=1,"〇",""))</f>
        <v/>
      </c>
      <c r="M110" s="13" t="str">
        <f>IF(S110="","",IF(INDEX('①名簿入力'!$AA$4:$AA$153,S110)=1,"〇",""))</f>
        <v/>
      </c>
      <c r="N110" s="13" t="str">
        <f>IF(S110="","",IF(INDEX('①名簿入力'!$AB$4:$AB$153,S110)=1,"〇",""))</f>
        <v/>
      </c>
      <c r="O110" s="25" t="str">
        <f>AM110&amp;IF(AND(AM110&lt;&gt;"",AN110&lt;&gt;""),"、","")&amp;AN110&amp;IF(AND(AM110&amp;AN110&lt;&gt;"",AO110&lt;&gt;""),"、","")&amp;AO110</f>
        <v/>
      </c>
      <c r="P110" s="25" t="str">
        <f>IF(AG110=0,"",IF(AK110&amp;AL110="","⚠",LEFT(AK110&amp;AL110,LEN(AK110&amp;AL110)-1)))</f>
        <v/>
      </c>
      <c r="Q110" s="25" t="str">
        <f>IF(S110="","",INDEX('①名簿入力'!$T$4:$T$153,S110)&amp;"")</f>
        <v/>
      </c>
      <c r="S110" s="14">
        <f>IF(D110="","",IFERROR(MATCH(D110,'①名簿入力'!$A$4:$A$153,0),""))</f>
        <v>102</v>
      </c>
      <c r="T110" s="14" t="str">
        <f>IF(S110="","",IF(INDEX('①名簿入力'!$AG$4:$AG$153,S110)=D110,"",INDEX('①名簿入力'!$AG$4:$AG$153,S110)))</f>
        <v/>
      </c>
      <c r="U110" s="14" t="str">
        <f>IF(S110="","",IF(INDEX('①名簿入力'!$AH$4:$AH$153,S110)=D110,"",INDEX('①名簿入力'!$AH$4:$AH$153,S110)))</f>
        <v/>
      </c>
      <c r="V110" s="14" t="str">
        <f>IF(S110="","",IF(INDEX('①名簿入力'!$AI$4:$AI$153,S110)=D110,"",INDEX('①名簿入力'!$AI$4:$AI$153,S110)))</f>
        <v/>
      </c>
      <c r="W110" s="14" t="str">
        <f>IF(T110="","",IFERROR(IF(INDEX($E$9:$E$158,MATCH(T110,$D$9:$D$158,0))="","",INDEX($E$9:$E$158,MATCH(T110,$D$9:$D$158,0))),""))</f>
        <v/>
      </c>
      <c r="X110" s="14" t="str">
        <f>IF(U110="","",IFERROR(IF(INDEX($E$9:$E$158,MATCH(U110,$D$9:$D$158,0))="","",INDEX($E$9:$E$158,MATCH(U110,$D$9:$D$158,0))),""))</f>
        <v/>
      </c>
      <c r="Y110" s="14" t="str">
        <f>IF(V110="","",IFERROR(IF(INDEX($E$9:$E$158,MATCH(V110,$D$9:$D$158,0))="","",INDEX($E$9:$E$158,MATCH(V110,$D$9:$D$158,0))),""))</f>
        <v/>
      </c>
      <c r="Z110" s="14">
        <f>IF(AND(T110&lt;&gt;"",W110&lt;&gt;"",E110&lt;&gt;""),IF(W110=E110,1,0),0)</f>
        <v>0</v>
      </c>
      <c r="AA110" s="14">
        <f>IF(AND(U110&lt;&gt;"",X110&lt;&gt;"",E110&lt;&gt;""),IF(X110=E110,1,0),0)</f>
        <v>0</v>
      </c>
      <c r="AB110" s="14">
        <f>IF(AND(V110&lt;&gt;"",Y110&lt;&gt;"",E110&lt;&gt;""),IF(Y110=E110,1,0),0)</f>
        <v>0</v>
      </c>
      <c r="AC110" s="14" t="str">
        <f>IF(OR(T110="",E110=""),"",T110&amp;"|"&amp;E110)</f>
        <v/>
      </c>
      <c r="AD110" s="14" t="str">
        <f>IF(OR(U110="",E110=""),"",U110&amp;"|"&amp;E110)</f>
        <v/>
      </c>
      <c r="AE110" s="14" t="str">
        <f>IF(OR(V110="",E110=""),"",V110&amp;"|"&amp;E110)</f>
        <v/>
      </c>
      <c r="AF110" s="14">
        <f>IF(OR(D110="",E110=""),0,COUNTIF($AC$9:$AC$158,D110&amp;"|"&amp;E110)+COUNTIF($AD$9:$AD$158,D110&amp;"|"&amp;E110)+COUNTIF($AE$9:$AE$158,D110&amp;"|"&amp;E110))</f>
        <v>0</v>
      </c>
      <c r="AG110" s="14">
        <f>Z110+AA110+AB110+AF110</f>
        <v>0</v>
      </c>
      <c r="AH110" s="14" t="str">
        <f>IF(OR(D110="",E110=""),"",IFERROR(MATCH(D110&amp;"|"&amp;E110,$AC$9:$AC$158,0),""))</f>
        <v/>
      </c>
      <c r="AI110" s="14" t="str">
        <f>IF(OR(D110="",E110=""),"",IFERROR(MATCH(D110&amp;"|"&amp;E110,$AD$9:$AD$158,0),""))</f>
        <v/>
      </c>
      <c r="AJ110" s="14" t="str">
        <f>IF(OR(D110="",E110=""),"",IFERROR(MATCH(D110&amp;"|"&amp;E110,$AE$9:$AE$158,0),""))</f>
        <v/>
      </c>
      <c r="AK110" s="14" t="str">
        <f>IF(Z110=1,IFERROR(INDEX($F$9:$F$158,MATCH(T110,$D$9:$D$158,0)),"")&amp;"、","")&amp;IF(AA110=1,IFERROR(INDEX($F$9:$F$158,MATCH(U110,$D$9:$D$158,0)),"")&amp;"、","")&amp;IF(AB110=1,IFERROR(INDEX($F$9:$F$158,MATCH(V110,$D$9:$D$158,0)),"")&amp;"、","")</f>
        <v/>
      </c>
      <c r="AL110" s="14" t="str">
        <f>IF(OR(AH110=""),"",IF(OR(INDEX($D$9:$D$158,AH110)=T110,INDEX($D$9:$D$158,AH110)=U110,INDEX($D$9:$D$158,AH110)=V110),"",INDEX($F$9:$F$158,AH110)&amp;"、"))&amp;IF(OR(AI110="",AI110=AH110),"",IF(OR(INDEX($D$9:$D$158,AI110)=T110,INDEX($D$9:$D$158,AI110)=U110,INDEX($D$9:$D$158,AI110)=V110),"",INDEX($F$9:$F$158,AI110)&amp;"、"))&amp;IF(OR(AJ110="",AJ110=AH110,AJ110=AI110),"",IF(OR(INDEX($D$9:$D$158,AJ110)=T110,INDEX($D$9:$D$158,AJ110)=U110,INDEX($D$9:$D$158,AJ110)=V110),"",INDEX($F$9:$F$158,AJ110)&amp;"、"))</f>
        <v/>
      </c>
      <c r="AM110" s="14" t="str">
        <f>IF(T110="","",IFERROR(INDEX('①名簿入力'!$C$4:$C$153,MATCH(T110,'①名簿入力'!$A$4:$A$153,0)),"?")&amp;IF(W110="","","("&amp;W110&amp;"組)"))</f>
        <v/>
      </c>
      <c r="AN110" s="14" t="str">
        <f>IF(U110="","",IFERROR(INDEX('①名簿入力'!$C$4:$C$153,MATCH(U110,'①名簿入力'!$A$4:$A$153,0)),"?")&amp;IF(X110="","","("&amp;X110&amp;"組)"))</f>
        <v/>
      </c>
      <c r="AO110" s="14" t="str">
        <f>IF(V110="","",IFERROR(INDEX('①名簿入力'!$C$4:$C$153,MATCH(V110,'①名簿入力'!$A$4:$A$153,0)),"?")&amp;IF(Y110="","","("&amp;Y110&amp;"組)"))</f>
        <v/>
      </c>
      <c r="AP110" s="14">
        <f>IF(G110="男",1,IF(G110="女",2,3))</f>
        <v>2</v>
      </c>
      <c r="AQ110" s="14">
        <f>IF(OR(S110="",E110=""),"",IFERROR(IF('③クラス一覧'!$AD$6="番号順",0,AP110*1000000000)+D110,""))</f>
        <v>2000002332</v>
      </c>
      <c r="AR110" s="14">
        <f>IF(AQ110="","",COUNTIFS($E$9:$E$158,E110,$AQ$9:$AQ$158,"&lt;"&amp;AQ110)+1)</f>
        <v>35</v>
      </c>
      <c r="AS110" s="14" t="str">
        <f>IF(AR110="","",E110&amp;"-"&amp;AR110)</f>
        <v>3-35</v>
      </c>
      <c r="AT110" s="14">
        <f>IF(S110="","",IF(INDEX('①名簿入力'!$F$4:$F$153,S110)="","",INDEX('①名簿入力'!$F$4:$F$153,S110)))</f>
        <v>64</v>
      </c>
      <c r="AU110" s="14">
        <f>IF(S110="","",IF(INDEX('①名簿入力'!$G$4:$G$153,S110)="","",INDEX('①名簿入力'!$G$4:$G$153,S110)))</f>
        <v>64</v>
      </c>
      <c r="AV110" s="14">
        <f>IF(S110="","",IF(INDEX('①名簿入力'!$H$4:$H$153,S110)="","",INDEX('①名簿入力'!$H$4:$H$153,S110)))</f>
        <v>61</v>
      </c>
      <c r="AW110" s="14">
        <f>IF(S110="","",IF(INDEX('①名簿入力'!$I$4:$I$153,S110)="","",INDEX('①名簿入力'!$I$4:$I$153,S110)))</f>
        <v>62</v>
      </c>
      <c r="AX110" s="14">
        <f>IF(S110="","",IF(INDEX('①名簿入力'!$J$4:$J$153,S110)="","",INDEX('①名簿入力'!$J$4:$J$153,S110)))</f>
        <v>69</v>
      </c>
    </row>
    <row r="111">
      <c r="A111" s="23">
        <f>IF('①名簿入力'!A106="","",'①名簿入力'!A106)</f>
        <v>2333</v>
      </c>
      <c r="B111" s="23">
        <f>IF(A111="","",'①名簿入力'!U106)</f>
        <v>1</v>
      </c>
      <c r="D111" s="8" t="n">
        <v>2333</v>
      </c>
      <c r="E111" s="24" t="n">
        <v>1</v>
      </c>
      <c r="F111" s="25" t="str">
        <f>IF(D111="","",IF(S111="","（名簿にない番号）",INDEX('①名簿入力'!$C$4:$C$153,S111)&amp;""))</f>
        <v>山下　沙耶</v>
      </c>
      <c r="G111" s="13" t="str">
        <f>IF(S111="","",INDEX('①名簿入力'!$E$4:$E$153,S111)&amp;"")</f>
        <v>女</v>
      </c>
      <c r="H111" s="13">
        <f>IF(S111="","",IF(INDEX('①名簿入力'!$B$4:$B$153,S111)="","",INDEX('①名簿入力'!$B$4:$B$153,S111)))</f>
        <v>3</v>
      </c>
      <c r="I111" s="10">
        <f>IF(S111="","",IF(INDEX('①名簿入力'!$K$4:$K$153,S111)="","",INDEX('①名簿入力'!$K$4:$K$153,S111)))</f>
        <v>65.2</v>
      </c>
      <c r="J111" s="10">
        <f>IF(S111="","",IF(INDEX('①名簿入力'!$L$4:$L$153,S111)="","",INDEX('①名簿入力'!$L$4:$L$153,S111)))</f>
        <v>9.6</v>
      </c>
      <c r="K111" s="13" t="str">
        <f>IF(S111="","",IF(INDEX('①名簿入力'!$Y$4:$Y$153,S111)=1,"〇",""))</f>
        <v/>
      </c>
      <c r="L111" s="13" t="str">
        <f>IF(S111="","",IF(INDEX('①名簿入力'!$Z$4:$Z$153,S111)=1,"〇",""))</f>
        <v/>
      </c>
      <c r="M111" s="13" t="str">
        <f>IF(S111="","",IF(INDEX('①名簿入力'!$AA$4:$AA$153,S111)=1,"〇",""))</f>
        <v/>
      </c>
      <c r="N111" s="13" t="str">
        <f>IF(S111="","",IF(INDEX('①名簿入力'!$AB$4:$AB$153,S111)=1,"〇",""))</f>
        <v/>
      </c>
      <c r="O111" s="25" t="str">
        <f>AM111&amp;IF(AND(AM111&lt;&gt;"",AN111&lt;&gt;""),"、","")&amp;AN111&amp;IF(AND(AM111&amp;AN111&lt;&gt;"",AO111&lt;&gt;""),"、","")&amp;AO111</f>
        <v/>
      </c>
      <c r="P111" s="25" t="str">
        <f>IF(AG111=0,"",IF(AK111&amp;AL111="","⚠",LEFT(AK111&amp;AL111,LEN(AK111&amp;AL111)-1)))</f>
        <v/>
      </c>
      <c r="Q111" s="25" t="str">
        <f>IF(S111="","",INDEX('①名簿入力'!$T$4:$T$153,S111)&amp;"")</f>
        <v>学級委員の経験あり</v>
      </c>
      <c r="S111" s="14">
        <f>IF(D111="","",IFERROR(MATCH(D111,'①名簿入力'!$A$4:$A$153,0),""))</f>
        <v>103</v>
      </c>
      <c r="T111" s="14" t="str">
        <f>IF(S111="","",IF(INDEX('①名簿入力'!$AG$4:$AG$153,S111)=D111,"",INDEX('①名簿入力'!$AG$4:$AG$153,S111)))</f>
        <v/>
      </c>
      <c r="U111" s="14" t="str">
        <f>IF(S111="","",IF(INDEX('①名簿入力'!$AH$4:$AH$153,S111)=D111,"",INDEX('①名簿入力'!$AH$4:$AH$153,S111)))</f>
        <v/>
      </c>
      <c r="V111" s="14" t="str">
        <f>IF(S111="","",IF(INDEX('①名簿入力'!$AI$4:$AI$153,S111)=D111,"",INDEX('①名簿入力'!$AI$4:$AI$153,S111)))</f>
        <v/>
      </c>
      <c r="W111" s="14" t="str">
        <f>IF(T111="","",IFERROR(IF(INDEX($E$9:$E$158,MATCH(T111,$D$9:$D$158,0))="","",INDEX($E$9:$E$158,MATCH(T111,$D$9:$D$158,0))),""))</f>
        <v/>
      </c>
      <c r="X111" s="14" t="str">
        <f>IF(U111="","",IFERROR(IF(INDEX($E$9:$E$158,MATCH(U111,$D$9:$D$158,0))="","",INDEX($E$9:$E$158,MATCH(U111,$D$9:$D$158,0))),""))</f>
        <v/>
      </c>
      <c r="Y111" s="14" t="str">
        <f>IF(V111="","",IFERROR(IF(INDEX($E$9:$E$158,MATCH(V111,$D$9:$D$158,0))="","",INDEX($E$9:$E$158,MATCH(V111,$D$9:$D$158,0))),""))</f>
        <v/>
      </c>
      <c r="Z111" s="14">
        <f>IF(AND(T111&lt;&gt;"",W111&lt;&gt;"",E111&lt;&gt;""),IF(W111=E111,1,0),0)</f>
        <v>0</v>
      </c>
      <c r="AA111" s="14">
        <f>IF(AND(U111&lt;&gt;"",X111&lt;&gt;"",E111&lt;&gt;""),IF(X111=E111,1,0),0)</f>
        <v>0</v>
      </c>
      <c r="AB111" s="14">
        <f>IF(AND(V111&lt;&gt;"",Y111&lt;&gt;"",E111&lt;&gt;""),IF(Y111=E111,1,0),0)</f>
        <v>0</v>
      </c>
      <c r="AC111" s="14" t="str">
        <f>IF(OR(T111="",E111=""),"",T111&amp;"|"&amp;E111)</f>
        <v/>
      </c>
      <c r="AD111" s="14" t="str">
        <f>IF(OR(U111="",E111=""),"",U111&amp;"|"&amp;E111)</f>
        <v/>
      </c>
      <c r="AE111" s="14" t="str">
        <f>IF(OR(V111="",E111=""),"",V111&amp;"|"&amp;E111)</f>
        <v/>
      </c>
      <c r="AF111" s="14">
        <f>IF(OR(D111="",E111=""),0,COUNTIF($AC$9:$AC$158,D111&amp;"|"&amp;E111)+COUNTIF($AD$9:$AD$158,D111&amp;"|"&amp;E111)+COUNTIF($AE$9:$AE$158,D111&amp;"|"&amp;E111))</f>
        <v>0</v>
      </c>
      <c r="AG111" s="14">
        <f>Z111+AA111+AB111+AF111</f>
        <v>0</v>
      </c>
      <c r="AH111" s="14" t="str">
        <f>IF(OR(D111="",E111=""),"",IFERROR(MATCH(D111&amp;"|"&amp;E111,$AC$9:$AC$158,0),""))</f>
        <v/>
      </c>
      <c r="AI111" s="14" t="str">
        <f>IF(OR(D111="",E111=""),"",IFERROR(MATCH(D111&amp;"|"&amp;E111,$AD$9:$AD$158,0),""))</f>
        <v/>
      </c>
      <c r="AJ111" s="14" t="str">
        <f>IF(OR(D111="",E111=""),"",IFERROR(MATCH(D111&amp;"|"&amp;E111,$AE$9:$AE$158,0),""))</f>
        <v/>
      </c>
      <c r="AK111" s="14" t="str">
        <f>IF(Z111=1,IFERROR(INDEX($F$9:$F$158,MATCH(T111,$D$9:$D$158,0)),"")&amp;"、","")&amp;IF(AA111=1,IFERROR(INDEX($F$9:$F$158,MATCH(U111,$D$9:$D$158,0)),"")&amp;"、","")&amp;IF(AB111=1,IFERROR(INDEX($F$9:$F$158,MATCH(V111,$D$9:$D$158,0)),"")&amp;"、","")</f>
        <v/>
      </c>
      <c r="AL111" s="14" t="str">
        <f>IF(OR(AH111=""),"",IF(OR(INDEX($D$9:$D$158,AH111)=T111,INDEX($D$9:$D$158,AH111)=U111,INDEX($D$9:$D$158,AH111)=V111),"",INDEX($F$9:$F$158,AH111)&amp;"、"))&amp;IF(OR(AI111="",AI111=AH111),"",IF(OR(INDEX($D$9:$D$158,AI111)=T111,INDEX($D$9:$D$158,AI111)=U111,INDEX($D$9:$D$158,AI111)=V111),"",INDEX($F$9:$F$158,AI111)&amp;"、"))&amp;IF(OR(AJ111="",AJ111=AH111,AJ111=AI111),"",IF(OR(INDEX($D$9:$D$158,AJ111)=T111,INDEX($D$9:$D$158,AJ111)=U111,INDEX($D$9:$D$158,AJ111)=V111),"",INDEX($F$9:$F$158,AJ111)&amp;"、"))</f>
        <v/>
      </c>
      <c r="AM111" s="14" t="str">
        <f>IF(T111="","",IFERROR(INDEX('①名簿入力'!$C$4:$C$153,MATCH(T111,'①名簿入力'!$A$4:$A$153,0)),"?")&amp;IF(W111="","","("&amp;W111&amp;"組)"))</f>
        <v/>
      </c>
      <c r="AN111" s="14" t="str">
        <f>IF(U111="","",IFERROR(INDEX('①名簿入力'!$C$4:$C$153,MATCH(U111,'①名簿入力'!$A$4:$A$153,0)),"?")&amp;IF(X111="","","("&amp;X111&amp;"組)"))</f>
        <v/>
      </c>
      <c r="AO111" s="14" t="str">
        <f>IF(V111="","",IFERROR(INDEX('①名簿入力'!$C$4:$C$153,MATCH(V111,'①名簿入力'!$A$4:$A$153,0)),"?")&amp;IF(Y111="","","("&amp;Y111&amp;"組)"))</f>
        <v/>
      </c>
      <c r="AP111" s="14">
        <f>IF(G111="男",1,IF(G111="女",2,3))</f>
        <v>2</v>
      </c>
      <c r="AQ111" s="14">
        <f>IF(OR(S111="",E111=""),"",IFERROR(IF('③クラス一覧'!$AD$6="番号順",0,AP111*1000000000)+D111,""))</f>
        <v>2000002333</v>
      </c>
      <c r="AR111" s="14">
        <f>IF(AQ111="","",COUNTIFS($E$9:$E$158,E111,$AQ$9:$AQ$158,"&lt;"&amp;AQ111)+1)</f>
        <v>35</v>
      </c>
      <c r="AS111" s="14" t="str">
        <f>IF(AR111="","",E111&amp;"-"&amp;AR111)</f>
        <v>1-35</v>
      </c>
      <c r="AT111" s="14">
        <f>IF(S111="","",IF(INDEX('①名簿入力'!$F$4:$F$153,S111)="","",INDEX('①名簿入力'!$F$4:$F$153,S111)))</f>
        <v>57</v>
      </c>
      <c r="AU111" s="14">
        <f>IF(S111="","",IF(INDEX('①名簿入力'!$G$4:$G$153,S111)="","",INDEX('①名簿入力'!$G$4:$G$153,S111)))</f>
        <v>68</v>
      </c>
      <c r="AV111" s="14">
        <f>IF(S111="","",IF(INDEX('①名簿入力'!$H$4:$H$153,S111)="","",INDEX('①名簿入力'!$H$4:$H$153,S111)))</f>
        <v>57</v>
      </c>
      <c r="AW111" s="14">
        <f>IF(S111="","",IF(INDEX('①名簿入力'!$I$4:$I$153,S111)="","",INDEX('①名簿入力'!$I$4:$I$153,S111)))</f>
        <v>70</v>
      </c>
      <c r="AX111" s="14">
        <f>IF(S111="","",IF(INDEX('①名簿入力'!$J$4:$J$153,S111)="","",INDEX('①名簿入力'!$J$4:$J$153,S111)))</f>
        <v>74</v>
      </c>
    </row>
    <row r="112">
      <c r="A112" s="23">
        <f>IF('①名簿入力'!A107="","",'①名簿入力'!A107)</f>
        <v>2334</v>
      </c>
      <c r="B112" s="23">
        <f>IF(A112="","",'①名簿入力'!U107)</f>
        <v>1</v>
      </c>
      <c r="D112" s="8" t="n">
        <v>2334</v>
      </c>
      <c r="E112" s="24" t="n">
        <v>1</v>
      </c>
      <c r="F112" s="25" t="str">
        <f>IF(D112="","",IF(S112="","（名簿にない番号）",INDEX('①名簿入力'!$C$4:$C$153,S112)&amp;""))</f>
        <v>渡辺　拓海</v>
      </c>
      <c r="G112" s="13" t="str">
        <f>IF(S112="","",INDEX('①名簿入力'!$E$4:$E$153,S112)&amp;"")</f>
        <v>男</v>
      </c>
      <c r="H112" s="13">
        <f>IF(S112="","",IF(INDEX('①名簿入力'!$B$4:$B$153,S112)="","",INDEX('①名簿入力'!$B$4:$B$153,S112)))</f>
        <v>3</v>
      </c>
      <c r="I112" s="10">
        <f>IF(S112="","",IF(INDEX('①名簿入力'!$K$4:$K$153,S112)="","",INDEX('①名簿入力'!$K$4:$K$153,S112)))</f>
        <v>63.6</v>
      </c>
      <c r="J112" s="10">
        <f>IF(S112="","",IF(INDEX('①名簿入力'!$L$4:$L$153,S112)="","",INDEX('①名簿入力'!$L$4:$L$153,S112)))</f>
        <v>7.7</v>
      </c>
      <c r="K112" s="13" t="str">
        <f>IF(S112="","",IF(INDEX('①名簿入力'!$Y$4:$Y$153,S112)=1,"〇",""))</f>
        <v/>
      </c>
      <c r="L112" s="13" t="str">
        <f>IF(S112="","",IF(INDEX('①名簿入力'!$Z$4:$Z$153,S112)=1,"〇",""))</f>
        <v/>
      </c>
      <c r="M112" s="13" t="str">
        <f>IF(S112="","",IF(INDEX('①名簿入力'!$AA$4:$AA$153,S112)=1,"〇",""))</f>
        <v>〇</v>
      </c>
      <c r="N112" s="13" t="str">
        <f>IF(S112="","",IF(INDEX('①名簿入力'!$AB$4:$AB$153,S112)=1,"〇",""))</f>
        <v/>
      </c>
      <c r="O112" s="25" t="str">
        <f>AM112&amp;IF(AND(AM112&lt;&gt;"",AN112&lt;&gt;""),"、","")&amp;AN112&amp;IF(AND(AM112&amp;AN112&lt;&gt;"",AO112&lt;&gt;""),"、","")&amp;AO112</f>
        <v/>
      </c>
      <c r="P112" s="25" t="str">
        <f>IF(AG112=0,"",IF(AK112&amp;AL112="","⚠",LEFT(AK112&amp;AL112,LEN(AK112&amp;AL112)-1)))</f>
        <v/>
      </c>
      <c r="Q112" s="25" t="str">
        <f>IF(S112="","",INDEX('①名簿入力'!$T$4:$T$153,S112)&amp;"")</f>
        <v/>
      </c>
      <c r="S112" s="14">
        <f>IF(D112="","",IFERROR(MATCH(D112,'①名簿入力'!$A$4:$A$153,0),""))</f>
        <v>104</v>
      </c>
      <c r="T112" s="14" t="str">
        <f>IF(S112="","",IF(INDEX('①名簿入力'!$AG$4:$AG$153,S112)=D112,"",INDEX('①名簿入力'!$AG$4:$AG$153,S112)))</f>
        <v/>
      </c>
      <c r="U112" s="14" t="str">
        <f>IF(S112="","",IF(INDEX('①名簿入力'!$AH$4:$AH$153,S112)=D112,"",INDEX('①名簿入力'!$AH$4:$AH$153,S112)))</f>
        <v/>
      </c>
      <c r="V112" s="14" t="str">
        <f>IF(S112="","",IF(INDEX('①名簿入力'!$AI$4:$AI$153,S112)=D112,"",INDEX('①名簿入力'!$AI$4:$AI$153,S112)))</f>
        <v/>
      </c>
      <c r="W112" s="14" t="str">
        <f>IF(T112="","",IFERROR(IF(INDEX($E$9:$E$158,MATCH(T112,$D$9:$D$158,0))="","",INDEX($E$9:$E$158,MATCH(T112,$D$9:$D$158,0))),""))</f>
        <v/>
      </c>
      <c r="X112" s="14" t="str">
        <f>IF(U112="","",IFERROR(IF(INDEX($E$9:$E$158,MATCH(U112,$D$9:$D$158,0))="","",INDEX($E$9:$E$158,MATCH(U112,$D$9:$D$158,0))),""))</f>
        <v/>
      </c>
      <c r="Y112" s="14" t="str">
        <f>IF(V112="","",IFERROR(IF(INDEX($E$9:$E$158,MATCH(V112,$D$9:$D$158,0))="","",INDEX($E$9:$E$158,MATCH(V112,$D$9:$D$158,0))),""))</f>
        <v/>
      </c>
      <c r="Z112" s="14">
        <f>IF(AND(T112&lt;&gt;"",W112&lt;&gt;"",E112&lt;&gt;""),IF(W112=E112,1,0),0)</f>
        <v>0</v>
      </c>
      <c r="AA112" s="14">
        <f>IF(AND(U112&lt;&gt;"",X112&lt;&gt;"",E112&lt;&gt;""),IF(X112=E112,1,0),0)</f>
        <v>0</v>
      </c>
      <c r="AB112" s="14">
        <f>IF(AND(V112&lt;&gt;"",Y112&lt;&gt;"",E112&lt;&gt;""),IF(Y112=E112,1,0),0)</f>
        <v>0</v>
      </c>
      <c r="AC112" s="14" t="str">
        <f>IF(OR(T112="",E112=""),"",T112&amp;"|"&amp;E112)</f>
        <v/>
      </c>
      <c r="AD112" s="14" t="str">
        <f>IF(OR(U112="",E112=""),"",U112&amp;"|"&amp;E112)</f>
        <v/>
      </c>
      <c r="AE112" s="14" t="str">
        <f>IF(OR(V112="",E112=""),"",V112&amp;"|"&amp;E112)</f>
        <v/>
      </c>
      <c r="AF112" s="14">
        <f>IF(OR(D112="",E112=""),0,COUNTIF($AC$9:$AC$158,D112&amp;"|"&amp;E112)+COUNTIF($AD$9:$AD$158,D112&amp;"|"&amp;E112)+COUNTIF($AE$9:$AE$158,D112&amp;"|"&amp;E112))</f>
        <v>0</v>
      </c>
      <c r="AG112" s="14">
        <f>Z112+AA112+AB112+AF112</f>
        <v>0</v>
      </c>
      <c r="AH112" s="14" t="str">
        <f>IF(OR(D112="",E112=""),"",IFERROR(MATCH(D112&amp;"|"&amp;E112,$AC$9:$AC$158,0),""))</f>
        <v/>
      </c>
      <c r="AI112" s="14" t="str">
        <f>IF(OR(D112="",E112=""),"",IFERROR(MATCH(D112&amp;"|"&amp;E112,$AD$9:$AD$158,0),""))</f>
        <v/>
      </c>
      <c r="AJ112" s="14" t="str">
        <f>IF(OR(D112="",E112=""),"",IFERROR(MATCH(D112&amp;"|"&amp;E112,$AE$9:$AE$158,0),""))</f>
        <v/>
      </c>
      <c r="AK112" s="14" t="str">
        <f>IF(Z112=1,IFERROR(INDEX($F$9:$F$158,MATCH(T112,$D$9:$D$158,0)),"")&amp;"、","")&amp;IF(AA112=1,IFERROR(INDEX($F$9:$F$158,MATCH(U112,$D$9:$D$158,0)),"")&amp;"、","")&amp;IF(AB112=1,IFERROR(INDEX($F$9:$F$158,MATCH(V112,$D$9:$D$158,0)),"")&amp;"、","")</f>
        <v/>
      </c>
      <c r="AL112" s="14" t="str">
        <f>IF(OR(AH112=""),"",IF(OR(INDEX($D$9:$D$158,AH112)=T112,INDEX($D$9:$D$158,AH112)=U112,INDEX($D$9:$D$158,AH112)=V112),"",INDEX($F$9:$F$158,AH112)&amp;"、"))&amp;IF(OR(AI112="",AI112=AH112),"",IF(OR(INDEX($D$9:$D$158,AI112)=T112,INDEX($D$9:$D$158,AI112)=U112,INDEX($D$9:$D$158,AI112)=V112),"",INDEX($F$9:$F$158,AI112)&amp;"、"))&amp;IF(OR(AJ112="",AJ112=AH112,AJ112=AI112),"",IF(OR(INDEX($D$9:$D$158,AJ112)=T112,INDEX($D$9:$D$158,AJ112)=U112,INDEX($D$9:$D$158,AJ112)=V112),"",INDEX($F$9:$F$158,AJ112)&amp;"、"))</f>
        <v/>
      </c>
      <c r="AM112" s="14" t="str">
        <f>IF(T112="","",IFERROR(INDEX('①名簿入力'!$C$4:$C$153,MATCH(T112,'①名簿入力'!$A$4:$A$153,0)),"?")&amp;IF(W112="","","("&amp;W112&amp;"組)"))</f>
        <v/>
      </c>
      <c r="AN112" s="14" t="str">
        <f>IF(U112="","",IFERROR(INDEX('①名簿入力'!$C$4:$C$153,MATCH(U112,'①名簿入力'!$A$4:$A$153,0)),"?")&amp;IF(X112="","","("&amp;X112&amp;"組)"))</f>
        <v/>
      </c>
      <c r="AO112" s="14" t="str">
        <f>IF(V112="","",IFERROR(INDEX('①名簿入力'!$C$4:$C$153,MATCH(V112,'①名簿入力'!$A$4:$A$153,0)),"?")&amp;IF(Y112="","","("&amp;Y112&amp;"組)"))</f>
        <v/>
      </c>
      <c r="AP112" s="14">
        <f>IF(G112="男",1,IF(G112="女",2,3))</f>
        <v>1</v>
      </c>
      <c r="AQ112" s="14">
        <f>IF(OR(S112="",E112=""),"",IFERROR(IF('③クラス一覧'!$AD$6="番号順",0,AP112*1000000000)+D112,""))</f>
        <v>1000002334</v>
      </c>
      <c r="AR112" s="14">
        <f>IF(AQ112="","",COUNTIFS($E$9:$E$158,E112,$AQ$9:$AQ$158,"&lt;"&amp;AQ112)+1)</f>
        <v>18</v>
      </c>
      <c r="AS112" s="14" t="str">
        <f>IF(AR112="","",E112&amp;"-"&amp;AR112)</f>
        <v>1-18</v>
      </c>
      <c r="AT112" s="14">
        <f>IF(S112="","",IF(INDEX('①名簿入力'!$F$4:$F$153,S112)="","",INDEX('①名簿入力'!$F$4:$F$153,S112)))</f>
        <v>68</v>
      </c>
      <c r="AU112" s="14">
        <f>IF(S112="","",IF(INDEX('①名簿入力'!$G$4:$G$153,S112)="","",INDEX('①名簿入力'!$G$4:$G$153,S112)))</f>
        <v>56</v>
      </c>
      <c r="AV112" s="14">
        <f>IF(S112="","",IF(INDEX('①名簿入力'!$H$4:$H$153,S112)="","",INDEX('①名簿入力'!$H$4:$H$153,S112)))</f>
        <v>61</v>
      </c>
      <c r="AW112" s="14">
        <f>IF(S112="","",IF(INDEX('①名簿入力'!$I$4:$I$153,S112)="","",INDEX('①名簿入力'!$I$4:$I$153,S112)))</f>
        <v>71</v>
      </c>
      <c r="AX112" s="14">
        <f>IF(S112="","",IF(INDEX('①名簿入力'!$J$4:$J$153,S112)="","",INDEX('①名簿入力'!$J$4:$J$153,S112)))</f>
        <v>62</v>
      </c>
    </row>
    <row r="113">
      <c r="A113" s="23">
        <f>IF('①名簿入力'!A108="","",'①名簿入力'!A108)</f>
        <v>2335</v>
      </c>
      <c r="B113" s="23">
        <f>IF(A113="","",'①名簿入力'!U108)</f>
        <v>3</v>
      </c>
      <c r="D113" s="8" t="n">
        <v>2335</v>
      </c>
      <c r="E113" s="24" t="n">
        <v>3</v>
      </c>
      <c r="F113" s="25" t="str">
        <f>IF(D113="","",IF(S113="","（名簿にない番号）",INDEX('①名簿入力'!$C$4:$C$153,S113)&amp;""))</f>
        <v>和田　航</v>
      </c>
      <c r="G113" s="13" t="str">
        <f>IF(S113="","",INDEX('①名簿入力'!$E$4:$E$153,S113)&amp;"")</f>
        <v>男</v>
      </c>
      <c r="H113" s="13">
        <f>IF(S113="","",IF(INDEX('①名簿入力'!$B$4:$B$153,S113)="","",INDEX('①名簿入力'!$B$4:$B$153,S113)))</f>
        <v>3</v>
      </c>
      <c r="I113" s="10">
        <f>IF(S113="","",IF(INDEX('①名簿入力'!$K$4:$K$153,S113)="","",INDEX('①名簿入力'!$K$4:$K$153,S113)))</f>
        <v>76.6</v>
      </c>
      <c r="J113" s="10">
        <f>IF(S113="","",IF(INDEX('①名簿入力'!$L$4:$L$153,S113)="","",INDEX('①名簿入力'!$L$4:$L$153,S113)))</f>
        <v>7.7</v>
      </c>
      <c r="K113" s="13" t="str">
        <f>IF(S113="","",IF(INDEX('①名簿入力'!$Y$4:$Y$153,S113)=1,"〇",""))</f>
        <v/>
      </c>
      <c r="L113" s="13" t="str">
        <f>IF(S113="","",IF(INDEX('①名簿入力'!$Z$4:$Z$153,S113)=1,"〇",""))</f>
        <v/>
      </c>
      <c r="M113" s="13" t="str">
        <f>IF(S113="","",IF(INDEX('①名簿入力'!$AA$4:$AA$153,S113)=1,"〇",""))</f>
        <v/>
      </c>
      <c r="N113" s="13" t="str">
        <f>IF(S113="","",IF(INDEX('①名簿入力'!$AB$4:$AB$153,S113)=1,"〇",""))</f>
        <v/>
      </c>
      <c r="O113" s="25" t="str">
        <f>AM113&amp;IF(AND(AM113&lt;&gt;"",AN113&lt;&gt;""),"、","")&amp;AN113&amp;IF(AND(AM113&amp;AN113&lt;&gt;"",AO113&lt;&gt;""),"、","")&amp;AO113</f>
        <v/>
      </c>
      <c r="P113" s="25" t="str">
        <f>IF(AG113=0,"",IF(AK113&amp;AL113="","⚠",LEFT(AK113&amp;AL113,LEN(AK113&amp;AL113)-1)))</f>
        <v/>
      </c>
      <c r="Q113" s="25" t="str">
        <f>IF(S113="","",INDEX('①名簿入力'!$T$4:$T$153,S113)&amp;"")</f>
        <v/>
      </c>
      <c r="S113" s="14">
        <f>IF(D113="","",IFERROR(MATCH(D113,'①名簿入力'!$A$4:$A$153,0),""))</f>
        <v>105</v>
      </c>
      <c r="T113" s="14" t="str">
        <f>IF(S113="","",IF(INDEX('①名簿入力'!$AG$4:$AG$153,S113)=D113,"",INDEX('①名簿入力'!$AG$4:$AG$153,S113)))</f>
        <v/>
      </c>
      <c r="U113" s="14" t="str">
        <f>IF(S113="","",IF(INDEX('①名簿入力'!$AH$4:$AH$153,S113)=D113,"",INDEX('①名簿入力'!$AH$4:$AH$153,S113)))</f>
        <v/>
      </c>
      <c r="V113" s="14" t="str">
        <f>IF(S113="","",IF(INDEX('①名簿入力'!$AI$4:$AI$153,S113)=D113,"",INDEX('①名簿入力'!$AI$4:$AI$153,S113)))</f>
        <v/>
      </c>
      <c r="W113" s="14" t="str">
        <f>IF(T113="","",IFERROR(IF(INDEX($E$9:$E$158,MATCH(T113,$D$9:$D$158,0))="","",INDEX($E$9:$E$158,MATCH(T113,$D$9:$D$158,0))),""))</f>
        <v/>
      </c>
      <c r="X113" s="14" t="str">
        <f>IF(U113="","",IFERROR(IF(INDEX($E$9:$E$158,MATCH(U113,$D$9:$D$158,0))="","",INDEX($E$9:$E$158,MATCH(U113,$D$9:$D$158,0))),""))</f>
        <v/>
      </c>
      <c r="Y113" s="14" t="str">
        <f>IF(V113="","",IFERROR(IF(INDEX($E$9:$E$158,MATCH(V113,$D$9:$D$158,0))="","",INDEX($E$9:$E$158,MATCH(V113,$D$9:$D$158,0))),""))</f>
        <v/>
      </c>
      <c r="Z113" s="14">
        <f>IF(AND(T113&lt;&gt;"",W113&lt;&gt;"",E113&lt;&gt;""),IF(W113=E113,1,0),0)</f>
        <v>0</v>
      </c>
      <c r="AA113" s="14">
        <f>IF(AND(U113&lt;&gt;"",X113&lt;&gt;"",E113&lt;&gt;""),IF(X113=E113,1,0),0)</f>
        <v>0</v>
      </c>
      <c r="AB113" s="14">
        <f>IF(AND(V113&lt;&gt;"",Y113&lt;&gt;"",E113&lt;&gt;""),IF(Y113=E113,1,0),0)</f>
        <v>0</v>
      </c>
      <c r="AC113" s="14" t="str">
        <f>IF(OR(T113="",E113=""),"",T113&amp;"|"&amp;E113)</f>
        <v/>
      </c>
      <c r="AD113" s="14" t="str">
        <f>IF(OR(U113="",E113=""),"",U113&amp;"|"&amp;E113)</f>
        <v/>
      </c>
      <c r="AE113" s="14" t="str">
        <f>IF(OR(V113="",E113=""),"",V113&amp;"|"&amp;E113)</f>
        <v/>
      </c>
      <c r="AF113" s="14">
        <f>IF(OR(D113="",E113=""),0,COUNTIF($AC$9:$AC$158,D113&amp;"|"&amp;E113)+COUNTIF($AD$9:$AD$158,D113&amp;"|"&amp;E113)+COUNTIF($AE$9:$AE$158,D113&amp;"|"&amp;E113))</f>
        <v>0</v>
      </c>
      <c r="AG113" s="14">
        <f>Z113+AA113+AB113+AF113</f>
        <v>0</v>
      </c>
      <c r="AH113" s="14" t="str">
        <f>IF(OR(D113="",E113=""),"",IFERROR(MATCH(D113&amp;"|"&amp;E113,$AC$9:$AC$158,0),""))</f>
        <v/>
      </c>
      <c r="AI113" s="14" t="str">
        <f>IF(OR(D113="",E113=""),"",IFERROR(MATCH(D113&amp;"|"&amp;E113,$AD$9:$AD$158,0),""))</f>
        <v/>
      </c>
      <c r="AJ113" s="14" t="str">
        <f>IF(OR(D113="",E113=""),"",IFERROR(MATCH(D113&amp;"|"&amp;E113,$AE$9:$AE$158,0),""))</f>
        <v/>
      </c>
      <c r="AK113" s="14" t="str">
        <f>IF(Z113=1,IFERROR(INDEX($F$9:$F$158,MATCH(T113,$D$9:$D$158,0)),"")&amp;"、","")&amp;IF(AA113=1,IFERROR(INDEX($F$9:$F$158,MATCH(U113,$D$9:$D$158,0)),"")&amp;"、","")&amp;IF(AB113=1,IFERROR(INDEX($F$9:$F$158,MATCH(V113,$D$9:$D$158,0)),"")&amp;"、","")</f>
        <v/>
      </c>
      <c r="AL113" s="14" t="str">
        <f>IF(OR(AH113=""),"",IF(OR(INDEX($D$9:$D$158,AH113)=T113,INDEX($D$9:$D$158,AH113)=U113,INDEX($D$9:$D$158,AH113)=V113),"",INDEX($F$9:$F$158,AH113)&amp;"、"))&amp;IF(OR(AI113="",AI113=AH113),"",IF(OR(INDEX($D$9:$D$158,AI113)=T113,INDEX($D$9:$D$158,AI113)=U113,INDEX($D$9:$D$158,AI113)=V113),"",INDEX($F$9:$F$158,AI113)&amp;"、"))&amp;IF(OR(AJ113="",AJ113=AH113,AJ113=AI113),"",IF(OR(INDEX($D$9:$D$158,AJ113)=T113,INDEX($D$9:$D$158,AJ113)=U113,INDEX($D$9:$D$158,AJ113)=V113),"",INDEX($F$9:$F$158,AJ113)&amp;"、"))</f>
        <v/>
      </c>
      <c r="AM113" s="14" t="str">
        <f>IF(T113="","",IFERROR(INDEX('①名簿入力'!$C$4:$C$153,MATCH(T113,'①名簿入力'!$A$4:$A$153,0)),"?")&amp;IF(W113="","","("&amp;W113&amp;"組)"))</f>
        <v/>
      </c>
      <c r="AN113" s="14" t="str">
        <f>IF(U113="","",IFERROR(INDEX('①名簿入力'!$C$4:$C$153,MATCH(U113,'①名簿入力'!$A$4:$A$153,0)),"?")&amp;IF(X113="","","("&amp;X113&amp;"組)"))</f>
        <v/>
      </c>
      <c r="AO113" s="14" t="str">
        <f>IF(V113="","",IFERROR(INDEX('①名簿入力'!$C$4:$C$153,MATCH(V113,'①名簿入力'!$A$4:$A$153,0)),"?")&amp;IF(Y113="","","("&amp;Y113&amp;"組)"))</f>
        <v/>
      </c>
      <c r="AP113" s="14">
        <f>IF(G113="男",1,IF(G113="女",2,3))</f>
        <v>1</v>
      </c>
      <c r="AQ113" s="14">
        <f>IF(OR(S113="",E113=""),"",IFERROR(IF('③クラス一覧'!$AD$6="番号順",0,AP113*1000000000)+D113,""))</f>
        <v>1000002335</v>
      </c>
      <c r="AR113" s="14">
        <f>IF(AQ113="","",COUNTIFS($E$9:$E$158,E113,$AQ$9:$AQ$158,"&lt;"&amp;AQ113)+1)</f>
        <v>18</v>
      </c>
      <c r="AS113" s="14" t="str">
        <f>IF(AR113="","",E113&amp;"-"&amp;AR113)</f>
        <v>3-18</v>
      </c>
      <c r="AT113" s="14">
        <f>IF(S113="","",IF(INDEX('①名簿入力'!$F$4:$F$153,S113)="","",INDEX('①名簿入力'!$F$4:$F$153,S113)))</f>
        <v>83</v>
      </c>
      <c r="AU113" s="14">
        <f>IF(S113="","",IF(INDEX('①名簿入力'!$G$4:$G$153,S113)="","",INDEX('①名簿入力'!$G$4:$G$153,S113)))</f>
        <v>76</v>
      </c>
      <c r="AV113" s="14">
        <f>IF(S113="","",IF(INDEX('①名簿入力'!$H$4:$H$153,S113)="","",INDEX('①名簿入力'!$H$4:$H$153,S113)))</f>
        <v>78</v>
      </c>
      <c r="AW113" s="14">
        <f>IF(S113="","",IF(INDEX('①名簿入力'!$I$4:$I$153,S113)="","",INDEX('①名簿入力'!$I$4:$I$153,S113)))</f>
        <v>79</v>
      </c>
      <c r="AX113" s="14">
        <f>IF(S113="","",IF(INDEX('①名簿入力'!$J$4:$J$153,S113)="","",INDEX('①名簿入力'!$J$4:$J$153,S113)))</f>
        <v>67</v>
      </c>
    </row>
    <row r="114">
      <c r="A114" s="23" t="str">
        <f>IF('①名簿入力'!A109="","",'①名簿入力'!A109)</f>
        <v/>
      </c>
      <c r="B114" s="23" t="str">
        <f>IF(A114="","",'①名簿入力'!U109)</f>
        <v/>
      </c>
      <c r="D114" s="8" t="n"/>
      <c r="E114" s="24" t="n"/>
      <c r="F114" s="25" t="str">
        <f>IF(D114="","",IF(S114="","（名簿にない番号）",INDEX('①名簿入力'!$C$4:$C$153,S114)&amp;""))</f>
        <v/>
      </c>
      <c r="G114" s="13" t="str">
        <f>IF(S114="","",INDEX('①名簿入力'!$E$4:$E$153,S114)&amp;"")</f>
        <v/>
      </c>
      <c r="H114" s="13" t="str">
        <f>IF(S114="","",IF(INDEX('①名簿入力'!$B$4:$B$153,S114)="","",INDEX('①名簿入力'!$B$4:$B$153,S114)))</f>
        <v/>
      </c>
      <c r="I114" s="10" t="str">
        <f>IF(S114="","",IF(INDEX('①名簿入力'!$K$4:$K$153,S114)="","",INDEX('①名簿入力'!$K$4:$K$153,S114)))</f>
        <v/>
      </c>
      <c r="J114" s="10" t="str">
        <f>IF(S114="","",IF(INDEX('①名簿入力'!$L$4:$L$153,S114)="","",INDEX('①名簿入力'!$L$4:$L$153,S114)))</f>
        <v/>
      </c>
      <c r="K114" s="13" t="str">
        <f>IF(S114="","",IF(INDEX('①名簿入力'!$Y$4:$Y$153,S114)=1,"〇",""))</f>
        <v/>
      </c>
      <c r="L114" s="13" t="str">
        <f>IF(S114="","",IF(INDEX('①名簿入力'!$Z$4:$Z$153,S114)=1,"〇",""))</f>
        <v/>
      </c>
      <c r="M114" s="13" t="str">
        <f>IF(S114="","",IF(INDEX('①名簿入力'!$AA$4:$AA$153,S114)=1,"〇",""))</f>
        <v/>
      </c>
      <c r="N114" s="13" t="str">
        <f>IF(S114="","",IF(INDEX('①名簿入力'!$AB$4:$AB$153,S114)=1,"〇",""))</f>
        <v/>
      </c>
      <c r="O114" s="25" t="str">
        <f>AM114&amp;IF(AND(AM114&lt;&gt;"",AN114&lt;&gt;""),"、","")&amp;AN114&amp;IF(AND(AM114&amp;AN114&lt;&gt;"",AO114&lt;&gt;""),"、","")&amp;AO114</f>
        <v/>
      </c>
      <c r="P114" s="25" t="str">
        <f>IF(AG114=0,"",IF(AK114&amp;AL114="","⚠",LEFT(AK114&amp;AL114,LEN(AK114&amp;AL114)-1)))</f>
        <v/>
      </c>
      <c r="Q114" s="25" t="str">
        <f>IF(S114="","",INDEX('①名簿入力'!$T$4:$T$153,S114)&amp;"")</f>
        <v/>
      </c>
      <c r="S114" s="14" t="str">
        <f>IF(D114="","",IFERROR(MATCH(D114,'①名簿入力'!$A$4:$A$153,0),""))</f>
        <v/>
      </c>
      <c r="T114" s="14" t="str">
        <f>IF(S114="","",IF(INDEX('①名簿入力'!$AG$4:$AG$153,S114)=D114,"",INDEX('①名簿入力'!$AG$4:$AG$153,S114)))</f>
        <v/>
      </c>
      <c r="U114" s="14" t="str">
        <f>IF(S114="","",IF(INDEX('①名簿入力'!$AH$4:$AH$153,S114)=D114,"",INDEX('①名簿入力'!$AH$4:$AH$153,S114)))</f>
        <v/>
      </c>
      <c r="V114" s="14" t="str">
        <f>IF(S114="","",IF(INDEX('①名簿入力'!$AI$4:$AI$153,S114)=D114,"",INDEX('①名簿入力'!$AI$4:$AI$153,S114)))</f>
        <v/>
      </c>
      <c r="W114" s="14" t="str">
        <f>IF(T114="","",IFERROR(IF(INDEX($E$9:$E$158,MATCH(T114,$D$9:$D$158,0))="","",INDEX($E$9:$E$158,MATCH(T114,$D$9:$D$158,0))),""))</f>
        <v/>
      </c>
      <c r="X114" s="14" t="str">
        <f>IF(U114="","",IFERROR(IF(INDEX($E$9:$E$158,MATCH(U114,$D$9:$D$158,0))="","",INDEX($E$9:$E$158,MATCH(U114,$D$9:$D$158,0))),""))</f>
        <v/>
      </c>
      <c r="Y114" s="14" t="str">
        <f>IF(V114="","",IFERROR(IF(INDEX($E$9:$E$158,MATCH(V114,$D$9:$D$158,0))="","",INDEX($E$9:$E$158,MATCH(V114,$D$9:$D$158,0))),""))</f>
        <v/>
      </c>
      <c r="Z114" s="14">
        <f>IF(AND(T114&lt;&gt;"",W114&lt;&gt;"",E114&lt;&gt;""),IF(W114=E114,1,0),0)</f>
        <v>0</v>
      </c>
      <c r="AA114" s="14">
        <f>IF(AND(U114&lt;&gt;"",X114&lt;&gt;"",E114&lt;&gt;""),IF(X114=E114,1,0),0)</f>
        <v>0</v>
      </c>
      <c r="AB114" s="14">
        <f>IF(AND(V114&lt;&gt;"",Y114&lt;&gt;"",E114&lt;&gt;""),IF(Y114=E114,1,0),0)</f>
        <v>0</v>
      </c>
      <c r="AC114" s="14" t="str">
        <f>IF(OR(T114="",E114=""),"",T114&amp;"|"&amp;E114)</f>
        <v/>
      </c>
      <c r="AD114" s="14" t="str">
        <f>IF(OR(U114="",E114=""),"",U114&amp;"|"&amp;E114)</f>
        <v/>
      </c>
      <c r="AE114" s="14" t="str">
        <f>IF(OR(V114="",E114=""),"",V114&amp;"|"&amp;E114)</f>
        <v/>
      </c>
      <c r="AF114" s="14">
        <f>IF(OR(D114="",E114=""),0,COUNTIF($AC$9:$AC$158,D114&amp;"|"&amp;E114)+COUNTIF($AD$9:$AD$158,D114&amp;"|"&amp;E114)+COUNTIF($AE$9:$AE$158,D114&amp;"|"&amp;E114))</f>
        <v>0</v>
      </c>
      <c r="AG114" s="14">
        <f>Z114+AA114+AB114+AF114</f>
        <v>0</v>
      </c>
      <c r="AH114" s="14" t="str">
        <f>IF(OR(D114="",E114=""),"",IFERROR(MATCH(D114&amp;"|"&amp;E114,$AC$9:$AC$158,0),""))</f>
        <v/>
      </c>
      <c r="AI114" s="14" t="str">
        <f>IF(OR(D114="",E114=""),"",IFERROR(MATCH(D114&amp;"|"&amp;E114,$AD$9:$AD$158,0),""))</f>
        <v/>
      </c>
      <c r="AJ114" s="14" t="str">
        <f>IF(OR(D114="",E114=""),"",IFERROR(MATCH(D114&amp;"|"&amp;E114,$AE$9:$AE$158,0),""))</f>
        <v/>
      </c>
      <c r="AK114" s="14" t="str">
        <f>IF(Z114=1,IFERROR(INDEX($F$9:$F$158,MATCH(T114,$D$9:$D$158,0)),"")&amp;"、","")&amp;IF(AA114=1,IFERROR(INDEX($F$9:$F$158,MATCH(U114,$D$9:$D$158,0)),"")&amp;"、","")&amp;IF(AB114=1,IFERROR(INDEX($F$9:$F$158,MATCH(V114,$D$9:$D$158,0)),"")&amp;"、","")</f>
        <v/>
      </c>
      <c r="AL114" s="14" t="str">
        <f>IF(OR(AH114=""),"",IF(OR(INDEX($D$9:$D$158,AH114)=T114,INDEX($D$9:$D$158,AH114)=U114,INDEX($D$9:$D$158,AH114)=V114),"",INDEX($F$9:$F$158,AH114)&amp;"、"))&amp;IF(OR(AI114="",AI114=AH114),"",IF(OR(INDEX($D$9:$D$158,AI114)=T114,INDEX($D$9:$D$158,AI114)=U114,INDEX($D$9:$D$158,AI114)=V114),"",INDEX($F$9:$F$158,AI114)&amp;"、"))&amp;IF(OR(AJ114="",AJ114=AH114,AJ114=AI114),"",IF(OR(INDEX($D$9:$D$158,AJ114)=T114,INDEX($D$9:$D$158,AJ114)=U114,INDEX($D$9:$D$158,AJ114)=V114),"",INDEX($F$9:$F$158,AJ114)&amp;"、"))</f>
        <v/>
      </c>
      <c r="AM114" s="14" t="str">
        <f>IF(T114="","",IFERROR(INDEX('①名簿入力'!$C$4:$C$153,MATCH(T114,'①名簿入力'!$A$4:$A$153,0)),"?")&amp;IF(W114="","","("&amp;W114&amp;"組)"))</f>
        <v/>
      </c>
      <c r="AN114" s="14" t="str">
        <f>IF(U114="","",IFERROR(INDEX('①名簿入力'!$C$4:$C$153,MATCH(U114,'①名簿入力'!$A$4:$A$153,0)),"?")&amp;IF(X114="","","("&amp;X114&amp;"組)"))</f>
        <v/>
      </c>
      <c r="AO114" s="14" t="str">
        <f>IF(V114="","",IFERROR(INDEX('①名簿入力'!$C$4:$C$153,MATCH(V114,'①名簿入力'!$A$4:$A$153,0)),"?")&amp;IF(Y114="","","("&amp;Y114&amp;"組)"))</f>
        <v/>
      </c>
      <c r="AP114" s="14">
        <f>IF(G114="男",1,IF(G114="女",2,3))</f>
        <v>3</v>
      </c>
      <c r="AQ114" s="14" t="str">
        <f>IF(OR(S114="",E114=""),"",IFERROR(IF('③クラス一覧'!$AD$6="番号順",0,AP114*1000000000)+D114,""))</f>
        <v/>
      </c>
      <c r="AR114" s="14" t="str">
        <f>IF(AQ114="","",COUNTIFS($E$9:$E$158,E114,$AQ$9:$AQ$158,"&lt;"&amp;AQ114)+1)</f>
        <v/>
      </c>
      <c r="AS114" s="14" t="str">
        <f>IF(AR114="","",E114&amp;"-"&amp;AR114)</f>
        <v/>
      </c>
      <c r="AT114" s="14" t="str">
        <f>IF(S114="","",IF(INDEX('①名簿入力'!$F$4:$F$153,S114)="","",INDEX('①名簿入力'!$F$4:$F$153,S114)))</f>
        <v/>
      </c>
      <c r="AU114" s="14" t="str">
        <f>IF(S114="","",IF(INDEX('①名簿入力'!$G$4:$G$153,S114)="","",INDEX('①名簿入力'!$G$4:$G$153,S114)))</f>
        <v/>
      </c>
      <c r="AV114" s="14" t="str">
        <f>IF(S114="","",IF(INDEX('①名簿入力'!$H$4:$H$153,S114)="","",INDEX('①名簿入力'!$H$4:$H$153,S114)))</f>
        <v/>
      </c>
      <c r="AW114" s="14" t="str">
        <f>IF(S114="","",IF(INDEX('①名簿入力'!$I$4:$I$153,S114)="","",INDEX('①名簿入力'!$I$4:$I$153,S114)))</f>
        <v/>
      </c>
      <c r="AX114" s="14" t="str">
        <f>IF(S114="","",IF(INDEX('①名簿入力'!$J$4:$J$153,S114)="","",INDEX('①名簿入力'!$J$4:$J$153,S114)))</f>
        <v/>
      </c>
    </row>
    <row r="115">
      <c r="A115" s="23" t="str">
        <f>IF('①名簿入力'!A110="","",'①名簿入力'!A110)</f>
        <v/>
      </c>
      <c r="B115" s="23" t="str">
        <f>IF(A115="","",'①名簿入力'!U110)</f>
        <v/>
      </c>
      <c r="D115" s="8" t="n"/>
      <c r="E115" s="24" t="n"/>
      <c r="F115" s="25" t="str">
        <f>IF(D115="","",IF(S115="","（名簿にない番号）",INDEX('①名簿入力'!$C$4:$C$153,S115)&amp;""))</f>
        <v/>
      </c>
      <c r="G115" s="13" t="str">
        <f>IF(S115="","",INDEX('①名簿入力'!$E$4:$E$153,S115)&amp;"")</f>
        <v/>
      </c>
      <c r="H115" s="13" t="str">
        <f>IF(S115="","",IF(INDEX('①名簿入力'!$B$4:$B$153,S115)="","",INDEX('①名簿入力'!$B$4:$B$153,S115)))</f>
        <v/>
      </c>
      <c r="I115" s="10" t="str">
        <f>IF(S115="","",IF(INDEX('①名簿入力'!$K$4:$K$153,S115)="","",INDEX('①名簿入力'!$K$4:$K$153,S115)))</f>
        <v/>
      </c>
      <c r="J115" s="10" t="str">
        <f>IF(S115="","",IF(INDEX('①名簿入力'!$L$4:$L$153,S115)="","",INDEX('①名簿入力'!$L$4:$L$153,S115)))</f>
        <v/>
      </c>
      <c r="K115" s="13" t="str">
        <f>IF(S115="","",IF(INDEX('①名簿入力'!$Y$4:$Y$153,S115)=1,"〇",""))</f>
        <v/>
      </c>
      <c r="L115" s="13" t="str">
        <f>IF(S115="","",IF(INDEX('①名簿入力'!$Z$4:$Z$153,S115)=1,"〇",""))</f>
        <v/>
      </c>
      <c r="M115" s="13" t="str">
        <f>IF(S115="","",IF(INDEX('①名簿入力'!$AA$4:$AA$153,S115)=1,"〇",""))</f>
        <v/>
      </c>
      <c r="N115" s="13" t="str">
        <f>IF(S115="","",IF(INDEX('①名簿入力'!$AB$4:$AB$153,S115)=1,"〇",""))</f>
        <v/>
      </c>
      <c r="O115" s="25" t="str">
        <f>AM115&amp;IF(AND(AM115&lt;&gt;"",AN115&lt;&gt;""),"、","")&amp;AN115&amp;IF(AND(AM115&amp;AN115&lt;&gt;"",AO115&lt;&gt;""),"、","")&amp;AO115</f>
        <v/>
      </c>
      <c r="P115" s="25" t="str">
        <f>IF(AG115=0,"",IF(AK115&amp;AL115="","⚠",LEFT(AK115&amp;AL115,LEN(AK115&amp;AL115)-1)))</f>
        <v/>
      </c>
      <c r="Q115" s="25" t="str">
        <f>IF(S115="","",INDEX('①名簿入力'!$T$4:$T$153,S115)&amp;"")</f>
        <v/>
      </c>
      <c r="S115" s="14" t="str">
        <f>IF(D115="","",IFERROR(MATCH(D115,'①名簿入力'!$A$4:$A$153,0),""))</f>
        <v/>
      </c>
      <c r="T115" s="14" t="str">
        <f>IF(S115="","",IF(INDEX('①名簿入力'!$AG$4:$AG$153,S115)=D115,"",INDEX('①名簿入力'!$AG$4:$AG$153,S115)))</f>
        <v/>
      </c>
      <c r="U115" s="14" t="str">
        <f>IF(S115="","",IF(INDEX('①名簿入力'!$AH$4:$AH$153,S115)=D115,"",INDEX('①名簿入力'!$AH$4:$AH$153,S115)))</f>
        <v/>
      </c>
      <c r="V115" s="14" t="str">
        <f>IF(S115="","",IF(INDEX('①名簿入力'!$AI$4:$AI$153,S115)=D115,"",INDEX('①名簿入力'!$AI$4:$AI$153,S115)))</f>
        <v/>
      </c>
      <c r="W115" s="14" t="str">
        <f>IF(T115="","",IFERROR(IF(INDEX($E$9:$E$158,MATCH(T115,$D$9:$D$158,0))="","",INDEX($E$9:$E$158,MATCH(T115,$D$9:$D$158,0))),""))</f>
        <v/>
      </c>
      <c r="X115" s="14" t="str">
        <f>IF(U115="","",IFERROR(IF(INDEX($E$9:$E$158,MATCH(U115,$D$9:$D$158,0))="","",INDEX($E$9:$E$158,MATCH(U115,$D$9:$D$158,0))),""))</f>
        <v/>
      </c>
      <c r="Y115" s="14" t="str">
        <f>IF(V115="","",IFERROR(IF(INDEX($E$9:$E$158,MATCH(V115,$D$9:$D$158,0))="","",INDEX($E$9:$E$158,MATCH(V115,$D$9:$D$158,0))),""))</f>
        <v/>
      </c>
      <c r="Z115" s="14">
        <f>IF(AND(T115&lt;&gt;"",W115&lt;&gt;"",E115&lt;&gt;""),IF(W115=E115,1,0),0)</f>
        <v>0</v>
      </c>
      <c r="AA115" s="14">
        <f>IF(AND(U115&lt;&gt;"",X115&lt;&gt;"",E115&lt;&gt;""),IF(X115=E115,1,0),0)</f>
        <v>0</v>
      </c>
      <c r="AB115" s="14">
        <f>IF(AND(V115&lt;&gt;"",Y115&lt;&gt;"",E115&lt;&gt;""),IF(Y115=E115,1,0),0)</f>
        <v>0</v>
      </c>
      <c r="AC115" s="14" t="str">
        <f>IF(OR(T115="",E115=""),"",T115&amp;"|"&amp;E115)</f>
        <v/>
      </c>
      <c r="AD115" s="14" t="str">
        <f>IF(OR(U115="",E115=""),"",U115&amp;"|"&amp;E115)</f>
        <v/>
      </c>
      <c r="AE115" s="14" t="str">
        <f>IF(OR(V115="",E115=""),"",V115&amp;"|"&amp;E115)</f>
        <v/>
      </c>
      <c r="AF115" s="14">
        <f>IF(OR(D115="",E115=""),0,COUNTIF($AC$9:$AC$158,D115&amp;"|"&amp;E115)+COUNTIF($AD$9:$AD$158,D115&amp;"|"&amp;E115)+COUNTIF($AE$9:$AE$158,D115&amp;"|"&amp;E115))</f>
        <v>0</v>
      </c>
      <c r="AG115" s="14">
        <f>Z115+AA115+AB115+AF115</f>
        <v>0</v>
      </c>
      <c r="AH115" s="14" t="str">
        <f>IF(OR(D115="",E115=""),"",IFERROR(MATCH(D115&amp;"|"&amp;E115,$AC$9:$AC$158,0),""))</f>
        <v/>
      </c>
      <c r="AI115" s="14" t="str">
        <f>IF(OR(D115="",E115=""),"",IFERROR(MATCH(D115&amp;"|"&amp;E115,$AD$9:$AD$158,0),""))</f>
        <v/>
      </c>
      <c r="AJ115" s="14" t="str">
        <f>IF(OR(D115="",E115=""),"",IFERROR(MATCH(D115&amp;"|"&amp;E115,$AE$9:$AE$158,0),""))</f>
        <v/>
      </c>
      <c r="AK115" s="14" t="str">
        <f>IF(Z115=1,IFERROR(INDEX($F$9:$F$158,MATCH(T115,$D$9:$D$158,0)),"")&amp;"、","")&amp;IF(AA115=1,IFERROR(INDEX($F$9:$F$158,MATCH(U115,$D$9:$D$158,0)),"")&amp;"、","")&amp;IF(AB115=1,IFERROR(INDEX($F$9:$F$158,MATCH(V115,$D$9:$D$158,0)),"")&amp;"、","")</f>
        <v/>
      </c>
      <c r="AL115" s="14" t="str">
        <f>IF(OR(AH115=""),"",IF(OR(INDEX($D$9:$D$158,AH115)=T115,INDEX($D$9:$D$158,AH115)=U115,INDEX($D$9:$D$158,AH115)=V115),"",INDEX($F$9:$F$158,AH115)&amp;"、"))&amp;IF(OR(AI115="",AI115=AH115),"",IF(OR(INDEX($D$9:$D$158,AI115)=T115,INDEX($D$9:$D$158,AI115)=U115,INDEX($D$9:$D$158,AI115)=V115),"",INDEX($F$9:$F$158,AI115)&amp;"、"))&amp;IF(OR(AJ115="",AJ115=AH115,AJ115=AI115),"",IF(OR(INDEX($D$9:$D$158,AJ115)=T115,INDEX($D$9:$D$158,AJ115)=U115,INDEX($D$9:$D$158,AJ115)=V115),"",INDEX($F$9:$F$158,AJ115)&amp;"、"))</f>
        <v/>
      </c>
      <c r="AM115" s="14" t="str">
        <f>IF(T115="","",IFERROR(INDEX('①名簿入力'!$C$4:$C$153,MATCH(T115,'①名簿入力'!$A$4:$A$153,0)),"?")&amp;IF(W115="","","("&amp;W115&amp;"組)"))</f>
        <v/>
      </c>
      <c r="AN115" s="14" t="str">
        <f>IF(U115="","",IFERROR(INDEX('①名簿入力'!$C$4:$C$153,MATCH(U115,'①名簿入力'!$A$4:$A$153,0)),"?")&amp;IF(X115="","","("&amp;X115&amp;"組)"))</f>
        <v/>
      </c>
      <c r="AO115" s="14" t="str">
        <f>IF(V115="","",IFERROR(INDEX('①名簿入力'!$C$4:$C$153,MATCH(V115,'①名簿入力'!$A$4:$A$153,0)),"?")&amp;IF(Y115="","","("&amp;Y115&amp;"組)"))</f>
        <v/>
      </c>
      <c r="AP115" s="14">
        <f>IF(G115="男",1,IF(G115="女",2,3))</f>
        <v>3</v>
      </c>
      <c r="AQ115" s="14" t="str">
        <f>IF(OR(S115="",E115=""),"",IFERROR(IF('③クラス一覧'!$AD$6="番号順",0,AP115*1000000000)+D115,""))</f>
        <v/>
      </c>
      <c r="AR115" s="14" t="str">
        <f>IF(AQ115="","",COUNTIFS($E$9:$E$158,E115,$AQ$9:$AQ$158,"&lt;"&amp;AQ115)+1)</f>
        <v/>
      </c>
      <c r="AS115" s="14" t="str">
        <f>IF(AR115="","",E115&amp;"-"&amp;AR115)</f>
        <v/>
      </c>
      <c r="AT115" s="14" t="str">
        <f>IF(S115="","",IF(INDEX('①名簿入力'!$F$4:$F$153,S115)="","",INDEX('①名簿入力'!$F$4:$F$153,S115)))</f>
        <v/>
      </c>
      <c r="AU115" s="14" t="str">
        <f>IF(S115="","",IF(INDEX('①名簿入力'!$G$4:$G$153,S115)="","",INDEX('①名簿入力'!$G$4:$G$153,S115)))</f>
        <v/>
      </c>
      <c r="AV115" s="14" t="str">
        <f>IF(S115="","",IF(INDEX('①名簿入力'!$H$4:$H$153,S115)="","",INDEX('①名簿入力'!$H$4:$H$153,S115)))</f>
        <v/>
      </c>
      <c r="AW115" s="14" t="str">
        <f>IF(S115="","",IF(INDEX('①名簿入力'!$I$4:$I$153,S115)="","",INDEX('①名簿入力'!$I$4:$I$153,S115)))</f>
        <v/>
      </c>
      <c r="AX115" s="14" t="str">
        <f>IF(S115="","",IF(INDEX('①名簿入力'!$J$4:$J$153,S115)="","",INDEX('①名簿入力'!$J$4:$J$153,S115)))</f>
        <v/>
      </c>
    </row>
    <row r="116">
      <c r="A116" s="23" t="str">
        <f>IF('①名簿入力'!A111="","",'①名簿入力'!A111)</f>
        <v/>
      </c>
      <c r="B116" s="23" t="str">
        <f>IF(A116="","",'①名簿入力'!U111)</f>
        <v/>
      </c>
      <c r="D116" s="8" t="n"/>
      <c r="E116" s="24" t="n"/>
      <c r="F116" s="25" t="str">
        <f>IF(D116="","",IF(S116="","（名簿にない番号）",INDEX('①名簿入力'!$C$4:$C$153,S116)&amp;""))</f>
        <v/>
      </c>
      <c r="G116" s="13" t="str">
        <f>IF(S116="","",INDEX('①名簿入力'!$E$4:$E$153,S116)&amp;"")</f>
        <v/>
      </c>
      <c r="H116" s="13" t="str">
        <f>IF(S116="","",IF(INDEX('①名簿入力'!$B$4:$B$153,S116)="","",INDEX('①名簿入力'!$B$4:$B$153,S116)))</f>
        <v/>
      </c>
      <c r="I116" s="10" t="str">
        <f>IF(S116="","",IF(INDEX('①名簿入力'!$K$4:$K$153,S116)="","",INDEX('①名簿入力'!$K$4:$K$153,S116)))</f>
        <v/>
      </c>
      <c r="J116" s="10" t="str">
        <f>IF(S116="","",IF(INDEX('①名簿入力'!$L$4:$L$153,S116)="","",INDEX('①名簿入力'!$L$4:$L$153,S116)))</f>
        <v/>
      </c>
      <c r="K116" s="13" t="str">
        <f>IF(S116="","",IF(INDEX('①名簿入力'!$Y$4:$Y$153,S116)=1,"〇",""))</f>
        <v/>
      </c>
      <c r="L116" s="13" t="str">
        <f>IF(S116="","",IF(INDEX('①名簿入力'!$Z$4:$Z$153,S116)=1,"〇",""))</f>
        <v/>
      </c>
      <c r="M116" s="13" t="str">
        <f>IF(S116="","",IF(INDEX('①名簿入力'!$AA$4:$AA$153,S116)=1,"〇",""))</f>
        <v/>
      </c>
      <c r="N116" s="13" t="str">
        <f>IF(S116="","",IF(INDEX('①名簿入力'!$AB$4:$AB$153,S116)=1,"〇",""))</f>
        <v/>
      </c>
      <c r="O116" s="25" t="str">
        <f>AM116&amp;IF(AND(AM116&lt;&gt;"",AN116&lt;&gt;""),"、","")&amp;AN116&amp;IF(AND(AM116&amp;AN116&lt;&gt;"",AO116&lt;&gt;""),"、","")&amp;AO116</f>
        <v/>
      </c>
      <c r="P116" s="25" t="str">
        <f>IF(AG116=0,"",IF(AK116&amp;AL116="","⚠",LEFT(AK116&amp;AL116,LEN(AK116&amp;AL116)-1)))</f>
        <v/>
      </c>
      <c r="Q116" s="25" t="str">
        <f>IF(S116="","",INDEX('①名簿入力'!$T$4:$T$153,S116)&amp;"")</f>
        <v/>
      </c>
      <c r="S116" s="14" t="str">
        <f>IF(D116="","",IFERROR(MATCH(D116,'①名簿入力'!$A$4:$A$153,0),""))</f>
        <v/>
      </c>
      <c r="T116" s="14" t="str">
        <f>IF(S116="","",IF(INDEX('①名簿入力'!$AG$4:$AG$153,S116)=D116,"",INDEX('①名簿入力'!$AG$4:$AG$153,S116)))</f>
        <v/>
      </c>
      <c r="U116" s="14" t="str">
        <f>IF(S116="","",IF(INDEX('①名簿入力'!$AH$4:$AH$153,S116)=D116,"",INDEX('①名簿入力'!$AH$4:$AH$153,S116)))</f>
        <v/>
      </c>
      <c r="V116" s="14" t="str">
        <f>IF(S116="","",IF(INDEX('①名簿入力'!$AI$4:$AI$153,S116)=D116,"",INDEX('①名簿入力'!$AI$4:$AI$153,S116)))</f>
        <v/>
      </c>
      <c r="W116" s="14" t="str">
        <f>IF(T116="","",IFERROR(IF(INDEX($E$9:$E$158,MATCH(T116,$D$9:$D$158,0))="","",INDEX($E$9:$E$158,MATCH(T116,$D$9:$D$158,0))),""))</f>
        <v/>
      </c>
      <c r="X116" s="14" t="str">
        <f>IF(U116="","",IFERROR(IF(INDEX($E$9:$E$158,MATCH(U116,$D$9:$D$158,0))="","",INDEX($E$9:$E$158,MATCH(U116,$D$9:$D$158,0))),""))</f>
        <v/>
      </c>
      <c r="Y116" s="14" t="str">
        <f>IF(V116="","",IFERROR(IF(INDEX($E$9:$E$158,MATCH(V116,$D$9:$D$158,0))="","",INDEX($E$9:$E$158,MATCH(V116,$D$9:$D$158,0))),""))</f>
        <v/>
      </c>
      <c r="Z116" s="14">
        <f>IF(AND(T116&lt;&gt;"",W116&lt;&gt;"",E116&lt;&gt;""),IF(W116=E116,1,0),0)</f>
        <v>0</v>
      </c>
      <c r="AA116" s="14">
        <f>IF(AND(U116&lt;&gt;"",X116&lt;&gt;"",E116&lt;&gt;""),IF(X116=E116,1,0),0)</f>
        <v>0</v>
      </c>
      <c r="AB116" s="14">
        <f>IF(AND(V116&lt;&gt;"",Y116&lt;&gt;"",E116&lt;&gt;""),IF(Y116=E116,1,0),0)</f>
        <v>0</v>
      </c>
      <c r="AC116" s="14" t="str">
        <f>IF(OR(T116="",E116=""),"",T116&amp;"|"&amp;E116)</f>
        <v/>
      </c>
      <c r="AD116" s="14" t="str">
        <f>IF(OR(U116="",E116=""),"",U116&amp;"|"&amp;E116)</f>
        <v/>
      </c>
      <c r="AE116" s="14" t="str">
        <f>IF(OR(V116="",E116=""),"",V116&amp;"|"&amp;E116)</f>
        <v/>
      </c>
      <c r="AF116" s="14">
        <f>IF(OR(D116="",E116=""),0,COUNTIF($AC$9:$AC$158,D116&amp;"|"&amp;E116)+COUNTIF($AD$9:$AD$158,D116&amp;"|"&amp;E116)+COUNTIF($AE$9:$AE$158,D116&amp;"|"&amp;E116))</f>
        <v>0</v>
      </c>
      <c r="AG116" s="14">
        <f>Z116+AA116+AB116+AF116</f>
        <v>0</v>
      </c>
      <c r="AH116" s="14" t="str">
        <f>IF(OR(D116="",E116=""),"",IFERROR(MATCH(D116&amp;"|"&amp;E116,$AC$9:$AC$158,0),""))</f>
        <v/>
      </c>
      <c r="AI116" s="14" t="str">
        <f>IF(OR(D116="",E116=""),"",IFERROR(MATCH(D116&amp;"|"&amp;E116,$AD$9:$AD$158,0),""))</f>
        <v/>
      </c>
      <c r="AJ116" s="14" t="str">
        <f>IF(OR(D116="",E116=""),"",IFERROR(MATCH(D116&amp;"|"&amp;E116,$AE$9:$AE$158,0),""))</f>
        <v/>
      </c>
      <c r="AK116" s="14" t="str">
        <f>IF(Z116=1,IFERROR(INDEX($F$9:$F$158,MATCH(T116,$D$9:$D$158,0)),"")&amp;"、","")&amp;IF(AA116=1,IFERROR(INDEX($F$9:$F$158,MATCH(U116,$D$9:$D$158,0)),"")&amp;"、","")&amp;IF(AB116=1,IFERROR(INDEX($F$9:$F$158,MATCH(V116,$D$9:$D$158,0)),"")&amp;"、","")</f>
        <v/>
      </c>
      <c r="AL116" s="14" t="str">
        <f>IF(OR(AH116=""),"",IF(OR(INDEX($D$9:$D$158,AH116)=T116,INDEX($D$9:$D$158,AH116)=U116,INDEX($D$9:$D$158,AH116)=V116),"",INDEX($F$9:$F$158,AH116)&amp;"、"))&amp;IF(OR(AI116="",AI116=AH116),"",IF(OR(INDEX($D$9:$D$158,AI116)=T116,INDEX($D$9:$D$158,AI116)=U116,INDEX($D$9:$D$158,AI116)=V116),"",INDEX($F$9:$F$158,AI116)&amp;"、"))&amp;IF(OR(AJ116="",AJ116=AH116,AJ116=AI116),"",IF(OR(INDEX($D$9:$D$158,AJ116)=T116,INDEX($D$9:$D$158,AJ116)=U116,INDEX($D$9:$D$158,AJ116)=V116),"",INDEX($F$9:$F$158,AJ116)&amp;"、"))</f>
        <v/>
      </c>
      <c r="AM116" s="14" t="str">
        <f>IF(T116="","",IFERROR(INDEX('①名簿入力'!$C$4:$C$153,MATCH(T116,'①名簿入力'!$A$4:$A$153,0)),"?")&amp;IF(W116="","","("&amp;W116&amp;"組)"))</f>
        <v/>
      </c>
      <c r="AN116" s="14" t="str">
        <f>IF(U116="","",IFERROR(INDEX('①名簿入力'!$C$4:$C$153,MATCH(U116,'①名簿入力'!$A$4:$A$153,0)),"?")&amp;IF(X116="","","("&amp;X116&amp;"組)"))</f>
        <v/>
      </c>
      <c r="AO116" s="14" t="str">
        <f>IF(V116="","",IFERROR(INDEX('①名簿入力'!$C$4:$C$153,MATCH(V116,'①名簿入力'!$A$4:$A$153,0)),"?")&amp;IF(Y116="","","("&amp;Y116&amp;"組)"))</f>
        <v/>
      </c>
      <c r="AP116" s="14">
        <f>IF(G116="男",1,IF(G116="女",2,3))</f>
        <v>3</v>
      </c>
      <c r="AQ116" s="14" t="str">
        <f>IF(OR(S116="",E116=""),"",IFERROR(IF('③クラス一覧'!$AD$6="番号順",0,AP116*1000000000)+D116,""))</f>
        <v/>
      </c>
      <c r="AR116" s="14" t="str">
        <f>IF(AQ116="","",COUNTIFS($E$9:$E$158,E116,$AQ$9:$AQ$158,"&lt;"&amp;AQ116)+1)</f>
        <v/>
      </c>
      <c r="AS116" s="14" t="str">
        <f>IF(AR116="","",E116&amp;"-"&amp;AR116)</f>
        <v/>
      </c>
      <c r="AT116" s="14" t="str">
        <f>IF(S116="","",IF(INDEX('①名簿入力'!$F$4:$F$153,S116)="","",INDEX('①名簿入力'!$F$4:$F$153,S116)))</f>
        <v/>
      </c>
      <c r="AU116" s="14" t="str">
        <f>IF(S116="","",IF(INDEX('①名簿入力'!$G$4:$G$153,S116)="","",INDEX('①名簿入力'!$G$4:$G$153,S116)))</f>
        <v/>
      </c>
      <c r="AV116" s="14" t="str">
        <f>IF(S116="","",IF(INDEX('①名簿入力'!$H$4:$H$153,S116)="","",INDEX('①名簿入力'!$H$4:$H$153,S116)))</f>
        <v/>
      </c>
      <c r="AW116" s="14" t="str">
        <f>IF(S116="","",IF(INDEX('①名簿入力'!$I$4:$I$153,S116)="","",INDEX('①名簿入力'!$I$4:$I$153,S116)))</f>
        <v/>
      </c>
      <c r="AX116" s="14" t="str">
        <f>IF(S116="","",IF(INDEX('①名簿入力'!$J$4:$J$153,S116)="","",INDEX('①名簿入力'!$J$4:$J$153,S116)))</f>
        <v/>
      </c>
    </row>
    <row r="117">
      <c r="A117" s="23" t="str">
        <f>IF('①名簿入力'!A112="","",'①名簿入力'!A112)</f>
        <v/>
      </c>
      <c r="B117" s="23" t="str">
        <f>IF(A117="","",'①名簿入力'!U112)</f>
        <v/>
      </c>
      <c r="D117" s="8" t="n"/>
      <c r="E117" s="24" t="n"/>
      <c r="F117" s="25" t="str">
        <f>IF(D117="","",IF(S117="","（名簿にない番号）",INDEX('①名簿入力'!$C$4:$C$153,S117)&amp;""))</f>
        <v/>
      </c>
      <c r="G117" s="13" t="str">
        <f>IF(S117="","",INDEX('①名簿入力'!$E$4:$E$153,S117)&amp;"")</f>
        <v/>
      </c>
      <c r="H117" s="13" t="str">
        <f>IF(S117="","",IF(INDEX('①名簿入力'!$B$4:$B$153,S117)="","",INDEX('①名簿入力'!$B$4:$B$153,S117)))</f>
        <v/>
      </c>
      <c r="I117" s="10" t="str">
        <f>IF(S117="","",IF(INDEX('①名簿入力'!$K$4:$K$153,S117)="","",INDEX('①名簿入力'!$K$4:$K$153,S117)))</f>
        <v/>
      </c>
      <c r="J117" s="10" t="str">
        <f>IF(S117="","",IF(INDEX('①名簿入力'!$L$4:$L$153,S117)="","",INDEX('①名簿入力'!$L$4:$L$153,S117)))</f>
        <v/>
      </c>
      <c r="K117" s="13" t="str">
        <f>IF(S117="","",IF(INDEX('①名簿入力'!$Y$4:$Y$153,S117)=1,"〇",""))</f>
        <v/>
      </c>
      <c r="L117" s="13" t="str">
        <f>IF(S117="","",IF(INDEX('①名簿入力'!$Z$4:$Z$153,S117)=1,"〇",""))</f>
        <v/>
      </c>
      <c r="M117" s="13" t="str">
        <f>IF(S117="","",IF(INDEX('①名簿入力'!$AA$4:$AA$153,S117)=1,"〇",""))</f>
        <v/>
      </c>
      <c r="N117" s="13" t="str">
        <f>IF(S117="","",IF(INDEX('①名簿入力'!$AB$4:$AB$153,S117)=1,"〇",""))</f>
        <v/>
      </c>
      <c r="O117" s="25" t="str">
        <f>AM117&amp;IF(AND(AM117&lt;&gt;"",AN117&lt;&gt;""),"、","")&amp;AN117&amp;IF(AND(AM117&amp;AN117&lt;&gt;"",AO117&lt;&gt;""),"、","")&amp;AO117</f>
        <v/>
      </c>
      <c r="P117" s="25" t="str">
        <f>IF(AG117=0,"",IF(AK117&amp;AL117="","⚠",LEFT(AK117&amp;AL117,LEN(AK117&amp;AL117)-1)))</f>
        <v/>
      </c>
      <c r="Q117" s="25" t="str">
        <f>IF(S117="","",INDEX('①名簿入力'!$T$4:$T$153,S117)&amp;"")</f>
        <v/>
      </c>
      <c r="S117" s="14" t="str">
        <f>IF(D117="","",IFERROR(MATCH(D117,'①名簿入力'!$A$4:$A$153,0),""))</f>
        <v/>
      </c>
      <c r="T117" s="14" t="str">
        <f>IF(S117="","",IF(INDEX('①名簿入力'!$AG$4:$AG$153,S117)=D117,"",INDEX('①名簿入力'!$AG$4:$AG$153,S117)))</f>
        <v/>
      </c>
      <c r="U117" s="14" t="str">
        <f>IF(S117="","",IF(INDEX('①名簿入力'!$AH$4:$AH$153,S117)=D117,"",INDEX('①名簿入力'!$AH$4:$AH$153,S117)))</f>
        <v/>
      </c>
      <c r="V117" s="14" t="str">
        <f>IF(S117="","",IF(INDEX('①名簿入力'!$AI$4:$AI$153,S117)=D117,"",INDEX('①名簿入力'!$AI$4:$AI$153,S117)))</f>
        <v/>
      </c>
      <c r="W117" s="14" t="str">
        <f>IF(T117="","",IFERROR(IF(INDEX($E$9:$E$158,MATCH(T117,$D$9:$D$158,0))="","",INDEX($E$9:$E$158,MATCH(T117,$D$9:$D$158,0))),""))</f>
        <v/>
      </c>
      <c r="X117" s="14" t="str">
        <f>IF(U117="","",IFERROR(IF(INDEX($E$9:$E$158,MATCH(U117,$D$9:$D$158,0))="","",INDEX($E$9:$E$158,MATCH(U117,$D$9:$D$158,0))),""))</f>
        <v/>
      </c>
      <c r="Y117" s="14" t="str">
        <f>IF(V117="","",IFERROR(IF(INDEX($E$9:$E$158,MATCH(V117,$D$9:$D$158,0))="","",INDEX($E$9:$E$158,MATCH(V117,$D$9:$D$158,0))),""))</f>
        <v/>
      </c>
      <c r="Z117" s="14">
        <f>IF(AND(T117&lt;&gt;"",W117&lt;&gt;"",E117&lt;&gt;""),IF(W117=E117,1,0),0)</f>
        <v>0</v>
      </c>
      <c r="AA117" s="14">
        <f>IF(AND(U117&lt;&gt;"",X117&lt;&gt;"",E117&lt;&gt;""),IF(X117=E117,1,0),0)</f>
        <v>0</v>
      </c>
      <c r="AB117" s="14">
        <f>IF(AND(V117&lt;&gt;"",Y117&lt;&gt;"",E117&lt;&gt;""),IF(Y117=E117,1,0),0)</f>
        <v>0</v>
      </c>
      <c r="AC117" s="14" t="str">
        <f>IF(OR(T117="",E117=""),"",T117&amp;"|"&amp;E117)</f>
        <v/>
      </c>
      <c r="AD117" s="14" t="str">
        <f>IF(OR(U117="",E117=""),"",U117&amp;"|"&amp;E117)</f>
        <v/>
      </c>
      <c r="AE117" s="14" t="str">
        <f>IF(OR(V117="",E117=""),"",V117&amp;"|"&amp;E117)</f>
        <v/>
      </c>
      <c r="AF117" s="14">
        <f>IF(OR(D117="",E117=""),0,COUNTIF($AC$9:$AC$158,D117&amp;"|"&amp;E117)+COUNTIF($AD$9:$AD$158,D117&amp;"|"&amp;E117)+COUNTIF($AE$9:$AE$158,D117&amp;"|"&amp;E117))</f>
        <v>0</v>
      </c>
      <c r="AG117" s="14">
        <f>Z117+AA117+AB117+AF117</f>
        <v>0</v>
      </c>
      <c r="AH117" s="14" t="str">
        <f>IF(OR(D117="",E117=""),"",IFERROR(MATCH(D117&amp;"|"&amp;E117,$AC$9:$AC$158,0),""))</f>
        <v/>
      </c>
      <c r="AI117" s="14" t="str">
        <f>IF(OR(D117="",E117=""),"",IFERROR(MATCH(D117&amp;"|"&amp;E117,$AD$9:$AD$158,0),""))</f>
        <v/>
      </c>
      <c r="AJ117" s="14" t="str">
        <f>IF(OR(D117="",E117=""),"",IFERROR(MATCH(D117&amp;"|"&amp;E117,$AE$9:$AE$158,0),""))</f>
        <v/>
      </c>
      <c r="AK117" s="14" t="str">
        <f>IF(Z117=1,IFERROR(INDEX($F$9:$F$158,MATCH(T117,$D$9:$D$158,0)),"")&amp;"、","")&amp;IF(AA117=1,IFERROR(INDEX($F$9:$F$158,MATCH(U117,$D$9:$D$158,0)),"")&amp;"、","")&amp;IF(AB117=1,IFERROR(INDEX($F$9:$F$158,MATCH(V117,$D$9:$D$158,0)),"")&amp;"、","")</f>
        <v/>
      </c>
      <c r="AL117" s="14" t="str">
        <f>IF(OR(AH117=""),"",IF(OR(INDEX($D$9:$D$158,AH117)=T117,INDEX($D$9:$D$158,AH117)=U117,INDEX($D$9:$D$158,AH117)=V117),"",INDEX($F$9:$F$158,AH117)&amp;"、"))&amp;IF(OR(AI117="",AI117=AH117),"",IF(OR(INDEX($D$9:$D$158,AI117)=T117,INDEX($D$9:$D$158,AI117)=U117,INDEX($D$9:$D$158,AI117)=V117),"",INDEX($F$9:$F$158,AI117)&amp;"、"))&amp;IF(OR(AJ117="",AJ117=AH117,AJ117=AI117),"",IF(OR(INDEX($D$9:$D$158,AJ117)=T117,INDEX($D$9:$D$158,AJ117)=U117,INDEX($D$9:$D$158,AJ117)=V117),"",INDEX($F$9:$F$158,AJ117)&amp;"、"))</f>
        <v/>
      </c>
      <c r="AM117" s="14" t="str">
        <f>IF(T117="","",IFERROR(INDEX('①名簿入力'!$C$4:$C$153,MATCH(T117,'①名簿入力'!$A$4:$A$153,0)),"?")&amp;IF(W117="","","("&amp;W117&amp;"組)"))</f>
        <v/>
      </c>
      <c r="AN117" s="14" t="str">
        <f>IF(U117="","",IFERROR(INDEX('①名簿入力'!$C$4:$C$153,MATCH(U117,'①名簿入力'!$A$4:$A$153,0)),"?")&amp;IF(X117="","","("&amp;X117&amp;"組)"))</f>
        <v/>
      </c>
      <c r="AO117" s="14" t="str">
        <f>IF(V117="","",IFERROR(INDEX('①名簿入力'!$C$4:$C$153,MATCH(V117,'①名簿入力'!$A$4:$A$153,0)),"?")&amp;IF(Y117="","","("&amp;Y117&amp;"組)"))</f>
        <v/>
      </c>
      <c r="AP117" s="14">
        <f>IF(G117="男",1,IF(G117="女",2,3))</f>
        <v>3</v>
      </c>
      <c r="AQ117" s="14" t="str">
        <f>IF(OR(S117="",E117=""),"",IFERROR(IF('③クラス一覧'!$AD$6="番号順",0,AP117*1000000000)+D117,""))</f>
        <v/>
      </c>
      <c r="AR117" s="14" t="str">
        <f>IF(AQ117="","",COUNTIFS($E$9:$E$158,E117,$AQ$9:$AQ$158,"&lt;"&amp;AQ117)+1)</f>
        <v/>
      </c>
      <c r="AS117" s="14" t="str">
        <f>IF(AR117="","",E117&amp;"-"&amp;AR117)</f>
        <v/>
      </c>
      <c r="AT117" s="14" t="str">
        <f>IF(S117="","",IF(INDEX('①名簿入力'!$F$4:$F$153,S117)="","",INDEX('①名簿入力'!$F$4:$F$153,S117)))</f>
        <v/>
      </c>
      <c r="AU117" s="14" t="str">
        <f>IF(S117="","",IF(INDEX('①名簿入力'!$G$4:$G$153,S117)="","",INDEX('①名簿入力'!$G$4:$G$153,S117)))</f>
        <v/>
      </c>
      <c r="AV117" s="14" t="str">
        <f>IF(S117="","",IF(INDEX('①名簿入力'!$H$4:$H$153,S117)="","",INDEX('①名簿入力'!$H$4:$H$153,S117)))</f>
        <v/>
      </c>
      <c r="AW117" s="14" t="str">
        <f>IF(S117="","",IF(INDEX('①名簿入力'!$I$4:$I$153,S117)="","",INDEX('①名簿入力'!$I$4:$I$153,S117)))</f>
        <v/>
      </c>
      <c r="AX117" s="14" t="str">
        <f>IF(S117="","",IF(INDEX('①名簿入力'!$J$4:$J$153,S117)="","",INDEX('①名簿入力'!$J$4:$J$153,S117)))</f>
        <v/>
      </c>
    </row>
    <row r="118">
      <c r="A118" s="23" t="str">
        <f>IF('①名簿入力'!A113="","",'①名簿入力'!A113)</f>
        <v/>
      </c>
      <c r="B118" s="23" t="str">
        <f>IF(A118="","",'①名簿入力'!U113)</f>
        <v/>
      </c>
      <c r="D118" s="8" t="n"/>
      <c r="E118" s="24" t="n"/>
      <c r="F118" s="25" t="str">
        <f>IF(D118="","",IF(S118="","（名簿にない番号）",INDEX('①名簿入力'!$C$4:$C$153,S118)&amp;""))</f>
        <v/>
      </c>
      <c r="G118" s="13" t="str">
        <f>IF(S118="","",INDEX('①名簿入力'!$E$4:$E$153,S118)&amp;"")</f>
        <v/>
      </c>
      <c r="H118" s="13" t="str">
        <f>IF(S118="","",IF(INDEX('①名簿入力'!$B$4:$B$153,S118)="","",INDEX('①名簿入力'!$B$4:$B$153,S118)))</f>
        <v/>
      </c>
      <c r="I118" s="10" t="str">
        <f>IF(S118="","",IF(INDEX('①名簿入力'!$K$4:$K$153,S118)="","",INDEX('①名簿入力'!$K$4:$K$153,S118)))</f>
        <v/>
      </c>
      <c r="J118" s="10" t="str">
        <f>IF(S118="","",IF(INDEX('①名簿入力'!$L$4:$L$153,S118)="","",INDEX('①名簿入力'!$L$4:$L$153,S118)))</f>
        <v/>
      </c>
      <c r="K118" s="13" t="str">
        <f>IF(S118="","",IF(INDEX('①名簿入力'!$Y$4:$Y$153,S118)=1,"〇",""))</f>
        <v/>
      </c>
      <c r="L118" s="13" t="str">
        <f>IF(S118="","",IF(INDEX('①名簿入力'!$Z$4:$Z$153,S118)=1,"〇",""))</f>
        <v/>
      </c>
      <c r="M118" s="13" t="str">
        <f>IF(S118="","",IF(INDEX('①名簿入力'!$AA$4:$AA$153,S118)=1,"〇",""))</f>
        <v/>
      </c>
      <c r="N118" s="13" t="str">
        <f>IF(S118="","",IF(INDEX('①名簿入力'!$AB$4:$AB$153,S118)=1,"〇",""))</f>
        <v/>
      </c>
      <c r="O118" s="25" t="str">
        <f>AM118&amp;IF(AND(AM118&lt;&gt;"",AN118&lt;&gt;""),"、","")&amp;AN118&amp;IF(AND(AM118&amp;AN118&lt;&gt;"",AO118&lt;&gt;""),"、","")&amp;AO118</f>
        <v/>
      </c>
      <c r="P118" s="25" t="str">
        <f>IF(AG118=0,"",IF(AK118&amp;AL118="","⚠",LEFT(AK118&amp;AL118,LEN(AK118&amp;AL118)-1)))</f>
        <v/>
      </c>
      <c r="Q118" s="25" t="str">
        <f>IF(S118="","",INDEX('①名簿入力'!$T$4:$T$153,S118)&amp;"")</f>
        <v/>
      </c>
      <c r="S118" s="14" t="str">
        <f>IF(D118="","",IFERROR(MATCH(D118,'①名簿入力'!$A$4:$A$153,0),""))</f>
        <v/>
      </c>
      <c r="T118" s="14" t="str">
        <f>IF(S118="","",IF(INDEX('①名簿入力'!$AG$4:$AG$153,S118)=D118,"",INDEX('①名簿入力'!$AG$4:$AG$153,S118)))</f>
        <v/>
      </c>
      <c r="U118" s="14" t="str">
        <f>IF(S118="","",IF(INDEX('①名簿入力'!$AH$4:$AH$153,S118)=D118,"",INDEX('①名簿入力'!$AH$4:$AH$153,S118)))</f>
        <v/>
      </c>
      <c r="V118" s="14" t="str">
        <f>IF(S118="","",IF(INDEX('①名簿入力'!$AI$4:$AI$153,S118)=D118,"",INDEX('①名簿入力'!$AI$4:$AI$153,S118)))</f>
        <v/>
      </c>
      <c r="W118" s="14" t="str">
        <f>IF(T118="","",IFERROR(IF(INDEX($E$9:$E$158,MATCH(T118,$D$9:$D$158,0))="","",INDEX($E$9:$E$158,MATCH(T118,$D$9:$D$158,0))),""))</f>
        <v/>
      </c>
      <c r="X118" s="14" t="str">
        <f>IF(U118="","",IFERROR(IF(INDEX($E$9:$E$158,MATCH(U118,$D$9:$D$158,0))="","",INDEX($E$9:$E$158,MATCH(U118,$D$9:$D$158,0))),""))</f>
        <v/>
      </c>
      <c r="Y118" s="14" t="str">
        <f>IF(V118="","",IFERROR(IF(INDEX($E$9:$E$158,MATCH(V118,$D$9:$D$158,0))="","",INDEX($E$9:$E$158,MATCH(V118,$D$9:$D$158,0))),""))</f>
        <v/>
      </c>
      <c r="Z118" s="14">
        <f>IF(AND(T118&lt;&gt;"",W118&lt;&gt;"",E118&lt;&gt;""),IF(W118=E118,1,0),0)</f>
        <v>0</v>
      </c>
      <c r="AA118" s="14">
        <f>IF(AND(U118&lt;&gt;"",X118&lt;&gt;"",E118&lt;&gt;""),IF(X118=E118,1,0),0)</f>
        <v>0</v>
      </c>
      <c r="AB118" s="14">
        <f>IF(AND(V118&lt;&gt;"",Y118&lt;&gt;"",E118&lt;&gt;""),IF(Y118=E118,1,0),0)</f>
        <v>0</v>
      </c>
      <c r="AC118" s="14" t="str">
        <f>IF(OR(T118="",E118=""),"",T118&amp;"|"&amp;E118)</f>
        <v/>
      </c>
      <c r="AD118" s="14" t="str">
        <f>IF(OR(U118="",E118=""),"",U118&amp;"|"&amp;E118)</f>
        <v/>
      </c>
      <c r="AE118" s="14" t="str">
        <f>IF(OR(V118="",E118=""),"",V118&amp;"|"&amp;E118)</f>
        <v/>
      </c>
      <c r="AF118" s="14">
        <f>IF(OR(D118="",E118=""),0,COUNTIF($AC$9:$AC$158,D118&amp;"|"&amp;E118)+COUNTIF($AD$9:$AD$158,D118&amp;"|"&amp;E118)+COUNTIF($AE$9:$AE$158,D118&amp;"|"&amp;E118))</f>
        <v>0</v>
      </c>
      <c r="AG118" s="14">
        <f>Z118+AA118+AB118+AF118</f>
        <v>0</v>
      </c>
      <c r="AH118" s="14" t="str">
        <f>IF(OR(D118="",E118=""),"",IFERROR(MATCH(D118&amp;"|"&amp;E118,$AC$9:$AC$158,0),""))</f>
        <v/>
      </c>
      <c r="AI118" s="14" t="str">
        <f>IF(OR(D118="",E118=""),"",IFERROR(MATCH(D118&amp;"|"&amp;E118,$AD$9:$AD$158,0),""))</f>
        <v/>
      </c>
      <c r="AJ118" s="14" t="str">
        <f>IF(OR(D118="",E118=""),"",IFERROR(MATCH(D118&amp;"|"&amp;E118,$AE$9:$AE$158,0),""))</f>
        <v/>
      </c>
      <c r="AK118" s="14" t="str">
        <f>IF(Z118=1,IFERROR(INDEX($F$9:$F$158,MATCH(T118,$D$9:$D$158,0)),"")&amp;"、","")&amp;IF(AA118=1,IFERROR(INDEX($F$9:$F$158,MATCH(U118,$D$9:$D$158,0)),"")&amp;"、","")&amp;IF(AB118=1,IFERROR(INDEX($F$9:$F$158,MATCH(V118,$D$9:$D$158,0)),"")&amp;"、","")</f>
        <v/>
      </c>
      <c r="AL118" s="14" t="str">
        <f>IF(OR(AH118=""),"",IF(OR(INDEX($D$9:$D$158,AH118)=T118,INDEX($D$9:$D$158,AH118)=U118,INDEX($D$9:$D$158,AH118)=V118),"",INDEX($F$9:$F$158,AH118)&amp;"、"))&amp;IF(OR(AI118="",AI118=AH118),"",IF(OR(INDEX($D$9:$D$158,AI118)=T118,INDEX($D$9:$D$158,AI118)=U118,INDEX($D$9:$D$158,AI118)=V118),"",INDEX($F$9:$F$158,AI118)&amp;"、"))&amp;IF(OR(AJ118="",AJ118=AH118,AJ118=AI118),"",IF(OR(INDEX($D$9:$D$158,AJ118)=T118,INDEX($D$9:$D$158,AJ118)=U118,INDEX($D$9:$D$158,AJ118)=V118),"",INDEX($F$9:$F$158,AJ118)&amp;"、"))</f>
        <v/>
      </c>
      <c r="AM118" s="14" t="str">
        <f>IF(T118="","",IFERROR(INDEX('①名簿入力'!$C$4:$C$153,MATCH(T118,'①名簿入力'!$A$4:$A$153,0)),"?")&amp;IF(W118="","","("&amp;W118&amp;"組)"))</f>
        <v/>
      </c>
      <c r="AN118" s="14" t="str">
        <f>IF(U118="","",IFERROR(INDEX('①名簿入力'!$C$4:$C$153,MATCH(U118,'①名簿入力'!$A$4:$A$153,0)),"?")&amp;IF(X118="","","("&amp;X118&amp;"組)"))</f>
        <v/>
      </c>
      <c r="AO118" s="14" t="str">
        <f>IF(V118="","",IFERROR(INDEX('①名簿入力'!$C$4:$C$153,MATCH(V118,'①名簿入力'!$A$4:$A$153,0)),"?")&amp;IF(Y118="","","("&amp;Y118&amp;"組)"))</f>
        <v/>
      </c>
      <c r="AP118" s="14">
        <f>IF(G118="男",1,IF(G118="女",2,3))</f>
        <v>3</v>
      </c>
      <c r="AQ118" s="14" t="str">
        <f>IF(OR(S118="",E118=""),"",IFERROR(IF('③クラス一覧'!$AD$6="番号順",0,AP118*1000000000)+D118,""))</f>
        <v/>
      </c>
      <c r="AR118" s="14" t="str">
        <f>IF(AQ118="","",COUNTIFS($E$9:$E$158,E118,$AQ$9:$AQ$158,"&lt;"&amp;AQ118)+1)</f>
        <v/>
      </c>
      <c r="AS118" s="14" t="str">
        <f>IF(AR118="","",E118&amp;"-"&amp;AR118)</f>
        <v/>
      </c>
      <c r="AT118" s="14" t="str">
        <f>IF(S118="","",IF(INDEX('①名簿入力'!$F$4:$F$153,S118)="","",INDEX('①名簿入力'!$F$4:$F$153,S118)))</f>
        <v/>
      </c>
      <c r="AU118" s="14" t="str">
        <f>IF(S118="","",IF(INDEX('①名簿入力'!$G$4:$G$153,S118)="","",INDEX('①名簿入力'!$G$4:$G$153,S118)))</f>
        <v/>
      </c>
      <c r="AV118" s="14" t="str">
        <f>IF(S118="","",IF(INDEX('①名簿入力'!$H$4:$H$153,S118)="","",INDEX('①名簿入力'!$H$4:$H$153,S118)))</f>
        <v/>
      </c>
      <c r="AW118" s="14" t="str">
        <f>IF(S118="","",IF(INDEX('①名簿入力'!$I$4:$I$153,S118)="","",INDEX('①名簿入力'!$I$4:$I$153,S118)))</f>
        <v/>
      </c>
      <c r="AX118" s="14" t="str">
        <f>IF(S118="","",IF(INDEX('①名簿入力'!$J$4:$J$153,S118)="","",INDEX('①名簿入力'!$J$4:$J$153,S118)))</f>
        <v/>
      </c>
    </row>
    <row r="119">
      <c r="A119" s="23" t="str">
        <f>IF('①名簿入力'!A114="","",'①名簿入力'!A114)</f>
        <v/>
      </c>
      <c r="B119" s="23" t="str">
        <f>IF(A119="","",'①名簿入力'!U114)</f>
        <v/>
      </c>
      <c r="D119" s="8" t="n"/>
      <c r="E119" s="24" t="n"/>
      <c r="F119" s="25" t="str">
        <f>IF(D119="","",IF(S119="","（名簿にない番号）",INDEX('①名簿入力'!$C$4:$C$153,S119)&amp;""))</f>
        <v/>
      </c>
      <c r="G119" s="13" t="str">
        <f>IF(S119="","",INDEX('①名簿入力'!$E$4:$E$153,S119)&amp;"")</f>
        <v/>
      </c>
      <c r="H119" s="13" t="str">
        <f>IF(S119="","",IF(INDEX('①名簿入力'!$B$4:$B$153,S119)="","",INDEX('①名簿入力'!$B$4:$B$153,S119)))</f>
        <v/>
      </c>
      <c r="I119" s="10" t="str">
        <f>IF(S119="","",IF(INDEX('①名簿入力'!$K$4:$K$153,S119)="","",INDEX('①名簿入力'!$K$4:$K$153,S119)))</f>
        <v/>
      </c>
      <c r="J119" s="10" t="str">
        <f>IF(S119="","",IF(INDEX('①名簿入力'!$L$4:$L$153,S119)="","",INDEX('①名簿入力'!$L$4:$L$153,S119)))</f>
        <v/>
      </c>
      <c r="K119" s="13" t="str">
        <f>IF(S119="","",IF(INDEX('①名簿入力'!$Y$4:$Y$153,S119)=1,"〇",""))</f>
        <v/>
      </c>
      <c r="L119" s="13" t="str">
        <f>IF(S119="","",IF(INDEX('①名簿入力'!$Z$4:$Z$153,S119)=1,"〇",""))</f>
        <v/>
      </c>
      <c r="M119" s="13" t="str">
        <f>IF(S119="","",IF(INDEX('①名簿入力'!$AA$4:$AA$153,S119)=1,"〇",""))</f>
        <v/>
      </c>
      <c r="N119" s="13" t="str">
        <f>IF(S119="","",IF(INDEX('①名簿入力'!$AB$4:$AB$153,S119)=1,"〇",""))</f>
        <v/>
      </c>
      <c r="O119" s="25" t="str">
        <f>AM119&amp;IF(AND(AM119&lt;&gt;"",AN119&lt;&gt;""),"、","")&amp;AN119&amp;IF(AND(AM119&amp;AN119&lt;&gt;"",AO119&lt;&gt;""),"、","")&amp;AO119</f>
        <v/>
      </c>
      <c r="P119" s="25" t="str">
        <f>IF(AG119=0,"",IF(AK119&amp;AL119="","⚠",LEFT(AK119&amp;AL119,LEN(AK119&amp;AL119)-1)))</f>
        <v/>
      </c>
      <c r="Q119" s="25" t="str">
        <f>IF(S119="","",INDEX('①名簿入力'!$T$4:$T$153,S119)&amp;"")</f>
        <v/>
      </c>
      <c r="S119" s="14" t="str">
        <f>IF(D119="","",IFERROR(MATCH(D119,'①名簿入力'!$A$4:$A$153,0),""))</f>
        <v/>
      </c>
      <c r="T119" s="14" t="str">
        <f>IF(S119="","",IF(INDEX('①名簿入力'!$AG$4:$AG$153,S119)=D119,"",INDEX('①名簿入力'!$AG$4:$AG$153,S119)))</f>
        <v/>
      </c>
      <c r="U119" s="14" t="str">
        <f>IF(S119="","",IF(INDEX('①名簿入力'!$AH$4:$AH$153,S119)=D119,"",INDEX('①名簿入力'!$AH$4:$AH$153,S119)))</f>
        <v/>
      </c>
      <c r="V119" s="14" t="str">
        <f>IF(S119="","",IF(INDEX('①名簿入力'!$AI$4:$AI$153,S119)=D119,"",INDEX('①名簿入力'!$AI$4:$AI$153,S119)))</f>
        <v/>
      </c>
      <c r="W119" s="14" t="str">
        <f>IF(T119="","",IFERROR(IF(INDEX($E$9:$E$158,MATCH(T119,$D$9:$D$158,0))="","",INDEX($E$9:$E$158,MATCH(T119,$D$9:$D$158,0))),""))</f>
        <v/>
      </c>
      <c r="X119" s="14" t="str">
        <f>IF(U119="","",IFERROR(IF(INDEX($E$9:$E$158,MATCH(U119,$D$9:$D$158,0))="","",INDEX($E$9:$E$158,MATCH(U119,$D$9:$D$158,0))),""))</f>
        <v/>
      </c>
      <c r="Y119" s="14" t="str">
        <f>IF(V119="","",IFERROR(IF(INDEX($E$9:$E$158,MATCH(V119,$D$9:$D$158,0))="","",INDEX($E$9:$E$158,MATCH(V119,$D$9:$D$158,0))),""))</f>
        <v/>
      </c>
      <c r="Z119" s="14">
        <f>IF(AND(T119&lt;&gt;"",W119&lt;&gt;"",E119&lt;&gt;""),IF(W119=E119,1,0),0)</f>
        <v>0</v>
      </c>
      <c r="AA119" s="14">
        <f>IF(AND(U119&lt;&gt;"",X119&lt;&gt;"",E119&lt;&gt;""),IF(X119=E119,1,0),0)</f>
        <v>0</v>
      </c>
      <c r="AB119" s="14">
        <f>IF(AND(V119&lt;&gt;"",Y119&lt;&gt;"",E119&lt;&gt;""),IF(Y119=E119,1,0),0)</f>
        <v>0</v>
      </c>
      <c r="AC119" s="14" t="str">
        <f>IF(OR(T119="",E119=""),"",T119&amp;"|"&amp;E119)</f>
        <v/>
      </c>
      <c r="AD119" s="14" t="str">
        <f>IF(OR(U119="",E119=""),"",U119&amp;"|"&amp;E119)</f>
        <v/>
      </c>
      <c r="AE119" s="14" t="str">
        <f>IF(OR(V119="",E119=""),"",V119&amp;"|"&amp;E119)</f>
        <v/>
      </c>
      <c r="AF119" s="14">
        <f>IF(OR(D119="",E119=""),0,COUNTIF($AC$9:$AC$158,D119&amp;"|"&amp;E119)+COUNTIF($AD$9:$AD$158,D119&amp;"|"&amp;E119)+COUNTIF($AE$9:$AE$158,D119&amp;"|"&amp;E119))</f>
        <v>0</v>
      </c>
      <c r="AG119" s="14">
        <f>Z119+AA119+AB119+AF119</f>
        <v>0</v>
      </c>
      <c r="AH119" s="14" t="str">
        <f>IF(OR(D119="",E119=""),"",IFERROR(MATCH(D119&amp;"|"&amp;E119,$AC$9:$AC$158,0),""))</f>
        <v/>
      </c>
      <c r="AI119" s="14" t="str">
        <f>IF(OR(D119="",E119=""),"",IFERROR(MATCH(D119&amp;"|"&amp;E119,$AD$9:$AD$158,0),""))</f>
        <v/>
      </c>
      <c r="AJ119" s="14" t="str">
        <f>IF(OR(D119="",E119=""),"",IFERROR(MATCH(D119&amp;"|"&amp;E119,$AE$9:$AE$158,0),""))</f>
        <v/>
      </c>
      <c r="AK119" s="14" t="str">
        <f>IF(Z119=1,IFERROR(INDEX($F$9:$F$158,MATCH(T119,$D$9:$D$158,0)),"")&amp;"、","")&amp;IF(AA119=1,IFERROR(INDEX($F$9:$F$158,MATCH(U119,$D$9:$D$158,0)),"")&amp;"、","")&amp;IF(AB119=1,IFERROR(INDEX($F$9:$F$158,MATCH(V119,$D$9:$D$158,0)),"")&amp;"、","")</f>
        <v/>
      </c>
      <c r="AL119" s="14" t="str">
        <f>IF(OR(AH119=""),"",IF(OR(INDEX($D$9:$D$158,AH119)=T119,INDEX($D$9:$D$158,AH119)=U119,INDEX($D$9:$D$158,AH119)=V119),"",INDEX($F$9:$F$158,AH119)&amp;"、"))&amp;IF(OR(AI119="",AI119=AH119),"",IF(OR(INDEX($D$9:$D$158,AI119)=T119,INDEX($D$9:$D$158,AI119)=U119,INDEX($D$9:$D$158,AI119)=V119),"",INDEX($F$9:$F$158,AI119)&amp;"、"))&amp;IF(OR(AJ119="",AJ119=AH119,AJ119=AI119),"",IF(OR(INDEX($D$9:$D$158,AJ119)=T119,INDEX($D$9:$D$158,AJ119)=U119,INDEX($D$9:$D$158,AJ119)=V119),"",INDEX($F$9:$F$158,AJ119)&amp;"、"))</f>
        <v/>
      </c>
      <c r="AM119" s="14" t="str">
        <f>IF(T119="","",IFERROR(INDEX('①名簿入力'!$C$4:$C$153,MATCH(T119,'①名簿入力'!$A$4:$A$153,0)),"?")&amp;IF(W119="","","("&amp;W119&amp;"組)"))</f>
        <v/>
      </c>
      <c r="AN119" s="14" t="str">
        <f>IF(U119="","",IFERROR(INDEX('①名簿入力'!$C$4:$C$153,MATCH(U119,'①名簿入力'!$A$4:$A$153,0)),"?")&amp;IF(X119="","","("&amp;X119&amp;"組)"))</f>
        <v/>
      </c>
      <c r="AO119" s="14" t="str">
        <f>IF(V119="","",IFERROR(INDEX('①名簿入力'!$C$4:$C$153,MATCH(V119,'①名簿入力'!$A$4:$A$153,0)),"?")&amp;IF(Y119="","","("&amp;Y119&amp;"組)"))</f>
        <v/>
      </c>
      <c r="AP119" s="14">
        <f>IF(G119="男",1,IF(G119="女",2,3))</f>
        <v>3</v>
      </c>
      <c r="AQ119" s="14" t="str">
        <f>IF(OR(S119="",E119=""),"",IFERROR(IF('③クラス一覧'!$AD$6="番号順",0,AP119*1000000000)+D119,""))</f>
        <v/>
      </c>
      <c r="AR119" s="14" t="str">
        <f>IF(AQ119="","",COUNTIFS($E$9:$E$158,E119,$AQ$9:$AQ$158,"&lt;"&amp;AQ119)+1)</f>
        <v/>
      </c>
      <c r="AS119" s="14" t="str">
        <f>IF(AR119="","",E119&amp;"-"&amp;AR119)</f>
        <v/>
      </c>
      <c r="AT119" s="14" t="str">
        <f>IF(S119="","",IF(INDEX('①名簿入力'!$F$4:$F$153,S119)="","",INDEX('①名簿入力'!$F$4:$F$153,S119)))</f>
        <v/>
      </c>
      <c r="AU119" s="14" t="str">
        <f>IF(S119="","",IF(INDEX('①名簿入力'!$G$4:$G$153,S119)="","",INDEX('①名簿入力'!$G$4:$G$153,S119)))</f>
        <v/>
      </c>
      <c r="AV119" s="14" t="str">
        <f>IF(S119="","",IF(INDEX('①名簿入力'!$H$4:$H$153,S119)="","",INDEX('①名簿入力'!$H$4:$H$153,S119)))</f>
        <v/>
      </c>
      <c r="AW119" s="14" t="str">
        <f>IF(S119="","",IF(INDEX('①名簿入力'!$I$4:$I$153,S119)="","",INDEX('①名簿入力'!$I$4:$I$153,S119)))</f>
        <v/>
      </c>
      <c r="AX119" s="14" t="str">
        <f>IF(S119="","",IF(INDEX('①名簿入力'!$J$4:$J$153,S119)="","",INDEX('①名簿入力'!$J$4:$J$153,S119)))</f>
        <v/>
      </c>
    </row>
    <row r="120">
      <c r="A120" s="23" t="str">
        <f>IF('①名簿入力'!A115="","",'①名簿入力'!A115)</f>
        <v/>
      </c>
      <c r="B120" s="23" t="str">
        <f>IF(A120="","",'①名簿入力'!U115)</f>
        <v/>
      </c>
      <c r="D120" s="8" t="n"/>
      <c r="E120" s="24" t="n"/>
      <c r="F120" s="25" t="str">
        <f>IF(D120="","",IF(S120="","（名簿にない番号）",INDEX('①名簿入力'!$C$4:$C$153,S120)&amp;""))</f>
        <v/>
      </c>
      <c r="G120" s="13" t="str">
        <f>IF(S120="","",INDEX('①名簿入力'!$E$4:$E$153,S120)&amp;"")</f>
        <v/>
      </c>
      <c r="H120" s="13" t="str">
        <f>IF(S120="","",IF(INDEX('①名簿入力'!$B$4:$B$153,S120)="","",INDEX('①名簿入力'!$B$4:$B$153,S120)))</f>
        <v/>
      </c>
      <c r="I120" s="10" t="str">
        <f>IF(S120="","",IF(INDEX('①名簿入力'!$K$4:$K$153,S120)="","",INDEX('①名簿入力'!$K$4:$K$153,S120)))</f>
        <v/>
      </c>
      <c r="J120" s="10" t="str">
        <f>IF(S120="","",IF(INDEX('①名簿入力'!$L$4:$L$153,S120)="","",INDEX('①名簿入力'!$L$4:$L$153,S120)))</f>
        <v/>
      </c>
      <c r="K120" s="13" t="str">
        <f>IF(S120="","",IF(INDEX('①名簿入力'!$Y$4:$Y$153,S120)=1,"〇",""))</f>
        <v/>
      </c>
      <c r="L120" s="13" t="str">
        <f>IF(S120="","",IF(INDEX('①名簿入力'!$Z$4:$Z$153,S120)=1,"〇",""))</f>
        <v/>
      </c>
      <c r="M120" s="13" t="str">
        <f>IF(S120="","",IF(INDEX('①名簿入力'!$AA$4:$AA$153,S120)=1,"〇",""))</f>
        <v/>
      </c>
      <c r="N120" s="13" t="str">
        <f>IF(S120="","",IF(INDEX('①名簿入力'!$AB$4:$AB$153,S120)=1,"〇",""))</f>
        <v/>
      </c>
      <c r="O120" s="25" t="str">
        <f>AM120&amp;IF(AND(AM120&lt;&gt;"",AN120&lt;&gt;""),"、","")&amp;AN120&amp;IF(AND(AM120&amp;AN120&lt;&gt;"",AO120&lt;&gt;""),"、","")&amp;AO120</f>
        <v/>
      </c>
      <c r="P120" s="25" t="str">
        <f>IF(AG120=0,"",IF(AK120&amp;AL120="","⚠",LEFT(AK120&amp;AL120,LEN(AK120&amp;AL120)-1)))</f>
        <v/>
      </c>
      <c r="Q120" s="25" t="str">
        <f>IF(S120="","",INDEX('①名簿入力'!$T$4:$T$153,S120)&amp;"")</f>
        <v/>
      </c>
      <c r="S120" s="14" t="str">
        <f>IF(D120="","",IFERROR(MATCH(D120,'①名簿入力'!$A$4:$A$153,0),""))</f>
        <v/>
      </c>
      <c r="T120" s="14" t="str">
        <f>IF(S120="","",IF(INDEX('①名簿入力'!$AG$4:$AG$153,S120)=D120,"",INDEX('①名簿入力'!$AG$4:$AG$153,S120)))</f>
        <v/>
      </c>
      <c r="U120" s="14" t="str">
        <f>IF(S120="","",IF(INDEX('①名簿入力'!$AH$4:$AH$153,S120)=D120,"",INDEX('①名簿入力'!$AH$4:$AH$153,S120)))</f>
        <v/>
      </c>
      <c r="V120" s="14" t="str">
        <f>IF(S120="","",IF(INDEX('①名簿入力'!$AI$4:$AI$153,S120)=D120,"",INDEX('①名簿入力'!$AI$4:$AI$153,S120)))</f>
        <v/>
      </c>
      <c r="W120" s="14" t="str">
        <f>IF(T120="","",IFERROR(IF(INDEX($E$9:$E$158,MATCH(T120,$D$9:$D$158,0))="","",INDEX($E$9:$E$158,MATCH(T120,$D$9:$D$158,0))),""))</f>
        <v/>
      </c>
      <c r="X120" s="14" t="str">
        <f>IF(U120="","",IFERROR(IF(INDEX($E$9:$E$158,MATCH(U120,$D$9:$D$158,0))="","",INDEX($E$9:$E$158,MATCH(U120,$D$9:$D$158,0))),""))</f>
        <v/>
      </c>
      <c r="Y120" s="14" t="str">
        <f>IF(V120="","",IFERROR(IF(INDEX($E$9:$E$158,MATCH(V120,$D$9:$D$158,0))="","",INDEX($E$9:$E$158,MATCH(V120,$D$9:$D$158,0))),""))</f>
        <v/>
      </c>
      <c r="Z120" s="14">
        <f>IF(AND(T120&lt;&gt;"",W120&lt;&gt;"",E120&lt;&gt;""),IF(W120=E120,1,0),0)</f>
        <v>0</v>
      </c>
      <c r="AA120" s="14">
        <f>IF(AND(U120&lt;&gt;"",X120&lt;&gt;"",E120&lt;&gt;""),IF(X120=E120,1,0),0)</f>
        <v>0</v>
      </c>
      <c r="AB120" s="14">
        <f>IF(AND(V120&lt;&gt;"",Y120&lt;&gt;"",E120&lt;&gt;""),IF(Y120=E120,1,0),0)</f>
        <v>0</v>
      </c>
      <c r="AC120" s="14" t="str">
        <f>IF(OR(T120="",E120=""),"",T120&amp;"|"&amp;E120)</f>
        <v/>
      </c>
      <c r="AD120" s="14" t="str">
        <f>IF(OR(U120="",E120=""),"",U120&amp;"|"&amp;E120)</f>
        <v/>
      </c>
      <c r="AE120" s="14" t="str">
        <f>IF(OR(V120="",E120=""),"",V120&amp;"|"&amp;E120)</f>
        <v/>
      </c>
      <c r="AF120" s="14">
        <f>IF(OR(D120="",E120=""),0,COUNTIF($AC$9:$AC$158,D120&amp;"|"&amp;E120)+COUNTIF($AD$9:$AD$158,D120&amp;"|"&amp;E120)+COUNTIF($AE$9:$AE$158,D120&amp;"|"&amp;E120))</f>
        <v>0</v>
      </c>
      <c r="AG120" s="14">
        <f>Z120+AA120+AB120+AF120</f>
        <v>0</v>
      </c>
      <c r="AH120" s="14" t="str">
        <f>IF(OR(D120="",E120=""),"",IFERROR(MATCH(D120&amp;"|"&amp;E120,$AC$9:$AC$158,0),""))</f>
        <v/>
      </c>
      <c r="AI120" s="14" t="str">
        <f>IF(OR(D120="",E120=""),"",IFERROR(MATCH(D120&amp;"|"&amp;E120,$AD$9:$AD$158,0),""))</f>
        <v/>
      </c>
      <c r="AJ120" s="14" t="str">
        <f>IF(OR(D120="",E120=""),"",IFERROR(MATCH(D120&amp;"|"&amp;E120,$AE$9:$AE$158,0),""))</f>
        <v/>
      </c>
      <c r="AK120" s="14" t="str">
        <f>IF(Z120=1,IFERROR(INDEX($F$9:$F$158,MATCH(T120,$D$9:$D$158,0)),"")&amp;"、","")&amp;IF(AA120=1,IFERROR(INDEX($F$9:$F$158,MATCH(U120,$D$9:$D$158,0)),"")&amp;"、","")&amp;IF(AB120=1,IFERROR(INDEX($F$9:$F$158,MATCH(V120,$D$9:$D$158,0)),"")&amp;"、","")</f>
        <v/>
      </c>
      <c r="AL120" s="14" t="str">
        <f>IF(OR(AH120=""),"",IF(OR(INDEX($D$9:$D$158,AH120)=T120,INDEX($D$9:$D$158,AH120)=U120,INDEX($D$9:$D$158,AH120)=V120),"",INDEX($F$9:$F$158,AH120)&amp;"、"))&amp;IF(OR(AI120="",AI120=AH120),"",IF(OR(INDEX($D$9:$D$158,AI120)=T120,INDEX($D$9:$D$158,AI120)=U120,INDEX($D$9:$D$158,AI120)=V120),"",INDEX($F$9:$F$158,AI120)&amp;"、"))&amp;IF(OR(AJ120="",AJ120=AH120,AJ120=AI120),"",IF(OR(INDEX($D$9:$D$158,AJ120)=T120,INDEX($D$9:$D$158,AJ120)=U120,INDEX($D$9:$D$158,AJ120)=V120),"",INDEX($F$9:$F$158,AJ120)&amp;"、"))</f>
        <v/>
      </c>
      <c r="AM120" s="14" t="str">
        <f>IF(T120="","",IFERROR(INDEX('①名簿入力'!$C$4:$C$153,MATCH(T120,'①名簿入力'!$A$4:$A$153,0)),"?")&amp;IF(W120="","","("&amp;W120&amp;"組)"))</f>
        <v/>
      </c>
      <c r="AN120" s="14" t="str">
        <f>IF(U120="","",IFERROR(INDEX('①名簿入力'!$C$4:$C$153,MATCH(U120,'①名簿入力'!$A$4:$A$153,0)),"?")&amp;IF(X120="","","("&amp;X120&amp;"組)"))</f>
        <v/>
      </c>
      <c r="AO120" s="14" t="str">
        <f>IF(V120="","",IFERROR(INDEX('①名簿入力'!$C$4:$C$153,MATCH(V120,'①名簿入力'!$A$4:$A$153,0)),"?")&amp;IF(Y120="","","("&amp;Y120&amp;"組)"))</f>
        <v/>
      </c>
      <c r="AP120" s="14">
        <f>IF(G120="男",1,IF(G120="女",2,3))</f>
        <v>3</v>
      </c>
      <c r="AQ120" s="14" t="str">
        <f>IF(OR(S120="",E120=""),"",IFERROR(IF('③クラス一覧'!$AD$6="番号順",0,AP120*1000000000)+D120,""))</f>
        <v/>
      </c>
      <c r="AR120" s="14" t="str">
        <f>IF(AQ120="","",COUNTIFS($E$9:$E$158,E120,$AQ$9:$AQ$158,"&lt;"&amp;AQ120)+1)</f>
        <v/>
      </c>
      <c r="AS120" s="14" t="str">
        <f>IF(AR120="","",E120&amp;"-"&amp;AR120)</f>
        <v/>
      </c>
      <c r="AT120" s="14" t="str">
        <f>IF(S120="","",IF(INDEX('①名簿入力'!$F$4:$F$153,S120)="","",INDEX('①名簿入力'!$F$4:$F$153,S120)))</f>
        <v/>
      </c>
      <c r="AU120" s="14" t="str">
        <f>IF(S120="","",IF(INDEX('①名簿入力'!$G$4:$G$153,S120)="","",INDEX('①名簿入力'!$G$4:$G$153,S120)))</f>
        <v/>
      </c>
      <c r="AV120" s="14" t="str">
        <f>IF(S120="","",IF(INDEX('①名簿入力'!$H$4:$H$153,S120)="","",INDEX('①名簿入力'!$H$4:$H$153,S120)))</f>
        <v/>
      </c>
      <c r="AW120" s="14" t="str">
        <f>IF(S120="","",IF(INDEX('①名簿入力'!$I$4:$I$153,S120)="","",INDEX('①名簿入力'!$I$4:$I$153,S120)))</f>
        <v/>
      </c>
      <c r="AX120" s="14" t="str">
        <f>IF(S120="","",IF(INDEX('①名簿入力'!$J$4:$J$153,S120)="","",INDEX('①名簿入力'!$J$4:$J$153,S120)))</f>
        <v/>
      </c>
    </row>
    <row r="121">
      <c r="A121" s="23" t="str">
        <f>IF('①名簿入力'!A116="","",'①名簿入力'!A116)</f>
        <v/>
      </c>
      <c r="B121" s="23" t="str">
        <f>IF(A121="","",'①名簿入力'!U116)</f>
        <v/>
      </c>
      <c r="D121" s="8" t="n"/>
      <c r="E121" s="24" t="n"/>
      <c r="F121" s="25" t="str">
        <f>IF(D121="","",IF(S121="","（名簿にない番号）",INDEX('①名簿入力'!$C$4:$C$153,S121)&amp;""))</f>
        <v/>
      </c>
      <c r="G121" s="13" t="str">
        <f>IF(S121="","",INDEX('①名簿入力'!$E$4:$E$153,S121)&amp;"")</f>
        <v/>
      </c>
      <c r="H121" s="13" t="str">
        <f>IF(S121="","",IF(INDEX('①名簿入力'!$B$4:$B$153,S121)="","",INDEX('①名簿入力'!$B$4:$B$153,S121)))</f>
        <v/>
      </c>
      <c r="I121" s="10" t="str">
        <f>IF(S121="","",IF(INDEX('①名簿入力'!$K$4:$K$153,S121)="","",INDEX('①名簿入力'!$K$4:$K$153,S121)))</f>
        <v/>
      </c>
      <c r="J121" s="10" t="str">
        <f>IF(S121="","",IF(INDEX('①名簿入力'!$L$4:$L$153,S121)="","",INDEX('①名簿入力'!$L$4:$L$153,S121)))</f>
        <v/>
      </c>
      <c r="K121" s="13" t="str">
        <f>IF(S121="","",IF(INDEX('①名簿入力'!$Y$4:$Y$153,S121)=1,"〇",""))</f>
        <v/>
      </c>
      <c r="L121" s="13" t="str">
        <f>IF(S121="","",IF(INDEX('①名簿入力'!$Z$4:$Z$153,S121)=1,"〇",""))</f>
        <v/>
      </c>
      <c r="M121" s="13" t="str">
        <f>IF(S121="","",IF(INDEX('①名簿入力'!$AA$4:$AA$153,S121)=1,"〇",""))</f>
        <v/>
      </c>
      <c r="N121" s="13" t="str">
        <f>IF(S121="","",IF(INDEX('①名簿入力'!$AB$4:$AB$153,S121)=1,"〇",""))</f>
        <v/>
      </c>
      <c r="O121" s="25" t="str">
        <f>AM121&amp;IF(AND(AM121&lt;&gt;"",AN121&lt;&gt;""),"、","")&amp;AN121&amp;IF(AND(AM121&amp;AN121&lt;&gt;"",AO121&lt;&gt;""),"、","")&amp;AO121</f>
        <v/>
      </c>
      <c r="P121" s="25" t="str">
        <f>IF(AG121=0,"",IF(AK121&amp;AL121="","⚠",LEFT(AK121&amp;AL121,LEN(AK121&amp;AL121)-1)))</f>
        <v/>
      </c>
      <c r="Q121" s="25" t="str">
        <f>IF(S121="","",INDEX('①名簿入力'!$T$4:$T$153,S121)&amp;"")</f>
        <v/>
      </c>
      <c r="S121" s="14" t="str">
        <f>IF(D121="","",IFERROR(MATCH(D121,'①名簿入力'!$A$4:$A$153,0),""))</f>
        <v/>
      </c>
      <c r="T121" s="14" t="str">
        <f>IF(S121="","",IF(INDEX('①名簿入力'!$AG$4:$AG$153,S121)=D121,"",INDEX('①名簿入力'!$AG$4:$AG$153,S121)))</f>
        <v/>
      </c>
      <c r="U121" s="14" t="str">
        <f>IF(S121="","",IF(INDEX('①名簿入力'!$AH$4:$AH$153,S121)=D121,"",INDEX('①名簿入力'!$AH$4:$AH$153,S121)))</f>
        <v/>
      </c>
      <c r="V121" s="14" t="str">
        <f>IF(S121="","",IF(INDEX('①名簿入力'!$AI$4:$AI$153,S121)=D121,"",INDEX('①名簿入力'!$AI$4:$AI$153,S121)))</f>
        <v/>
      </c>
      <c r="W121" s="14" t="str">
        <f>IF(T121="","",IFERROR(IF(INDEX($E$9:$E$158,MATCH(T121,$D$9:$D$158,0))="","",INDEX($E$9:$E$158,MATCH(T121,$D$9:$D$158,0))),""))</f>
        <v/>
      </c>
      <c r="X121" s="14" t="str">
        <f>IF(U121="","",IFERROR(IF(INDEX($E$9:$E$158,MATCH(U121,$D$9:$D$158,0))="","",INDEX($E$9:$E$158,MATCH(U121,$D$9:$D$158,0))),""))</f>
        <v/>
      </c>
      <c r="Y121" s="14" t="str">
        <f>IF(V121="","",IFERROR(IF(INDEX($E$9:$E$158,MATCH(V121,$D$9:$D$158,0))="","",INDEX($E$9:$E$158,MATCH(V121,$D$9:$D$158,0))),""))</f>
        <v/>
      </c>
      <c r="Z121" s="14">
        <f>IF(AND(T121&lt;&gt;"",W121&lt;&gt;"",E121&lt;&gt;""),IF(W121=E121,1,0),0)</f>
        <v>0</v>
      </c>
      <c r="AA121" s="14">
        <f>IF(AND(U121&lt;&gt;"",X121&lt;&gt;"",E121&lt;&gt;""),IF(X121=E121,1,0),0)</f>
        <v>0</v>
      </c>
      <c r="AB121" s="14">
        <f>IF(AND(V121&lt;&gt;"",Y121&lt;&gt;"",E121&lt;&gt;""),IF(Y121=E121,1,0),0)</f>
        <v>0</v>
      </c>
      <c r="AC121" s="14" t="str">
        <f>IF(OR(T121="",E121=""),"",T121&amp;"|"&amp;E121)</f>
        <v/>
      </c>
      <c r="AD121" s="14" t="str">
        <f>IF(OR(U121="",E121=""),"",U121&amp;"|"&amp;E121)</f>
        <v/>
      </c>
      <c r="AE121" s="14" t="str">
        <f>IF(OR(V121="",E121=""),"",V121&amp;"|"&amp;E121)</f>
        <v/>
      </c>
      <c r="AF121" s="14">
        <f>IF(OR(D121="",E121=""),0,COUNTIF($AC$9:$AC$158,D121&amp;"|"&amp;E121)+COUNTIF($AD$9:$AD$158,D121&amp;"|"&amp;E121)+COUNTIF($AE$9:$AE$158,D121&amp;"|"&amp;E121))</f>
        <v>0</v>
      </c>
      <c r="AG121" s="14">
        <f>Z121+AA121+AB121+AF121</f>
        <v>0</v>
      </c>
      <c r="AH121" s="14" t="str">
        <f>IF(OR(D121="",E121=""),"",IFERROR(MATCH(D121&amp;"|"&amp;E121,$AC$9:$AC$158,0),""))</f>
        <v/>
      </c>
      <c r="AI121" s="14" t="str">
        <f>IF(OR(D121="",E121=""),"",IFERROR(MATCH(D121&amp;"|"&amp;E121,$AD$9:$AD$158,0),""))</f>
        <v/>
      </c>
      <c r="AJ121" s="14" t="str">
        <f>IF(OR(D121="",E121=""),"",IFERROR(MATCH(D121&amp;"|"&amp;E121,$AE$9:$AE$158,0),""))</f>
        <v/>
      </c>
      <c r="AK121" s="14" t="str">
        <f>IF(Z121=1,IFERROR(INDEX($F$9:$F$158,MATCH(T121,$D$9:$D$158,0)),"")&amp;"、","")&amp;IF(AA121=1,IFERROR(INDEX($F$9:$F$158,MATCH(U121,$D$9:$D$158,0)),"")&amp;"、","")&amp;IF(AB121=1,IFERROR(INDEX($F$9:$F$158,MATCH(V121,$D$9:$D$158,0)),"")&amp;"、","")</f>
        <v/>
      </c>
      <c r="AL121" s="14" t="str">
        <f>IF(OR(AH121=""),"",IF(OR(INDEX($D$9:$D$158,AH121)=T121,INDEX($D$9:$D$158,AH121)=U121,INDEX($D$9:$D$158,AH121)=V121),"",INDEX($F$9:$F$158,AH121)&amp;"、"))&amp;IF(OR(AI121="",AI121=AH121),"",IF(OR(INDEX($D$9:$D$158,AI121)=T121,INDEX($D$9:$D$158,AI121)=U121,INDEX($D$9:$D$158,AI121)=V121),"",INDEX($F$9:$F$158,AI121)&amp;"、"))&amp;IF(OR(AJ121="",AJ121=AH121,AJ121=AI121),"",IF(OR(INDEX($D$9:$D$158,AJ121)=T121,INDEX($D$9:$D$158,AJ121)=U121,INDEX($D$9:$D$158,AJ121)=V121),"",INDEX($F$9:$F$158,AJ121)&amp;"、"))</f>
        <v/>
      </c>
      <c r="AM121" s="14" t="str">
        <f>IF(T121="","",IFERROR(INDEX('①名簿入力'!$C$4:$C$153,MATCH(T121,'①名簿入力'!$A$4:$A$153,0)),"?")&amp;IF(W121="","","("&amp;W121&amp;"組)"))</f>
        <v/>
      </c>
      <c r="AN121" s="14" t="str">
        <f>IF(U121="","",IFERROR(INDEX('①名簿入力'!$C$4:$C$153,MATCH(U121,'①名簿入力'!$A$4:$A$153,0)),"?")&amp;IF(X121="","","("&amp;X121&amp;"組)"))</f>
        <v/>
      </c>
      <c r="AO121" s="14" t="str">
        <f>IF(V121="","",IFERROR(INDEX('①名簿入力'!$C$4:$C$153,MATCH(V121,'①名簿入力'!$A$4:$A$153,0)),"?")&amp;IF(Y121="","","("&amp;Y121&amp;"組)"))</f>
        <v/>
      </c>
      <c r="AP121" s="14">
        <f>IF(G121="男",1,IF(G121="女",2,3))</f>
        <v>3</v>
      </c>
      <c r="AQ121" s="14" t="str">
        <f>IF(OR(S121="",E121=""),"",IFERROR(IF('③クラス一覧'!$AD$6="番号順",0,AP121*1000000000)+D121,""))</f>
        <v/>
      </c>
      <c r="AR121" s="14" t="str">
        <f>IF(AQ121="","",COUNTIFS($E$9:$E$158,E121,$AQ$9:$AQ$158,"&lt;"&amp;AQ121)+1)</f>
        <v/>
      </c>
      <c r="AS121" s="14" t="str">
        <f>IF(AR121="","",E121&amp;"-"&amp;AR121)</f>
        <v/>
      </c>
      <c r="AT121" s="14" t="str">
        <f>IF(S121="","",IF(INDEX('①名簿入力'!$F$4:$F$153,S121)="","",INDEX('①名簿入力'!$F$4:$F$153,S121)))</f>
        <v/>
      </c>
      <c r="AU121" s="14" t="str">
        <f>IF(S121="","",IF(INDEX('①名簿入力'!$G$4:$G$153,S121)="","",INDEX('①名簿入力'!$G$4:$G$153,S121)))</f>
        <v/>
      </c>
      <c r="AV121" s="14" t="str">
        <f>IF(S121="","",IF(INDEX('①名簿入力'!$H$4:$H$153,S121)="","",INDEX('①名簿入力'!$H$4:$H$153,S121)))</f>
        <v/>
      </c>
      <c r="AW121" s="14" t="str">
        <f>IF(S121="","",IF(INDEX('①名簿入力'!$I$4:$I$153,S121)="","",INDEX('①名簿入力'!$I$4:$I$153,S121)))</f>
        <v/>
      </c>
      <c r="AX121" s="14" t="str">
        <f>IF(S121="","",IF(INDEX('①名簿入力'!$J$4:$J$153,S121)="","",INDEX('①名簿入力'!$J$4:$J$153,S121)))</f>
        <v/>
      </c>
    </row>
    <row r="122">
      <c r="A122" s="23" t="str">
        <f>IF('①名簿入力'!A117="","",'①名簿入力'!A117)</f>
        <v/>
      </c>
      <c r="B122" s="23" t="str">
        <f>IF(A122="","",'①名簿入力'!U117)</f>
        <v/>
      </c>
      <c r="D122" s="8" t="n"/>
      <c r="E122" s="24" t="n"/>
      <c r="F122" s="25" t="str">
        <f>IF(D122="","",IF(S122="","（名簿にない番号）",INDEX('①名簿入力'!$C$4:$C$153,S122)&amp;""))</f>
        <v/>
      </c>
      <c r="G122" s="13" t="str">
        <f>IF(S122="","",INDEX('①名簿入力'!$E$4:$E$153,S122)&amp;"")</f>
        <v/>
      </c>
      <c r="H122" s="13" t="str">
        <f>IF(S122="","",IF(INDEX('①名簿入力'!$B$4:$B$153,S122)="","",INDEX('①名簿入力'!$B$4:$B$153,S122)))</f>
        <v/>
      </c>
      <c r="I122" s="10" t="str">
        <f>IF(S122="","",IF(INDEX('①名簿入力'!$K$4:$K$153,S122)="","",INDEX('①名簿入力'!$K$4:$K$153,S122)))</f>
        <v/>
      </c>
      <c r="J122" s="10" t="str">
        <f>IF(S122="","",IF(INDEX('①名簿入力'!$L$4:$L$153,S122)="","",INDEX('①名簿入力'!$L$4:$L$153,S122)))</f>
        <v/>
      </c>
      <c r="K122" s="13" t="str">
        <f>IF(S122="","",IF(INDEX('①名簿入力'!$Y$4:$Y$153,S122)=1,"〇",""))</f>
        <v/>
      </c>
      <c r="L122" s="13" t="str">
        <f>IF(S122="","",IF(INDEX('①名簿入力'!$Z$4:$Z$153,S122)=1,"〇",""))</f>
        <v/>
      </c>
      <c r="M122" s="13" t="str">
        <f>IF(S122="","",IF(INDEX('①名簿入力'!$AA$4:$AA$153,S122)=1,"〇",""))</f>
        <v/>
      </c>
      <c r="N122" s="13" t="str">
        <f>IF(S122="","",IF(INDEX('①名簿入力'!$AB$4:$AB$153,S122)=1,"〇",""))</f>
        <v/>
      </c>
      <c r="O122" s="25" t="str">
        <f>AM122&amp;IF(AND(AM122&lt;&gt;"",AN122&lt;&gt;""),"、","")&amp;AN122&amp;IF(AND(AM122&amp;AN122&lt;&gt;"",AO122&lt;&gt;""),"、","")&amp;AO122</f>
        <v/>
      </c>
      <c r="P122" s="25" t="str">
        <f>IF(AG122=0,"",IF(AK122&amp;AL122="","⚠",LEFT(AK122&amp;AL122,LEN(AK122&amp;AL122)-1)))</f>
        <v/>
      </c>
      <c r="Q122" s="25" t="str">
        <f>IF(S122="","",INDEX('①名簿入力'!$T$4:$T$153,S122)&amp;"")</f>
        <v/>
      </c>
      <c r="S122" s="14" t="str">
        <f>IF(D122="","",IFERROR(MATCH(D122,'①名簿入力'!$A$4:$A$153,0),""))</f>
        <v/>
      </c>
      <c r="T122" s="14" t="str">
        <f>IF(S122="","",IF(INDEX('①名簿入力'!$AG$4:$AG$153,S122)=D122,"",INDEX('①名簿入力'!$AG$4:$AG$153,S122)))</f>
        <v/>
      </c>
      <c r="U122" s="14" t="str">
        <f>IF(S122="","",IF(INDEX('①名簿入力'!$AH$4:$AH$153,S122)=D122,"",INDEX('①名簿入力'!$AH$4:$AH$153,S122)))</f>
        <v/>
      </c>
      <c r="V122" s="14" t="str">
        <f>IF(S122="","",IF(INDEX('①名簿入力'!$AI$4:$AI$153,S122)=D122,"",INDEX('①名簿入力'!$AI$4:$AI$153,S122)))</f>
        <v/>
      </c>
      <c r="W122" s="14" t="str">
        <f>IF(T122="","",IFERROR(IF(INDEX($E$9:$E$158,MATCH(T122,$D$9:$D$158,0))="","",INDEX($E$9:$E$158,MATCH(T122,$D$9:$D$158,0))),""))</f>
        <v/>
      </c>
      <c r="X122" s="14" t="str">
        <f>IF(U122="","",IFERROR(IF(INDEX($E$9:$E$158,MATCH(U122,$D$9:$D$158,0))="","",INDEX($E$9:$E$158,MATCH(U122,$D$9:$D$158,0))),""))</f>
        <v/>
      </c>
      <c r="Y122" s="14" t="str">
        <f>IF(V122="","",IFERROR(IF(INDEX($E$9:$E$158,MATCH(V122,$D$9:$D$158,0))="","",INDEX($E$9:$E$158,MATCH(V122,$D$9:$D$158,0))),""))</f>
        <v/>
      </c>
      <c r="Z122" s="14">
        <f>IF(AND(T122&lt;&gt;"",W122&lt;&gt;"",E122&lt;&gt;""),IF(W122=E122,1,0),0)</f>
        <v>0</v>
      </c>
      <c r="AA122" s="14">
        <f>IF(AND(U122&lt;&gt;"",X122&lt;&gt;"",E122&lt;&gt;""),IF(X122=E122,1,0),0)</f>
        <v>0</v>
      </c>
      <c r="AB122" s="14">
        <f>IF(AND(V122&lt;&gt;"",Y122&lt;&gt;"",E122&lt;&gt;""),IF(Y122=E122,1,0),0)</f>
        <v>0</v>
      </c>
      <c r="AC122" s="14" t="str">
        <f>IF(OR(T122="",E122=""),"",T122&amp;"|"&amp;E122)</f>
        <v/>
      </c>
      <c r="AD122" s="14" t="str">
        <f>IF(OR(U122="",E122=""),"",U122&amp;"|"&amp;E122)</f>
        <v/>
      </c>
      <c r="AE122" s="14" t="str">
        <f>IF(OR(V122="",E122=""),"",V122&amp;"|"&amp;E122)</f>
        <v/>
      </c>
      <c r="AF122" s="14">
        <f>IF(OR(D122="",E122=""),0,COUNTIF($AC$9:$AC$158,D122&amp;"|"&amp;E122)+COUNTIF($AD$9:$AD$158,D122&amp;"|"&amp;E122)+COUNTIF($AE$9:$AE$158,D122&amp;"|"&amp;E122))</f>
        <v>0</v>
      </c>
      <c r="AG122" s="14">
        <f>Z122+AA122+AB122+AF122</f>
        <v>0</v>
      </c>
      <c r="AH122" s="14" t="str">
        <f>IF(OR(D122="",E122=""),"",IFERROR(MATCH(D122&amp;"|"&amp;E122,$AC$9:$AC$158,0),""))</f>
        <v/>
      </c>
      <c r="AI122" s="14" t="str">
        <f>IF(OR(D122="",E122=""),"",IFERROR(MATCH(D122&amp;"|"&amp;E122,$AD$9:$AD$158,0),""))</f>
        <v/>
      </c>
      <c r="AJ122" s="14" t="str">
        <f>IF(OR(D122="",E122=""),"",IFERROR(MATCH(D122&amp;"|"&amp;E122,$AE$9:$AE$158,0),""))</f>
        <v/>
      </c>
      <c r="AK122" s="14" t="str">
        <f>IF(Z122=1,IFERROR(INDEX($F$9:$F$158,MATCH(T122,$D$9:$D$158,0)),"")&amp;"、","")&amp;IF(AA122=1,IFERROR(INDEX($F$9:$F$158,MATCH(U122,$D$9:$D$158,0)),"")&amp;"、","")&amp;IF(AB122=1,IFERROR(INDEX($F$9:$F$158,MATCH(V122,$D$9:$D$158,0)),"")&amp;"、","")</f>
        <v/>
      </c>
      <c r="AL122" s="14" t="str">
        <f>IF(OR(AH122=""),"",IF(OR(INDEX($D$9:$D$158,AH122)=T122,INDEX($D$9:$D$158,AH122)=U122,INDEX($D$9:$D$158,AH122)=V122),"",INDEX($F$9:$F$158,AH122)&amp;"、"))&amp;IF(OR(AI122="",AI122=AH122),"",IF(OR(INDEX($D$9:$D$158,AI122)=T122,INDEX($D$9:$D$158,AI122)=U122,INDEX($D$9:$D$158,AI122)=V122),"",INDEX($F$9:$F$158,AI122)&amp;"、"))&amp;IF(OR(AJ122="",AJ122=AH122,AJ122=AI122),"",IF(OR(INDEX($D$9:$D$158,AJ122)=T122,INDEX($D$9:$D$158,AJ122)=U122,INDEX($D$9:$D$158,AJ122)=V122),"",INDEX($F$9:$F$158,AJ122)&amp;"、"))</f>
        <v/>
      </c>
      <c r="AM122" s="14" t="str">
        <f>IF(T122="","",IFERROR(INDEX('①名簿入力'!$C$4:$C$153,MATCH(T122,'①名簿入力'!$A$4:$A$153,0)),"?")&amp;IF(W122="","","("&amp;W122&amp;"組)"))</f>
        <v/>
      </c>
      <c r="AN122" s="14" t="str">
        <f>IF(U122="","",IFERROR(INDEX('①名簿入力'!$C$4:$C$153,MATCH(U122,'①名簿入力'!$A$4:$A$153,0)),"?")&amp;IF(X122="","","("&amp;X122&amp;"組)"))</f>
        <v/>
      </c>
      <c r="AO122" s="14" t="str">
        <f>IF(V122="","",IFERROR(INDEX('①名簿入力'!$C$4:$C$153,MATCH(V122,'①名簿入力'!$A$4:$A$153,0)),"?")&amp;IF(Y122="","","("&amp;Y122&amp;"組)"))</f>
        <v/>
      </c>
      <c r="AP122" s="14">
        <f>IF(G122="男",1,IF(G122="女",2,3))</f>
        <v>3</v>
      </c>
      <c r="AQ122" s="14" t="str">
        <f>IF(OR(S122="",E122=""),"",IFERROR(IF('③クラス一覧'!$AD$6="番号順",0,AP122*1000000000)+D122,""))</f>
        <v/>
      </c>
      <c r="AR122" s="14" t="str">
        <f>IF(AQ122="","",COUNTIFS($E$9:$E$158,E122,$AQ$9:$AQ$158,"&lt;"&amp;AQ122)+1)</f>
        <v/>
      </c>
      <c r="AS122" s="14" t="str">
        <f>IF(AR122="","",E122&amp;"-"&amp;AR122)</f>
        <v/>
      </c>
      <c r="AT122" s="14" t="str">
        <f>IF(S122="","",IF(INDEX('①名簿入力'!$F$4:$F$153,S122)="","",INDEX('①名簿入力'!$F$4:$F$153,S122)))</f>
        <v/>
      </c>
      <c r="AU122" s="14" t="str">
        <f>IF(S122="","",IF(INDEX('①名簿入力'!$G$4:$G$153,S122)="","",INDEX('①名簿入力'!$G$4:$G$153,S122)))</f>
        <v/>
      </c>
      <c r="AV122" s="14" t="str">
        <f>IF(S122="","",IF(INDEX('①名簿入力'!$H$4:$H$153,S122)="","",INDEX('①名簿入力'!$H$4:$H$153,S122)))</f>
        <v/>
      </c>
      <c r="AW122" s="14" t="str">
        <f>IF(S122="","",IF(INDEX('①名簿入力'!$I$4:$I$153,S122)="","",INDEX('①名簿入力'!$I$4:$I$153,S122)))</f>
        <v/>
      </c>
      <c r="AX122" s="14" t="str">
        <f>IF(S122="","",IF(INDEX('①名簿入力'!$J$4:$J$153,S122)="","",INDEX('①名簿入力'!$J$4:$J$153,S122)))</f>
        <v/>
      </c>
    </row>
    <row r="123">
      <c r="A123" s="23" t="str">
        <f>IF('①名簿入力'!A118="","",'①名簿入力'!A118)</f>
        <v/>
      </c>
      <c r="B123" s="23" t="str">
        <f>IF(A123="","",'①名簿入力'!U118)</f>
        <v/>
      </c>
      <c r="D123" s="8" t="n"/>
      <c r="E123" s="24" t="n"/>
      <c r="F123" s="25" t="str">
        <f>IF(D123="","",IF(S123="","（名簿にない番号）",INDEX('①名簿入力'!$C$4:$C$153,S123)&amp;""))</f>
        <v/>
      </c>
      <c r="G123" s="13" t="str">
        <f>IF(S123="","",INDEX('①名簿入力'!$E$4:$E$153,S123)&amp;"")</f>
        <v/>
      </c>
      <c r="H123" s="13" t="str">
        <f>IF(S123="","",IF(INDEX('①名簿入力'!$B$4:$B$153,S123)="","",INDEX('①名簿入力'!$B$4:$B$153,S123)))</f>
        <v/>
      </c>
      <c r="I123" s="10" t="str">
        <f>IF(S123="","",IF(INDEX('①名簿入力'!$K$4:$K$153,S123)="","",INDEX('①名簿入力'!$K$4:$K$153,S123)))</f>
        <v/>
      </c>
      <c r="J123" s="10" t="str">
        <f>IF(S123="","",IF(INDEX('①名簿入力'!$L$4:$L$153,S123)="","",INDEX('①名簿入力'!$L$4:$L$153,S123)))</f>
        <v/>
      </c>
      <c r="K123" s="13" t="str">
        <f>IF(S123="","",IF(INDEX('①名簿入力'!$Y$4:$Y$153,S123)=1,"〇",""))</f>
        <v/>
      </c>
      <c r="L123" s="13" t="str">
        <f>IF(S123="","",IF(INDEX('①名簿入力'!$Z$4:$Z$153,S123)=1,"〇",""))</f>
        <v/>
      </c>
      <c r="M123" s="13" t="str">
        <f>IF(S123="","",IF(INDEX('①名簿入力'!$AA$4:$AA$153,S123)=1,"〇",""))</f>
        <v/>
      </c>
      <c r="N123" s="13" t="str">
        <f>IF(S123="","",IF(INDEX('①名簿入力'!$AB$4:$AB$153,S123)=1,"〇",""))</f>
        <v/>
      </c>
      <c r="O123" s="25" t="str">
        <f>AM123&amp;IF(AND(AM123&lt;&gt;"",AN123&lt;&gt;""),"、","")&amp;AN123&amp;IF(AND(AM123&amp;AN123&lt;&gt;"",AO123&lt;&gt;""),"、","")&amp;AO123</f>
        <v/>
      </c>
      <c r="P123" s="25" t="str">
        <f>IF(AG123=0,"",IF(AK123&amp;AL123="","⚠",LEFT(AK123&amp;AL123,LEN(AK123&amp;AL123)-1)))</f>
        <v/>
      </c>
      <c r="Q123" s="25" t="str">
        <f>IF(S123="","",INDEX('①名簿入力'!$T$4:$T$153,S123)&amp;"")</f>
        <v/>
      </c>
      <c r="S123" s="14" t="str">
        <f>IF(D123="","",IFERROR(MATCH(D123,'①名簿入力'!$A$4:$A$153,0),""))</f>
        <v/>
      </c>
      <c r="T123" s="14" t="str">
        <f>IF(S123="","",IF(INDEX('①名簿入力'!$AG$4:$AG$153,S123)=D123,"",INDEX('①名簿入力'!$AG$4:$AG$153,S123)))</f>
        <v/>
      </c>
      <c r="U123" s="14" t="str">
        <f>IF(S123="","",IF(INDEX('①名簿入力'!$AH$4:$AH$153,S123)=D123,"",INDEX('①名簿入力'!$AH$4:$AH$153,S123)))</f>
        <v/>
      </c>
      <c r="V123" s="14" t="str">
        <f>IF(S123="","",IF(INDEX('①名簿入力'!$AI$4:$AI$153,S123)=D123,"",INDEX('①名簿入力'!$AI$4:$AI$153,S123)))</f>
        <v/>
      </c>
      <c r="W123" s="14" t="str">
        <f>IF(T123="","",IFERROR(IF(INDEX($E$9:$E$158,MATCH(T123,$D$9:$D$158,0))="","",INDEX($E$9:$E$158,MATCH(T123,$D$9:$D$158,0))),""))</f>
        <v/>
      </c>
      <c r="X123" s="14" t="str">
        <f>IF(U123="","",IFERROR(IF(INDEX($E$9:$E$158,MATCH(U123,$D$9:$D$158,0))="","",INDEX($E$9:$E$158,MATCH(U123,$D$9:$D$158,0))),""))</f>
        <v/>
      </c>
      <c r="Y123" s="14" t="str">
        <f>IF(V123="","",IFERROR(IF(INDEX($E$9:$E$158,MATCH(V123,$D$9:$D$158,0))="","",INDEX($E$9:$E$158,MATCH(V123,$D$9:$D$158,0))),""))</f>
        <v/>
      </c>
      <c r="Z123" s="14">
        <f>IF(AND(T123&lt;&gt;"",W123&lt;&gt;"",E123&lt;&gt;""),IF(W123=E123,1,0),0)</f>
        <v>0</v>
      </c>
      <c r="AA123" s="14">
        <f>IF(AND(U123&lt;&gt;"",X123&lt;&gt;"",E123&lt;&gt;""),IF(X123=E123,1,0),0)</f>
        <v>0</v>
      </c>
      <c r="AB123" s="14">
        <f>IF(AND(V123&lt;&gt;"",Y123&lt;&gt;"",E123&lt;&gt;""),IF(Y123=E123,1,0),0)</f>
        <v>0</v>
      </c>
      <c r="AC123" s="14" t="str">
        <f>IF(OR(T123="",E123=""),"",T123&amp;"|"&amp;E123)</f>
        <v/>
      </c>
      <c r="AD123" s="14" t="str">
        <f>IF(OR(U123="",E123=""),"",U123&amp;"|"&amp;E123)</f>
        <v/>
      </c>
      <c r="AE123" s="14" t="str">
        <f>IF(OR(V123="",E123=""),"",V123&amp;"|"&amp;E123)</f>
        <v/>
      </c>
      <c r="AF123" s="14">
        <f>IF(OR(D123="",E123=""),0,COUNTIF($AC$9:$AC$158,D123&amp;"|"&amp;E123)+COUNTIF($AD$9:$AD$158,D123&amp;"|"&amp;E123)+COUNTIF($AE$9:$AE$158,D123&amp;"|"&amp;E123))</f>
        <v>0</v>
      </c>
      <c r="AG123" s="14">
        <f>Z123+AA123+AB123+AF123</f>
        <v>0</v>
      </c>
      <c r="AH123" s="14" t="str">
        <f>IF(OR(D123="",E123=""),"",IFERROR(MATCH(D123&amp;"|"&amp;E123,$AC$9:$AC$158,0),""))</f>
        <v/>
      </c>
      <c r="AI123" s="14" t="str">
        <f>IF(OR(D123="",E123=""),"",IFERROR(MATCH(D123&amp;"|"&amp;E123,$AD$9:$AD$158,0),""))</f>
        <v/>
      </c>
      <c r="AJ123" s="14" t="str">
        <f>IF(OR(D123="",E123=""),"",IFERROR(MATCH(D123&amp;"|"&amp;E123,$AE$9:$AE$158,0),""))</f>
        <v/>
      </c>
      <c r="AK123" s="14" t="str">
        <f>IF(Z123=1,IFERROR(INDEX($F$9:$F$158,MATCH(T123,$D$9:$D$158,0)),"")&amp;"、","")&amp;IF(AA123=1,IFERROR(INDEX($F$9:$F$158,MATCH(U123,$D$9:$D$158,0)),"")&amp;"、","")&amp;IF(AB123=1,IFERROR(INDEX($F$9:$F$158,MATCH(V123,$D$9:$D$158,0)),"")&amp;"、","")</f>
        <v/>
      </c>
      <c r="AL123" s="14" t="str">
        <f>IF(OR(AH123=""),"",IF(OR(INDEX($D$9:$D$158,AH123)=T123,INDEX($D$9:$D$158,AH123)=U123,INDEX($D$9:$D$158,AH123)=V123),"",INDEX($F$9:$F$158,AH123)&amp;"、"))&amp;IF(OR(AI123="",AI123=AH123),"",IF(OR(INDEX($D$9:$D$158,AI123)=T123,INDEX($D$9:$D$158,AI123)=U123,INDEX($D$9:$D$158,AI123)=V123),"",INDEX($F$9:$F$158,AI123)&amp;"、"))&amp;IF(OR(AJ123="",AJ123=AH123,AJ123=AI123),"",IF(OR(INDEX($D$9:$D$158,AJ123)=T123,INDEX($D$9:$D$158,AJ123)=U123,INDEX($D$9:$D$158,AJ123)=V123),"",INDEX($F$9:$F$158,AJ123)&amp;"、"))</f>
        <v/>
      </c>
      <c r="AM123" s="14" t="str">
        <f>IF(T123="","",IFERROR(INDEX('①名簿入力'!$C$4:$C$153,MATCH(T123,'①名簿入力'!$A$4:$A$153,0)),"?")&amp;IF(W123="","","("&amp;W123&amp;"組)"))</f>
        <v/>
      </c>
      <c r="AN123" s="14" t="str">
        <f>IF(U123="","",IFERROR(INDEX('①名簿入力'!$C$4:$C$153,MATCH(U123,'①名簿入力'!$A$4:$A$153,0)),"?")&amp;IF(X123="","","("&amp;X123&amp;"組)"))</f>
        <v/>
      </c>
      <c r="AO123" s="14" t="str">
        <f>IF(V123="","",IFERROR(INDEX('①名簿入力'!$C$4:$C$153,MATCH(V123,'①名簿入力'!$A$4:$A$153,0)),"?")&amp;IF(Y123="","","("&amp;Y123&amp;"組)"))</f>
        <v/>
      </c>
      <c r="AP123" s="14">
        <f>IF(G123="男",1,IF(G123="女",2,3))</f>
        <v>3</v>
      </c>
      <c r="AQ123" s="14" t="str">
        <f>IF(OR(S123="",E123=""),"",IFERROR(IF('③クラス一覧'!$AD$6="番号順",0,AP123*1000000000)+D123,""))</f>
        <v/>
      </c>
      <c r="AR123" s="14" t="str">
        <f>IF(AQ123="","",COUNTIFS($E$9:$E$158,E123,$AQ$9:$AQ$158,"&lt;"&amp;AQ123)+1)</f>
        <v/>
      </c>
      <c r="AS123" s="14" t="str">
        <f>IF(AR123="","",E123&amp;"-"&amp;AR123)</f>
        <v/>
      </c>
      <c r="AT123" s="14" t="str">
        <f>IF(S123="","",IF(INDEX('①名簿入力'!$F$4:$F$153,S123)="","",INDEX('①名簿入力'!$F$4:$F$153,S123)))</f>
        <v/>
      </c>
      <c r="AU123" s="14" t="str">
        <f>IF(S123="","",IF(INDEX('①名簿入力'!$G$4:$G$153,S123)="","",INDEX('①名簿入力'!$G$4:$G$153,S123)))</f>
        <v/>
      </c>
      <c r="AV123" s="14" t="str">
        <f>IF(S123="","",IF(INDEX('①名簿入力'!$H$4:$H$153,S123)="","",INDEX('①名簿入力'!$H$4:$H$153,S123)))</f>
        <v/>
      </c>
      <c r="AW123" s="14" t="str">
        <f>IF(S123="","",IF(INDEX('①名簿入力'!$I$4:$I$153,S123)="","",INDEX('①名簿入力'!$I$4:$I$153,S123)))</f>
        <v/>
      </c>
      <c r="AX123" s="14" t="str">
        <f>IF(S123="","",IF(INDEX('①名簿入力'!$J$4:$J$153,S123)="","",INDEX('①名簿入力'!$J$4:$J$153,S123)))</f>
        <v/>
      </c>
    </row>
    <row r="124">
      <c r="A124" s="23" t="str">
        <f>IF('①名簿入力'!A119="","",'①名簿入力'!A119)</f>
        <v/>
      </c>
      <c r="B124" s="23" t="str">
        <f>IF(A124="","",'①名簿入力'!U119)</f>
        <v/>
      </c>
      <c r="D124" s="8" t="n"/>
      <c r="E124" s="24" t="n"/>
      <c r="F124" s="25" t="str">
        <f>IF(D124="","",IF(S124="","（名簿にない番号）",INDEX('①名簿入力'!$C$4:$C$153,S124)&amp;""))</f>
        <v/>
      </c>
      <c r="G124" s="13" t="str">
        <f>IF(S124="","",INDEX('①名簿入力'!$E$4:$E$153,S124)&amp;"")</f>
        <v/>
      </c>
      <c r="H124" s="13" t="str">
        <f>IF(S124="","",IF(INDEX('①名簿入力'!$B$4:$B$153,S124)="","",INDEX('①名簿入力'!$B$4:$B$153,S124)))</f>
        <v/>
      </c>
      <c r="I124" s="10" t="str">
        <f>IF(S124="","",IF(INDEX('①名簿入力'!$K$4:$K$153,S124)="","",INDEX('①名簿入力'!$K$4:$K$153,S124)))</f>
        <v/>
      </c>
      <c r="J124" s="10" t="str">
        <f>IF(S124="","",IF(INDEX('①名簿入力'!$L$4:$L$153,S124)="","",INDEX('①名簿入力'!$L$4:$L$153,S124)))</f>
        <v/>
      </c>
      <c r="K124" s="13" t="str">
        <f>IF(S124="","",IF(INDEX('①名簿入力'!$Y$4:$Y$153,S124)=1,"〇",""))</f>
        <v/>
      </c>
      <c r="L124" s="13" t="str">
        <f>IF(S124="","",IF(INDEX('①名簿入力'!$Z$4:$Z$153,S124)=1,"〇",""))</f>
        <v/>
      </c>
      <c r="M124" s="13" t="str">
        <f>IF(S124="","",IF(INDEX('①名簿入力'!$AA$4:$AA$153,S124)=1,"〇",""))</f>
        <v/>
      </c>
      <c r="N124" s="13" t="str">
        <f>IF(S124="","",IF(INDEX('①名簿入力'!$AB$4:$AB$153,S124)=1,"〇",""))</f>
        <v/>
      </c>
      <c r="O124" s="25" t="str">
        <f>AM124&amp;IF(AND(AM124&lt;&gt;"",AN124&lt;&gt;""),"、","")&amp;AN124&amp;IF(AND(AM124&amp;AN124&lt;&gt;"",AO124&lt;&gt;""),"、","")&amp;AO124</f>
        <v/>
      </c>
      <c r="P124" s="25" t="str">
        <f>IF(AG124=0,"",IF(AK124&amp;AL124="","⚠",LEFT(AK124&amp;AL124,LEN(AK124&amp;AL124)-1)))</f>
        <v/>
      </c>
      <c r="Q124" s="25" t="str">
        <f>IF(S124="","",INDEX('①名簿入力'!$T$4:$T$153,S124)&amp;"")</f>
        <v/>
      </c>
      <c r="S124" s="14" t="str">
        <f>IF(D124="","",IFERROR(MATCH(D124,'①名簿入力'!$A$4:$A$153,0),""))</f>
        <v/>
      </c>
      <c r="T124" s="14" t="str">
        <f>IF(S124="","",IF(INDEX('①名簿入力'!$AG$4:$AG$153,S124)=D124,"",INDEX('①名簿入力'!$AG$4:$AG$153,S124)))</f>
        <v/>
      </c>
      <c r="U124" s="14" t="str">
        <f>IF(S124="","",IF(INDEX('①名簿入力'!$AH$4:$AH$153,S124)=D124,"",INDEX('①名簿入力'!$AH$4:$AH$153,S124)))</f>
        <v/>
      </c>
      <c r="V124" s="14" t="str">
        <f>IF(S124="","",IF(INDEX('①名簿入力'!$AI$4:$AI$153,S124)=D124,"",INDEX('①名簿入力'!$AI$4:$AI$153,S124)))</f>
        <v/>
      </c>
      <c r="W124" s="14" t="str">
        <f>IF(T124="","",IFERROR(IF(INDEX($E$9:$E$158,MATCH(T124,$D$9:$D$158,0))="","",INDEX($E$9:$E$158,MATCH(T124,$D$9:$D$158,0))),""))</f>
        <v/>
      </c>
      <c r="X124" s="14" t="str">
        <f>IF(U124="","",IFERROR(IF(INDEX($E$9:$E$158,MATCH(U124,$D$9:$D$158,0))="","",INDEX($E$9:$E$158,MATCH(U124,$D$9:$D$158,0))),""))</f>
        <v/>
      </c>
      <c r="Y124" s="14" t="str">
        <f>IF(V124="","",IFERROR(IF(INDEX($E$9:$E$158,MATCH(V124,$D$9:$D$158,0))="","",INDEX($E$9:$E$158,MATCH(V124,$D$9:$D$158,0))),""))</f>
        <v/>
      </c>
      <c r="Z124" s="14">
        <f>IF(AND(T124&lt;&gt;"",W124&lt;&gt;"",E124&lt;&gt;""),IF(W124=E124,1,0),0)</f>
        <v>0</v>
      </c>
      <c r="AA124" s="14">
        <f>IF(AND(U124&lt;&gt;"",X124&lt;&gt;"",E124&lt;&gt;""),IF(X124=E124,1,0),0)</f>
        <v>0</v>
      </c>
      <c r="AB124" s="14">
        <f>IF(AND(V124&lt;&gt;"",Y124&lt;&gt;"",E124&lt;&gt;""),IF(Y124=E124,1,0),0)</f>
        <v>0</v>
      </c>
      <c r="AC124" s="14" t="str">
        <f>IF(OR(T124="",E124=""),"",T124&amp;"|"&amp;E124)</f>
        <v/>
      </c>
      <c r="AD124" s="14" t="str">
        <f>IF(OR(U124="",E124=""),"",U124&amp;"|"&amp;E124)</f>
        <v/>
      </c>
      <c r="AE124" s="14" t="str">
        <f>IF(OR(V124="",E124=""),"",V124&amp;"|"&amp;E124)</f>
        <v/>
      </c>
      <c r="AF124" s="14">
        <f>IF(OR(D124="",E124=""),0,COUNTIF($AC$9:$AC$158,D124&amp;"|"&amp;E124)+COUNTIF($AD$9:$AD$158,D124&amp;"|"&amp;E124)+COUNTIF($AE$9:$AE$158,D124&amp;"|"&amp;E124))</f>
        <v>0</v>
      </c>
      <c r="AG124" s="14">
        <f>Z124+AA124+AB124+AF124</f>
        <v>0</v>
      </c>
      <c r="AH124" s="14" t="str">
        <f>IF(OR(D124="",E124=""),"",IFERROR(MATCH(D124&amp;"|"&amp;E124,$AC$9:$AC$158,0),""))</f>
        <v/>
      </c>
      <c r="AI124" s="14" t="str">
        <f>IF(OR(D124="",E124=""),"",IFERROR(MATCH(D124&amp;"|"&amp;E124,$AD$9:$AD$158,0),""))</f>
        <v/>
      </c>
      <c r="AJ124" s="14" t="str">
        <f>IF(OR(D124="",E124=""),"",IFERROR(MATCH(D124&amp;"|"&amp;E124,$AE$9:$AE$158,0),""))</f>
        <v/>
      </c>
      <c r="AK124" s="14" t="str">
        <f>IF(Z124=1,IFERROR(INDEX($F$9:$F$158,MATCH(T124,$D$9:$D$158,0)),"")&amp;"、","")&amp;IF(AA124=1,IFERROR(INDEX($F$9:$F$158,MATCH(U124,$D$9:$D$158,0)),"")&amp;"、","")&amp;IF(AB124=1,IFERROR(INDEX($F$9:$F$158,MATCH(V124,$D$9:$D$158,0)),"")&amp;"、","")</f>
        <v/>
      </c>
      <c r="AL124" s="14" t="str">
        <f>IF(OR(AH124=""),"",IF(OR(INDEX($D$9:$D$158,AH124)=T124,INDEX($D$9:$D$158,AH124)=U124,INDEX($D$9:$D$158,AH124)=V124),"",INDEX($F$9:$F$158,AH124)&amp;"、"))&amp;IF(OR(AI124="",AI124=AH124),"",IF(OR(INDEX($D$9:$D$158,AI124)=T124,INDEX($D$9:$D$158,AI124)=U124,INDEX($D$9:$D$158,AI124)=V124),"",INDEX($F$9:$F$158,AI124)&amp;"、"))&amp;IF(OR(AJ124="",AJ124=AH124,AJ124=AI124),"",IF(OR(INDEX($D$9:$D$158,AJ124)=T124,INDEX($D$9:$D$158,AJ124)=U124,INDEX($D$9:$D$158,AJ124)=V124),"",INDEX($F$9:$F$158,AJ124)&amp;"、"))</f>
        <v/>
      </c>
      <c r="AM124" s="14" t="str">
        <f>IF(T124="","",IFERROR(INDEX('①名簿入力'!$C$4:$C$153,MATCH(T124,'①名簿入力'!$A$4:$A$153,0)),"?")&amp;IF(W124="","","("&amp;W124&amp;"組)"))</f>
        <v/>
      </c>
      <c r="AN124" s="14" t="str">
        <f>IF(U124="","",IFERROR(INDEX('①名簿入力'!$C$4:$C$153,MATCH(U124,'①名簿入力'!$A$4:$A$153,0)),"?")&amp;IF(X124="","","("&amp;X124&amp;"組)"))</f>
        <v/>
      </c>
      <c r="AO124" s="14" t="str">
        <f>IF(V124="","",IFERROR(INDEX('①名簿入力'!$C$4:$C$153,MATCH(V124,'①名簿入力'!$A$4:$A$153,0)),"?")&amp;IF(Y124="","","("&amp;Y124&amp;"組)"))</f>
        <v/>
      </c>
      <c r="AP124" s="14">
        <f>IF(G124="男",1,IF(G124="女",2,3))</f>
        <v>3</v>
      </c>
      <c r="AQ124" s="14" t="str">
        <f>IF(OR(S124="",E124=""),"",IFERROR(IF('③クラス一覧'!$AD$6="番号順",0,AP124*1000000000)+D124,""))</f>
        <v/>
      </c>
      <c r="AR124" s="14" t="str">
        <f>IF(AQ124="","",COUNTIFS($E$9:$E$158,E124,$AQ$9:$AQ$158,"&lt;"&amp;AQ124)+1)</f>
        <v/>
      </c>
      <c r="AS124" s="14" t="str">
        <f>IF(AR124="","",E124&amp;"-"&amp;AR124)</f>
        <v/>
      </c>
      <c r="AT124" s="14" t="str">
        <f>IF(S124="","",IF(INDEX('①名簿入力'!$F$4:$F$153,S124)="","",INDEX('①名簿入力'!$F$4:$F$153,S124)))</f>
        <v/>
      </c>
      <c r="AU124" s="14" t="str">
        <f>IF(S124="","",IF(INDEX('①名簿入力'!$G$4:$G$153,S124)="","",INDEX('①名簿入力'!$G$4:$G$153,S124)))</f>
        <v/>
      </c>
      <c r="AV124" s="14" t="str">
        <f>IF(S124="","",IF(INDEX('①名簿入力'!$H$4:$H$153,S124)="","",INDEX('①名簿入力'!$H$4:$H$153,S124)))</f>
        <v/>
      </c>
      <c r="AW124" s="14" t="str">
        <f>IF(S124="","",IF(INDEX('①名簿入力'!$I$4:$I$153,S124)="","",INDEX('①名簿入力'!$I$4:$I$153,S124)))</f>
        <v/>
      </c>
      <c r="AX124" s="14" t="str">
        <f>IF(S124="","",IF(INDEX('①名簿入力'!$J$4:$J$153,S124)="","",INDEX('①名簿入力'!$J$4:$J$153,S124)))</f>
        <v/>
      </c>
    </row>
    <row r="125">
      <c r="A125" s="23" t="str">
        <f>IF('①名簿入力'!A120="","",'①名簿入力'!A120)</f>
        <v/>
      </c>
      <c r="B125" s="23" t="str">
        <f>IF(A125="","",'①名簿入力'!U120)</f>
        <v/>
      </c>
      <c r="D125" s="8" t="n"/>
      <c r="E125" s="24" t="n"/>
      <c r="F125" s="25" t="str">
        <f>IF(D125="","",IF(S125="","（名簿にない番号）",INDEX('①名簿入力'!$C$4:$C$153,S125)&amp;""))</f>
        <v/>
      </c>
      <c r="G125" s="13" t="str">
        <f>IF(S125="","",INDEX('①名簿入力'!$E$4:$E$153,S125)&amp;"")</f>
        <v/>
      </c>
      <c r="H125" s="13" t="str">
        <f>IF(S125="","",IF(INDEX('①名簿入力'!$B$4:$B$153,S125)="","",INDEX('①名簿入力'!$B$4:$B$153,S125)))</f>
        <v/>
      </c>
      <c r="I125" s="10" t="str">
        <f>IF(S125="","",IF(INDEX('①名簿入力'!$K$4:$K$153,S125)="","",INDEX('①名簿入力'!$K$4:$K$153,S125)))</f>
        <v/>
      </c>
      <c r="J125" s="10" t="str">
        <f>IF(S125="","",IF(INDEX('①名簿入力'!$L$4:$L$153,S125)="","",INDEX('①名簿入力'!$L$4:$L$153,S125)))</f>
        <v/>
      </c>
      <c r="K125" s="13" t="str">
        <f>IF(S125="","",IF(INDEX('①名簿入力'!$Y$4:$Y$153,S125)=1,"〇",""))</f>
        <v/>
      </c>
      <c r="L125" s="13" t="str">
        <f>IF(S125="","",IF(INDEX('①名簿入力'!$Z$4:$Z$153,S125)=1,"〇",""))</f>
        <v/>
      </c>
      <c r="M125" s="13" t="str">
        <f>IF(S125="","",IF(INDEX('①名簿入力'!$AA$4:$AA$153,S125)=1,"〇",""))</f>
        <v/>
      </c>
      <c r="N125" s="13" t="str">
        <f>IF(S125="","",IF(INDEX('①名簿入力'!$AB$4:$AB$153,S125)=1,"〇",""))</f>
        <v/>
      </c>
      <c r="O125" s="25" t="str">
        <f>AM125&amp;IF(AND(AM125&lt;&gt;"",AN125&lt;&gt;""),"、","")&amp;AN125&amp;IF(AND(AM125&amp;AN125&lt;&gt;"",AO125&lt;&gt;""),"、","")&amp;AO125</f>
        <v/>
      </c>
      <c r="P125" s="25" t="str">
        <f>IF(AG125=0,"",IF(AK125&amp;AL125="","⚠",LEFT(AK125&amp;AL125,LEN(AK125&amp;AL125)-1)))</f>
        <v/>
      </c>
      <c r="Q125" s="25" t="str">
        <f>IF(S125="","",INDEX('①名簿入力'!$T$4:$T$153,S125)&amp;"")</f>
        <v/>
      </c>
      <c r="S125" s="14" t="str">
        <f>IF(D125="","",IFERROR(MATCH(D125,'①名簿入力'!$A$4:$A$153,0),""))</f>
        <v/>
      </c>
      <c r="T125" s="14" t="str">
        <f>IF(S125="","",IF(INDEX('①名簿入力'!$AG$4:$AG$153,S125)=D125,"",INDEX('①名簿入力'!$AG$4:$AG$153,S125)))</f>
        <v/>
      </c>
      <c r="U125" s="14" t="str">
        <f>IF(S125="","",IF(INDEX('①名簿入力'!$AH$4:$AH$153,S125)=D125,"",INDEX('①名簿入力'!$AH$4:$AH$153,S125)))</f>
        <v/>
      </c>
      <c r="V125" s="14" t="str">
        <f>IF(S125="","",IF(INDEX('①名簿入力'!$AI$4:$AI$153,S125)=D125,"",INDEX('①名簿入力'!$AI$4:$AI$153,S125)))</f>
        <v/>
      </c>
      <c r="W125" s="14" t="str">
        <f>IF(T125="","",IFERROR(IF(INDEX($E$9:$E$158,MATCH(T125,$D$9:$D$158,0))="","",INDEX($E$9:$E$158,MATCH(T125,$D$9:$D$158,0))),""))</f>
        <v/>
      </c>
      <c r="X125" s="14" t="str">
        <f>IF(U125="","",IFERROR(IF(INDEX($E$9:$E$158,MATCH(U125,$D$9:$D$158,0))="","",INDEX($E$9:$E$158,MATCH(U125,$D$9:$D$158,0))),""))</f>
        <v/>
      </c>
      <c r="Y125" s="14" t="str">
        <f>IF(V125="","",IFERROR(IF(INDEX($E$9:$E$158,MATCH(V125,$D$9:$D$158,0))="","",INDEX($E$9:$E$158,MATCH(V125,$D$9:$D$158,0))),""))</f>
        <v/>
      </c>
      <c r="Z125" s="14">
        <f>IF(AND(T125&lt;&gt;"",W125&lt;&gt;"",E125&lt;&gt;""),IF(W125=E125,1,0),0)</f>
        <v>0</v>
      </c>
      <c r="AA125" s="14">
        <f>IF(AND(U125&lt;&gt;"",X125&lt;&gt;"",E125&lt;&gt;""),IF(X125=E125,1,0),0)</f>
        <v>0</v>
      </c>
      <c r="AB125" s="14">
        <f>IF(AND(V125&lt;&gt;"",Y125&lt;&gt;"",E125&lt;&gt;""),IF(Y125=E125,1,0),0)</f>
        <v>0</v>
      </c>
      <c r="AC125" s="14" t="str">
        <f>IF(OR(T125="",E125=""),"",T125&amp;"|"&amp;E125)</f>
        <v/>
      </c>
      <c r="AD125" s="14" t="str">
        <f>IF(OR(U125="",E125=""),"",U125&amp;"|"&amp;E125)</f>
        <v/>
      </c>
      <c r="AE125" s="14" t="str">
        <f>IF(OR(V125="",E125=""),"",V125&amp;"|"&amp;E125)</f>
        <v/>
      </c>
      <c r="AF125" s="14">
        <f>IF(OR(D125="",E125=""),0,COUNTIF($AC$9:$AC$158,D125&amp;"|"&amp;E125)+COUNTIF($AD$9:$AD$158,D125&amp;"|"&amp;E125)+COUNTIF($AE$9:$AE$158,D125&amp;"|"&amp;E125))</f>
        <v>0</v>
      </c>
      <c r="AG125" s="14">
        <f>Z125+AA125+AB125+AF125</f>
        <v>0</v>
      </c>
      <c r="AH125" s="14" t="str">
        <f>IF(OR(D125="",E125=""),"",IFERROR(MATCH(D125&amp;"|"&amp;E125,$AC$9:$AC$158,0),""))</f>
        <v/>
      </c>
      <c r="AI125" s="14" t="str">
        <f>IF(OR(D125="",E125=""),"",IFERROR(MATCH(D125&amp;"|"&amp;E125,$AD$9:$AD$158,0),""))</f>
        <v/>
      </c>
      <c r="AJ125" s="14" t="str">
        <f>IF(OR(D125="",E125=""),"",IFERROR(MATCH(D125&amp;"|"&amp;E125,$AE$9:$AE$158,0),""))</f>
        <v/>
      </c>
      <c r="AK125" s="14" t="str">
        <f>IF(Z125=1,IFERROR(INDEX($F$9:$F$158,MATCH(T125,$D$9:$D$158,0)),"")&amp;"、","")&amp;IF(AA125=1,IFERROR(INDEX($F$9:$F$158,MATCH(U125,$D$9:$D$158,0)),"")&amp;"、","")&amp;IF(AB125=1,IFERROR(INDEX($F$9:$F$158,MATCH(V125,$D$9:$D$158,0)),"")&amp;"、","")</f>
        <v/>
      </c>
      <c r="AL125" s="14" t="str">
        <f>IF(OR(AH125=""),"",IF(OR(INDEX($D$9:$D$158,AH125)=T125,INDEX($D$9:$D$158,AH125)=U125,INDEX($D$9:$D$158,AH125)=V125),"",INDEX($F$9:$F$158,AH125)&amp;"、"))&amp;IF(OR(AI125="",AI125=AH125),"",IF(OR(INDEX($D$9:$D$158,AI125)=T125,INDEX($D$9:$D$158,AI125)=U125,INDEX($D$9:$D$158,AI125)=V125),"",INDEX($F$9:$F$158,AI125)&amp;"、"))&amp;IF(OR(AJ125="",AJ125=AH125,AJ125=AI125),"",IF(OR(INDEX($D$9:$D$158,AJ125)=T125,INDEX($D$9:$D$158,AJ125)=U125,INDEX($D$9:$D$158,AJ125)=V125),"",INDEX($F$9:$F$158,AJ125)&amp;"、"))</f>
        <v/>
      </c>
      <c r="AM125" s="14" t="str">
        <f>IF(T125="","",IFERROR(INDEX('①名簿入力'!$C$4:$C$153,MATCH(T125,'①名簿入力'!$A$4:$A$153,0)),"?")&amp;IF(W125="","","("&amp;W125&amp;"組)"))</f>
        <v/>
      </c>
      <c r="AN125" s="14" t="str">
        <f>IF(U125="","",IFERROR(INDEX('①名簿入力'!$C$4:$C$153,MATCH(U125,'①名簿入力'!$A$4:$A$153,0)),"?")&amp;IF(X125="","","("&amp;X125&amp;"組)"))</f>
        <v/>
      </c>
      <c r="AO125" s="14" t="str">
        <f>IF(V125="","",IFERROR(INDEX('①名簿入力'!$C$4:$C$153,MATCH(V125,'①名簿入力'!$A$4:$A$153,0)),"?")&amp;IF(Y125="","","("&amp;Y125&amp;"組)"))</f>
        <v/>
      </c>
      <c r="AP125" s="14">
        <f>IF(G125="男",1,IF(G125="女",2,3))</f>
        <v>3</v>
      </c>
      <c r="AQ125" s="14" t="str">
        <f>IF(OR(S125="",E125=""),"",IFERROR(IF('③クラス一覧'!$AD$6="番号順",0,AP125*1000000000)+D125,""))</f>
        <v/>
      </c>
      <c r="AR125" s="14" t="str">
        <f>IF(AQ125="","",COUNTIFS($E$9:$E$158,E125,$AQ$9:$AQ$158,"&lt;"&amp;AQ125)+1)</f>
        <v/>
      </c>
      <c r="AS125" s="14" t="str">
        <f>IF(AR125="","",E125&amp;"-"&amp;AR125)</f>
        <v/>
      </c>
      <c r="AT125" s="14" t="str">
        <f>IF(S125="","",IF(INDEX('①名簿入力'!$F$4:$F$153,S125)="","",INDEX('①名簿入力'!$F$4:$F$153,S125)))</f>
        <v/>
      </c>
      <c r="AU125" s="14" t="str">
        <f>IF(S125="","",IF(INDEX('①名簿入力'!$G$4:$G$153,S125)="","",INDEX('①名簿入力'!$G$4:$G$153,S125)))</f>
        <v/>
      </c>
      <c r="AV125" s="14" t="str">
        <f>IF(S125="","",IF(INDEX('①名簿入力'!$H$4:$H$153,S125)="","",INDEX('①名簿入力'!$H$4:$H$153,S125)))</f>
        <v/>
      </c>
      <c r="AW125" s="14" t="str">
        <f>IF(S125="","",IF(INDEX('①名簿入力'!$I$4:$I$153,S125)="","",INDEX('①名簿入力'!$I$4:$I$153,S125)))</f>
        <v/>
      </c>
      <c r="AX125" s="14" t="str">
        <f>IF(S125="","",IF(INDEX('①名簿入力'!$J$4:$J$153,S125)="","",INDEX('①名簿入力'!$J$4:$J$153,S125)))</f>
        <v/>
      </c>
    </row>
    <row r="126">
      <c r="A126" s="23" t="str">
        <f>IF('①名簿入力'!A121="","",'①名簿入力'!A121)</f>
        <v/>
      </c>
      <c r="B126" s="23" t="str">
        <f>IF(A126="","",'①名簿入力'!U121)</f>
        <v/>
      </c>
      <c r="D126" s="8" t="n"/>
      <c r="E126" s="24" t="n"/>
      <c r="F126" s="25" t="str">
        <f>IF(D126="","",IF(S126="","（名簿にない番号）",INDEX('①名簿入力'!$C$4:$C$153,S126)&amp;""))</f>
        <v/>
      </c>
      <c r="G126" s="13" t="str">
        <f>IF(S126="","",INDEX('①名簿入力'!$E$4:$E$153,S126)&amp;"")</f>
        <v/>
      </c>
      <c r="H126" s="13" t="str">
        <f>IF(S126="","",IF(INDEX('①名簿入力'!$B$4:$B$153,S126)="","",INDEX('①名簿入力'!$B$4:$B$153,S126)))</f>
        <v/>
      </c>
      <c r="I126" s="10" t="str">
        <f>IF(S126="","",IF(INDEX('①名簿入力'!$K$4:$K$153,S126)="","",INDEX('①名簿入力'!$K$4:$K$153,S126)))</f>
        <v/>
      </c>
      <c r="J126" s="10" t="str">
        <f>IF(S126="","",IF(INDEX('①名簿入力'!$L$4:$L$153,S126)="","",INDEX('①名簿入力'!$L$4:$L$153,S126)))</f>
        <v/>
      </c>
      <c r="K126" s="13" t="str">
        <f>IF(S126="","",IF(INDEX('①名簿入力'!$Y$4:$Y$153,S126)=1,"〇",""))</f>
        <v/>
      </c>
      <c r="L126" s="13" t="str">
        <f>IF(S126="","",IF(INDEX('①名簿入力'!$Z$4:$Z$153,S126)=1,"〇",""))</f>
        <v/>
      </c>
      <c r="M126" s="13" t="str">
        <f>IF(S126="","",IF(INDEX('①名簿入力'!$AA$4:$AA$153,S126)=1,"〇",""))</f>
        <v/>
      </c>
      <c r="N126" s="13" t="str">
        <f>IF(S126="","",IF(INDEX('①名簿入力'!$AB$4:$AB$153,S126)=1,"〇",""))</f>
        <v/>
      </c>
      <c r="O126" s="25" t="str">
        <f>AM126&amp;IF(AND(AM126&lt;&gt;"",AN126&lt;&gt;""),"、","")&amp;AN126&amp;IF(AND(AM126&amp;AN126&lt;&gt;"",AO126&lt;&gt;""),"、","")&amp;AO126</f>
        <v/>
      </c>
      <c r="P126" s="25" t="str">
        <f>IF(AG126=0,"",IF(AK126&amp;AL126="","⚠",LEFT(AK126&amp;AL126,LEN(AK126&amp;AL126)-1)))</f>
        <v/>
      </c>
      <c r="Q126" s="25" t="str">
        <f>IF(S126="","",INDEX('①名簿入力'!$T$4:$T$153,S126)&amp;"")</f>
        <v/>
      </c>
      <c r="S126" s="14" t="str">
        <f>IF(D126="","",IFERROR(MATCH(D126,'①名簿入力'!$A$4:$A$153,0),""))</f>
        <v/>
      </c>
      <c r="T126" s="14" t="str">
        <f>IF(S126="","",IF(INDEX('①名簿入力'!$AG$4:$AG$153,S126)=D126,"",INDEX('①名簿入力'!$AG$4:$AG$153,S126)))</f>
        <v/>
      </c>
      <c r="U126" s="14" t="str">
        <f>IF(S126="","",IF(INDEX('①名簿入力'!$AH$4:$AH$153,S126)=D126,"",INDEX('①名簿入力'!$AH$4:$AH$153,S126)))</f>
        <v/>
      </c>
      <c r="V126" s="14" t="str">
        <f>IF(S126="","",IF(INDEX('①名簿入力'!$AI$4:$AI$153,S126)=D126,"",INDEX('①名簿入力'!$AI$4:$AI$153,S126)))</f>
        <v/>
      </c>
      <c r="W126" s="14" t="str">
        <f>IF(T126="","",IFERROR(IF(INDEX($E$9:$E$158,MATCH(T126,$D$9:$D$158,0))="","",INDEX($E$9:$E$158,MATCH(T126,$D$9:$D$158,0))),""))</f>
        <v/>
      </c>
      <c r="X126" s="14" t="str">
        <f>IF(U126="","",IFERROR(IF(INDEX($E$9:$E$158,MATCH(U126,$D$9:$D$158,0))="","",INDEX($E$9:$E$158,MATCH(U126,$D$9:$D$158,0))),""))</f>
        <v/>
      </c>
      <c r="Y126" s="14" t="str">
        <f>IF(V126="","",IFERROR(IF(INDEX($E$9:$E$158,MATCH(V126,$D$9:$D$158,0))="","",INDEX($E$9:$E$158,MATCH(V126,$D$9:$D$158,0))),""))</f>
        <v/>
      </c>
      <c r="Z126" s="14">
        <f>IF(AND(T126&lt;&gt;"",W126&lt;&gt;"",E126&lt;&gt;""),IF(W126=E126,1,0),0)</f>
        <v>0</v>
      </c>
      <c r="AA126" s="14">
        <f>IF(AND(U126&lt;&gt;"",X126&lt;&gt;"",E126&lt;&gt;""),IF(X126=E126,1,0),0)</f>
        <v>0</v>
      </c>
      <c r="AB126" s="14">
        <f>IF(AND(V126&lt;&gt;"",Y126&lt;&gt;"",E126&lt;&gt;""),IF(Y126=E126,1,0),0)</f>
        <v>0</v>
      </c>
      <c r="AC126" s="14" t="str">
        <f>IF(OR(T126="",E126=""),"",T126&amp;"|"&amp;E126)</f>
        <v/>
      </c>
      <c r="AD126" s="14" t="str">
        <f>IF(OR(U126="",E126=""),"",U126&amp;"|"&amp;E126)</f>
        <v/>
      </c>
      <c r="AE126" s="14" t="str">
        <f>IF(OR(V126="",E126=""),"",V126&amp;"|"&amp;E126)</f>
        <v/>
      </c>
      <c r="AF126" s="14">
        <f>IF(OR(D126="",E126=""),0,COUNTIF($AC$9:$AC$158,D126&amp;"|"&amp;E126)+COUNTIF($AD$9:$AD$158,D126&amp;"|"&amp;E126)+COUNTIF($AE$9:$AE$158,D126&amp;"|"&amp;E126))</f>
        <v>0</v>
      </c>
      <c r="AG126" s="14">
        <f>Z126+AA126+AB126+AF126</f>
        <v>0</v>
      </c>
      <c r="AH126" s="14" t="str">
        <f>IF(OR(D126="",E126=""),"",IFERROR(MATCH(D126&amp;"|"&amp;E126,$AC$9:$AC$158,0),""))</f>
        <v/>
      </c>
      <c r="AI126" s="14" t="str">
        <f>IF(OR(D126="",E126=""),"",IFERROR(MATCH(D126&amp;"|"&amp;E126,$AD$9:$AD$158,0),""))</f>
        <v/>
      </c>
      <c r="AJ126" s="14" t="str">
        <f>IF(OR(D126="",E126=""),"",IFERROR(MATCH(D126&amp;"|"&amp;E126,$AE$9:$AE$158,0),""))</f>
        <v/>
      </c>
      <c r="AK126" s="14" t="str">
        <f>IF(Z126=1,IFERROR(INDEX($F$9:$F$158,MATCH(T126,$D$9:$D$158,0)),"")&amp;"、","")&amp;IF(AA126=1,IFERROR(INDEX($F$9:$F$158,MATCH(U126,$D$9:$D$158,0)),"")&amp;"、","")&amp;IF(AB126=1,IFERROR(INDEX($F$9:$F$158,MATCH(V126,$D$9:$D$158,0)),"")&amp;"、","")</f>
        <v/>
      </c>
      <c r="AL126" s="14" t="str">
        <f>IF(OR(AH126=""),"",IF(OR(INDEX($D$9:$D$158,AH126)=T126,INDEX($D$9:$D$158,AH126)=U126,INDEX($D$9:$D$158,AH126)=V126),"",INDEX($F$9:$F$158,AH126)&amp;"、"))&amp;IF(OR(AI126="",AI126=AH126),"",IF(OR(INDEX($D$9:$D$158,AI126)=T126,INDEX($D$9:$D$158,AI126)=U126,INDEX($D$9:$D$158,AI126)=V126),"",INDEX($F$9:$F$158,AI126)&amp;"、"))&amp;IF(OR(AJ126="",AJ126=AH126,AJ126=AI126),"",IF(OR(INDEX($D$9:$D$158,AJ126)=T126,INDEX($D$9:$D$158,AJ126)=U126,INDEX($D$9:$D$158,AJ126)=V126),"",INDEX($F$9:$F$158,AJ126)&amp;"、"))</f>
        <v/>
      </c>
      <c r="AM126" s="14" t="str">
        <f>IF(T126="","",IFERROR(INDEX('①名簿入力'!$C$4:$C$153,MATCH(T126,'①名簿入力'!$A$4:$A$153,0)),"?")&amp;IF(W126="","","("&amp;W126&amp;"組)"))</f>
        <v/>
      </c>
      <c r="AN126" s="14" t="str">
        <f>IF(U126="","",IFERROR(INDEX('①名簿入力'!$C$4:$C$153,MATCH(U126,'①名簿入力'!$A$4:$A$153,0)),"?")&amp;IF(X126="","","("&amp;X126&amp;"組)"))</f>
        <v/>
      </c>
      <c r="AO126" s="14" t="str">
        <f>IF(V126="","",IFERROR(INDEX('①名簿入力'!$C$4:$C$153,MATCH(V126,'①名簿入力'!$A$4:$A$153,0)),"?")&amp;IF(Y126="","","("&amp;Y126&amp;"組)"))</f>
        <v/>
      </c>
      <c r="AP126" s="14">
        <f>IF(G126="男",1,IF(G126="女",2,3))</f>
        <v>3</v>
      </c>
      <c r="AQ126" s="14" t="str">
        <f>IF(OR(S126="",E126=""),"",IFERROR(IF('③クラス一覧'!$AD$6="番号順",0,AP126*1000000000)+D126,""))</f>
        <v/>
      </c>
      <c r="AR126" s="14" t="str">
        <f>IF(AQ126="","",COUNTIFS($E$9:$E$158,E126,$AQ$9:$AQ$158,"&lt;"&amp;AQ126)+1)</f>
        <v/>
      </c>
      <c r="AS126" s="14" t="str">
        <f>IF(AR126="","",E126&amp;"-"&amp;AR126)</f>
        <v/>
      </c>
      <c r="AT126" s="14" t="str">
        <f>IF(S126="","",IF(INDEX('①名簿入力'!$F$4:$F$153,S126)="","",INDEX('①名簿入力'!$F$4:$F$153,S126)))</f>
        <v/>
      </c>
      <c r="AU126" s="14" t="str">
        <f>IF(S126="","",IF(INDEX('①名簿入力'!$G$4:$G$153,S126)="","",INDEX('①名簿入力'!$G$4:$G$153,S126)))</f>
        <v/>
      </c>
      <c r="AV126" s="14" t="str">
        <f>IF(S126="","",IF(INDEX('①名簿入力'!$H$4:$H$153,S126)="","",INDEX('①名簿入力'!$H$4:$H$153,S126)))</f>
        <v/>
      </c>
      <c r="AW126" s="14" t="str">
        <f>IF(S126="","",IF(INDEX('①名簿入力'!$I$4:$I$153,S126)="","",INDEX('①名簿入力'!$I$4:$I$153,S126)))</f>
        <v/>
      </c>
      <c r="AX126" s="14" t="str">
        <f>IF(S126="","",IF(INDEX('①名簿入力'!$J$4:$J$153,S126)="","",INDEX('①名簿入力'!$J$4:$J$153,S126)))</f>
        <v/>
      </c>
    </row>
    <row r="127">
      <c r="A127" s="23" t="str">
        <f>IF('①名簿入力'!A122="","",'①名簿入力'!A122)</f>
        <v/>
      </c>
      <c r="B127" s="23" t="str">
        <f>IF(A127="","",'①名簿入力'!U122)</f>
        <v/>
      </c>
      <c r="D127" s="8" t="n"/>
      <c r="E127" s="24" t="n"/>
      <c r="F127" s="25" t="str">
        <f>IF(D127="","",IF(S127="","（名簿にない番号）",INDEX('①名簿入力'!$C$4:$C$153,S127)&amp;""))</f>
        <v/>
      </c>
      <c r="G127" s="13" t="str">
        <f>IF(S127="","",INDEX('①名簿入力'!$E$4:$E$153,S127)&amp;"")</f>
        <v/>
      </c>
      <c r="H127" s="13" t="str">
        <f>IF(S127="","",IF(INDEX('①名簿入力'!$B$4:$B$153,S127)="","",INDEX('①名簿入力'!$B$4:$B$153,S127)))</f>
        <v/>
      </c>
      <c r="I127" s="10" t="str">
        <f>IF(S127="","",IF(INDEX('①名簿入力'!$K$4:$K$153,S127)="","",INDEX('①名簿入力'!$K$4:$K$153,S127)))</f>
        <v/>
      </c>
      <c r="J127" s="10" t="str">
        <f>IF(S127="","",IF(INDEX('①名簿入力'!$L$4:$L$153,S127)="","",INDEX('①名簿入力'!$L$4:$L$153,S127)))</f>
        <v/>
      </c>
      <c r="K127" s="13" t="str">
        <f>IF(S127="","",IF(INDEX('①名簿入力'!$Y$4:$Y$153,S127)=1,"〇",""))</f>
        <v/>
      </c>
      <c r="L127" s="13" t="str">
        <f>IF(S127="","",IF(INDEX('①名簿入力'!$Z$4:$Z$153,S127)=1,"〇",""))</f>
        <v/>
      </c>
      <c r="M127" s="13" t="str">
        <f>IF(S127="","",IF(INDEX('①名簿入力'!$AA$4:$AA$153,S127)=1,"〇",""))</f>
        <v/>
      </c>
      <c r="N127" s="13" t="str">
        <f>IF(S127="","",IF(INDEX('①名簿入力'!$AB$4:$AB$153,S127)=1,"〇",""))</f>
        <v/>
      </c>
      <c r="O127" s="25" t="str">
        <f>AM127&amp;IF(AND(AM127&lt;&gt;"",AN127&lt;&gt;""),"、","")&amp;AN127&amp;IF(AND(AM127&amp;AN127&lt;&gt;"",AO127&lt;&gt;""),"、","")&amp;AO127</f>
        <v/>
      </c>
      <c r="P127" s="25" t="str">
        <f>IF(AG127=0,"",IF(AK127&amp;AL127="","⚠",LEFT(AK127&amp;AL127,LEN(AK127&amp;AL127)-1)))</f>
        <v/>
      </c>
      <c r="Q127" s="25" t="str">
        <f>IF(S127="","",INDEX('①名簿入力'!$T$4:$T$153,S127)&amp;"")</f>
        <v/>
      </c>
      <c r="S127" s="14" t="str">
        <f>IF(D127="","",IFERROR(MATCH(D127,'①名簿入力'!$A$4:$A$153,0),""))</f>
        <v/>
      </c>
      <c r="T127" s="14" t="str">
        <f>IF(S127="","",IF(INDEX('①名簿入力'!$AG$4:$AG$153,S127)=D127,"",INDEX('①名簿入力'!$AG$4:$AG$153,S127)))</f>
        <v/>
      </c>
      <c r="U127" s="14" t="str">
        <f>IF(S127="","",IF(INDEX('①名簿入力'!$AH$4:$AH$153,S127)=D127,"",INDEX('①名簿入力'!$AH$4:$AH$153,S127)))</f>
        <v/>
      </c>
      <c r="V127" s="14" t="str">
        <f>IF(S127="","",IF(INDEX('①名簿入力'!$AI$4:$AI$153,S127)=D127,"",INDEX('①名簿入力'!$AI$4:$AI$153,S127)))</f>
        <v/>
      </c>
      <c r="W127" s="14" t="str">
        <f>IF(T127="","",IFERROR(IF(INDEX($E$9:$E$158,MATCH(T127,$D$9:$D$158,0))="","",INDEX($E$9:$E$158,MATCH(T127,$D$9:$D$158,0))),""))</f>
        <v/>
      </c>
      <c r="X127" s="14" t="str">
        <f>IF(U127="","",IFERROR(IF(INDEX($E$9:$E$158,MATCH(U127,$D$9:$D$158,0))="","",INDEX($E$9:$E$158,MATCH(U127,$D$9:$D$158,0))),""))</f>
        <v/>
      </c>
      <c r="Y127" s="14" t="str">
        <f>IF(V127="","",IFERROR(IF(INDEX($E$9:$E$158,MATCH(V127,$D$9:$D$158,0))="","",INDEX($E$9:$E$158,MATCH(V127,$D$9:$D$158,0))),""))</f>
        <v/>
      </c>
      <c r="Z127" s="14">
        <f>IF(AND(T127&lt;&gt;"",W127&lt;&gt;"",E127&lt;&gt;""),IF(W127=E127,1,0),0)</f>
        <v>0</v>
      </c>
      <c r="AA127" s="14">
        <f>IF(AND(U127&lt;&gt;"",X127&lt;&gt;"",E127&lt;&gt;""),IF(X127=E127,1,0),0)</f>
        <v>0</v>
      </c>
      <c r="AB127" s="14">
        <f>IF(AND(V127&lt;&gt;"",Y127&lt;&gt;"",E127&lt;&gt;""),IF(Y127=E127,1,0),0)</f>
        <v>0</v>
      </c>
      <c r="AC127" s="14" t="str">
        <f>IF(OR(T127="",E127=""),"",T127&amp;"|"&amp;E127)</f>
        <v/>
      </c>
      <c r="AD127" s="14" t="str">
        <f>IF(OR(U127="",E127=""),"",U127&amp;"|"&amp;E127)</f>
        <v/>
      </c>
      <c r="AE127" s="14" t="str">
        <f>IF(OR(V127="",E127=""),"",V127&amp;"|"&amp;E127)</f>
        <v/>
      </c>
      <c r="AF127" s="14">
        <f>IF(OR(D127="",E127=""),0,COUNTIF($AC$9:$AC$158,D127&amp;"|"&amp;E127)+COUNTIF($AD$9:$AD$158,D127&amp;"|"&amp;E127)+COUNTIF($AE$9:$AE$158,D127&amp;"|"&amp;E127))</f>
        <v>0</v>
      </c>
      <c r="AG127" s="14">
        <f>Z127+AA127+AB127+AF127</f>
        <v>0</v>
      </c>
      <c r="AH127" s="14" t="str">
        <f>IF(OR(D127="",E127=""),"",IFERROR(MATCH(D127&amp;"|"&amp;E127,$AC$9:$AC$158,0),""))</f>
        <v/>
      </c>
      <c r="AI127" s="14" t="str">
        <f>IF(OR(D127="",E127=""),"",IFERROR(MATCH(D127&amp;"|"&amp;E127,$AD$9:$AD$158,0),""))</f>
        <v/>
      </c>
      <c r="AJ127" s="14" t="str">
        <f>IF(OR(D127="",E127=""),"",IFERROR(MATCH(D127&amp;"|"&amp;E127,$AE$9:$AE$158,0),""))</f>
        <v/>
      </c>
      <c r="AK127" s="14" t="str">
        <f>IF(Z127=1,IFERROR(INDEX($F$9:$F$158,MATCH(T127,$D$9:$D$158,0)),"")&amp;"、","")&amp;IF(AA127=1,IFERROR(INDEX($F$9:$F$158,MATCH(U127,$D$9:$D$158,0)),"")&amp;"、","")&amp;IF(AB127=1,IFERROR(INDEX($F$9:$F$158,MATCH(V127,$D$9:$D$158,0)),"")&amp;"、","")</f>
        <v/>
      </c>
      <c r="AL127" s="14" t="str">
        <f>IF(OR(AH127=""),"",IF(OR(INDEX($D$9:$D$158,AH127)=T127,INDEX($D$9:$D$158,AH127)=U127,INDEX($D$9:$D$158,AH127)=V127),"",INDEX($F$9:$F$158,AH127)&amp;"、"))&amp;IF(OR(AI127="",AI127=AH127),"",IF(OR(INDEX($D$9:$D$158,AI127)=T127,INDEX($D$9:$D$158,AI127)=U127,INDEX($D$9:$D$158,AI127)=V127),"",INDEX($F$9:$F$158,AI127)&amp;"、"))&amp;IF(OR(AJ127="",AJ127=AH127,AJ127=AI127),"",IF(OR(INDEX($D$9:$D$158,AJ127)=T127,INDEX($D$9:$D$158,AJ127)=U127,INDEX($D$9:$D$158,AJ127)=V127),"",INDEX($F$9:$F$158,AJ127)&amp;"、"))</f>
        <v/>
      </c>
      <c r="AM127" s="14" t="str">
        <f>IF(T127="","",IFERROR(INDEX('①名簿入力'!$C$4:$C$153,MATCH(T127,'①名簿入力'!$A$4:$A$153,0)),"?")&amp;IF(W127="","","("&amp;W127&amp;"組)"))</f>
        <v/>
      </c>
      <c r="AN127" s="14" t="str">
        <f>IF(U127="","",IFERROR(INDEX('①名簿入力'!$C$4:$C$153,MATCH(U127,'①名簿入力'!$A$4:$A$153,0)),"?")&amp;IF(X127="","","("&amp;X127&amp;"組)"))</f>
        <v/>
      </c>
      <c r="AO127" s="14" t="str">
        <f>IF(V127="","",IFERROR(INDEX('①名簿入力'!$C$4:$C$153,MATCH(V127,'①名簿入力'!$A$4:$A$153,0)),"?")&amp;IF(Y127="","","("&amp;Y127&amp;"組)"))</f>
        <v/>
      </c>
      <c r="AP127" s="14">
        <f>IF(G127="男",1,IF(G127="女",2,3))</f>
        <v>3</v>
      </c>
      <c r="AQ127" s="14" t="str">
        <f>IF(OR(S127="",E127=""),"",IFERROR(IF('③クラス一覧'!$AD$6="番号順",0,AP127*1000000000)+D127,""))</f>
        <v/>
      </c>
      <c r="AR127" s="14" t="str">
        <f>IF(AQ127="","",COUNTIFS($E$9:$E$158,E127,$AQ$9:$AQ$158,"&lt;"&amp;AQ127)+1)</f>
        <v/>
      </c>
      <c r="AS127" s="14" t="str">
        <f>IF(AR127="","",E127&amp;"-"&amp;AR127)</f>
        <v/>
      </c>
      <c r="AT127" s="14" t="str">
        <f>IF(S127="","",IF(INDEX('①名簿入力'!$F$4:$F$153,S127)="","",INDEX('①名簿入力'!$F$4:$F$153,S127)))</f>
        <v/>
      </c>
      <c r="AU127" s="14" t="str">
        <f>IF(S127="","",IF(INDEX('①名簿入力'!$G$4:$G$153,S127)="","",INDEX('①名簿入力'!$G$4:$G$153,S127)))</f>
        <v/>
      </c>
      <c r="AV127" s="14" t="str">
        <f>IF(S127="","",IF(INDEX('①名簿入力'!$H$4:$H$153,S127)="","",INDEX('①名簿入力'!$H$4:$H$153,S127)))</f>
        <v/>
      </c>
      <c r="AW127" s="14" t="str">
        <f>IF(S127="","",IF(INDEX('①名簿入力'!$I$4:$I$153,S127)="","",INDEX('①名簿入力'!$I$4:$I$153,S127)))</f>
        <v/>
      </c>
      <c r="AX127" s="14" t="str">
        <f>IF(S127="","",IF(INDEX('①名簿入力'!$J$4:$J$153,S127)="","",INDEX('①名簿入力'!$J$4:$J$153,S127)))</f>
        <v/>
      </c>
    </row>
    <row r="128">
      <c r="A128" s="23" t="str">
        <f>IF('①名簿入力'!A123="","",'①名簿入力'!A123)</f>
        <v/>
      </c>
      <c r="B128" s="23" t="str">
        <f>IF(A128="","",'①名簿入力'!U123)</f>
        <v/>
      </c>
      <c r="D128" s="8" t="n"/>
      <c r="E128" s="24" t="n"/>
      <c r="F128" s="25" t="str">
        <f>IF(D128="","",IF(S128="","（名簿にない番号）",INDEX('①名簿入力'!$C$4:$C$153,S128)&amp;""))</f>
        <v/>
      </c>
      <c r="G128" s="13" t="str">
        <f>IF(S128="","",INDEX('①名簿入力'!$E$4:$E$153,S128)&amp;"")</f>
        <v/>
      </c>
      <c r="H128" s="13" t="str">
        <f>IF(S128="","",IF(INDEX('①名簿入力'!$B$4:$B$153,S128)="","",INDEX('①名簿入力'!$B$4:$B$153,S128)))</f>
        <v/>
      </c>
      <c r="I128" s="10" t="str">
        <f>IF(S128="","",IF(INDEX('①名簿入力'!$K$4:$K$153,S128)="","",INDEX('①名簿入力'!$K$4:$K$153,S128)))</f>
        <v/>
      </c>
      <c r="J128" s="10" t="str">
        <f>IF(S128="","",IF(INDEX('①名簿入力'!$L$4:$L$153,S128)="","",INDEX('①名簿入力'!$L$4:$L$153,S128)))</f>
        <v/>
      </c>
      <c r="K128" s="13" t="str">
        <f>IF(S128="","",IF(INDEX('①名簿入力'!$Y$4:$Y$153,S128)=1,"〇",""))</f>
        <v/>
      </c>
      <c r="L128" s="13" t="str">
        <f>IF(S128="","",IF(INDEX('①名簿入力'!$Z$4:$Z$153,S128)=1,"〇",""))</f>
        <v/>
      </c>
      <c r="M128" s="13" t="str">
        <f>IF(S128="","",IF(INDEX('①名簿入力'!$AA$4:$AA$153,S128)=1,"〇",""))</f>
        <v/>
      </c>
      <c r="N128" s="13" t="str">
        <f>IF(S128="","",IF(INDEX('①名簿入力'!$AB$4:$AB$153,S128)=1,"〇",""))</f>
        <v/>
      </c>
      <c r="O128" s="25" t="str">
        <f>AM128&amp;IF(AND(AM128&lt;&gt;"",AN128&lt;&gt;""),"、","")&amp;AN128&amp;IF(AND(AM128&amp;AN128&lt;&gt;"",AO128&lt;&gt;""),"、","")&amp;AO128</f>
        <v/>
      </c>
      <c r="P128" s="25" t="str">
        <f>IF(AG128=0,"",IF(AK128&amp;AL128="","⚠",LEFT(AK128&amp;AL128,LEN(AK128&amp;AL128)-1)))</f>
        <v/>
      </c>
      <c r="Q128" s="25" t="str">
        <f>IF(S128="","",INDEX('①名簿入力'!$T$4:$T$153,S128)&amp;"")</f>
        <v/>
      </c>
      <c r="S128" s="14" t="str">
        <f>IF(D128="","",IFERROR(MATCH(D128,'①名簿入力'!$A$4:$A$153,0),""))</f>
        <v/>
      </c>
      <c r="T128" s="14" t="str">
        <f>IF(S128="","",IF(INDEX('①名簿入力'!$AG$4:$AG$153,S128)=D128,"",INDEX('①名簿入力'!$AG$4:$AG$153,S128)))</f>
        <v/>
      </c>
      <c r="U128" s="14" t="str">
        <f>IF(S128="","",IF(INDEX('①名簿入力'!$AH$4:$AH$153,S128)=D128,"",INDEX('①名簿入力'!$AH$4:$AH$153,S128)))</f>
        <v/>
      </c>
      <c r="V128" s="14" t="str">
        <f>IF(S128="","",IF(INDEX('①名簿入力'!$AI$4:$AI$153,S128)=D128,"",INDEX('①名簿入力'!$AI$4:$AI$153,S128)))</f>
        <v/>
      </c>
      <c r="W128" s="14" t="str">
        <f>IF(T128="","",IFERROR(IF(INDEX($E$9:$E$158,MATCH(T128,$D$9:$D$158,0))="","",INDEX($E$9:$E$158,MATCH(T128,$D$9:$D$158,0))),""))</f>
        <v/>
      </c>
      <c r="X128" s="14" t="str">
        <f>IF(U128="","",IFERROR(IF(INDEX($E$9:$E$158,MATCH(U128,$D$9:$D$158,0))="","",INDEX($E$9:$E$158,MATCH(U128,$D$9:$D$158,0))),""))</f>
        <v/>
      </c>
      <c r="Y128" s="14" t="str">
        <f>IF(V128="","",IFERROR(IF(INDEX($E$9:$E$158,MATCH(V128,$D$9:$D$158,0))="","",INDEX($E$9:$E$158,MATCH(V128,$D$9:$D$158,0))),""))</f>
        <v/>
      </c>
      <c r="Z128" s="14">
        <f>IF(AND(T128&lt;&gt;"",W128&lt;&gt;"",E128&lt;&gt;""),IF(W128=E128,1,0),0)</f>
        <v>0</v>
      </c>
      <c r="AA128" s="14">
        <f>IF(AND(U128&lt;&gt;"",X128&lt;&gt;"",E128&lt;&gt;""),IF(X128=E128,1,0),0)</f>
        <v>0</v>
      </c>
      <c r="AB128" s="14">
        <f>IF(AND(V128&lt;&gt;"",Y128&lt;&gt;"",E128&lt;&gt;""),IF(Y128=E128,1,0),0)</f>
        <v>0</v>
      </c>
      <c r="AC128" s="14" t="str">
        <f>IF(OR(T128="",E128=""),"",T128&amp;"|"&amp;E128)</f>
        <v/>
      </c>
      <c r="AD128" s="14" t="str">
        <f>IF(OR(U128="",E128=""),"",U128&amp;"|"&amp;E128)</f>
        <v/>
      </c>
      <c r="AE128" s="14" t="str">
        <f>IF(OR(V128="",E128=""),"",V128&amp;"|"&amp;E128)</f>
        <v/>
      </c>
      <c r="AF128" s="14">
        <f>IF(OR(D128="",E128=""),0,COUNTIF($AC$9:$AC$158,D128&amp;"|"&amp;E128)+COUNTIF($AD$9:$AD$158,D128&amp;"|"&amp;E128)+COUNTIF($AE$9:$AE$158,D128&amp;"|"&amp;E128))</f>
        <v>0</v>
      </c>
      <c r="AG128" s="14">
        <f>Z128+AA128+AB128+AF128</f>
        <v>0</v>
      </c>
      <c r="AH128" s="14" t="str">
        <f>IF(OR(D128="",E128=""),"",IFERROR(MATCH(D128&amp;"|"&amp;E128,$AC$9:$AC$158,0),""))</f>
        <v/>
      </c>
      <c r="AI128" s="14" t="str">
        <f>IF(OR(D128="",E128=""),"",IFERROR(MATCH(D128&amp;"|"&amp;E128,$AD$9:$AD$158,0),""))</f>
        <v/>
      </c>
      <c r="AJ128" s="14" t="str">
        <f>IF(OR(D128="",E128=""),"",IFERROR(MATCH(D128&amp;"|"&amp;E128,$AE$9:$AE$158,0),""))</f>
        <v/>
      </c>
      <c r="AK128" s="14" t="str">
        <f>IF(Z128=1,IFERROR(INDEX($F$9:$F$158,MATCH(T128,$D$9:$D$158,0)),"")&amp;"、","")&amp;IF(AA128=1,IFERROR(INDEX($F$9:$F$158,MATCH(U128,$D$9:$D$158,0)),"")&amp;"、","")&amp;IF(AB128=1,IFERROR(INDEX($F$9:$F$158,MATCH(V128,$D$9:$D$158,0)),"")&amp;"、","")</f>
        <v/>
      </c>
      <c r="AL128" s="14" t="str">
        <f>IF(OR(AH128=""),"",IF(OR(INDEX($D$9:$D$158,AH128)=T128,INDEX($D$9:$D$158,AH128)=U128,INDEX($D$9:$D$158,AH128)=V128),"",INDEX($F$9:$F$158,AH128)&amp;"、"))&amp;IF(OR(AI128="",AI128=AH128),"",IF(OR(INDEX($D$9:$D$158,AI128)=T128,INDEX($D$9:$D$158,AI128)=U128,INDEX($D$9:$D$158,AI128)=V128),"",INDEX($F$9:$F$158,AI128)&amp;"、"))&amp;IF(OR(AJ128="",AJ128=AH128,AJ128=AI128),"",IF(OR(INDEX($D$9:$D$158,AJ128)=T128,INDEX($D$9:$D$158,AJ128)=U128,INDEX($D$9:$D$158,AJ128)=V128),"",INDEX($F$9:$F$158,AJ128)&amp;"、"))</f>
        <v/>
      </c>
      <c r="AM128" s="14" t="str">
        <f>IF(T128="","",IFERROR(INDEX('①名簿入力'!$C$4:$C$153,MATCH(T128,'①名簿入力'!$A$4:$A$153,0)),"?")&amp;IF(W128="","","("&amp;W128&amp;"組)"))</f>
        <v/>
      </c>
      <c r="AN128" s="14" t="str">
        <f>IF(U128="","",IFERROR(INDEX('①名簿入力'!$C$4:$C$153,MATCH(U128,'①名簿入力'!$A$4:$A$153,0)),"?")&amp;IF(X128="","","("&amp;X128&amp;"組)"))</f>
        <v/>
      </c>
      <c r="AO128" s="14" t="str">
        <f>IF(V128="","",IFERROR(INDEX('①名簿入力'!$C$4:$C$153,MATCH(V128,'①名簿入力'!$A$4:$A$153,0)),"?")&amp;IF(Y128="","","("&amp;Y128&amp;"組)"))</f>
        <v/>
      </c>
      <c r="AP128" s="14">
        <f>IF(G128="男",1,IF(G128="女",2,3))</f>
        <v>3</v>
      </c>
      <c r="AQ128" s="14" t="str">
        <f>IF(OR(S128="",E128=""),"",IFERROR(IF('③クラス一覧'!$AD$6="番号順",0,AP128*1000000000)+D128,""))</f>
        <v/>
      </c>
      <c r="AR128" s="14" t="str">
        <f>IF(AQ128="","",COUNTIFS($E$9:$E$158,E128,$AQ$9:$AQ$158,"&lt;"&amp;AQ128)+1)</f>
        <v/>
      </c>
      <c r="AS128" s="14" t="str">
        <f>IF(AR128="","",E128&amp;"-"&amp;AR128)</f>
        <v/>
      </c>
      <c r="AT128" s="14" t="str">
        <f>IF(S128="","",IF(INDEX('①名簿入力'!$F$4:$F$153,S128)="","",INDEX('①名簿入力'!$F$4:$F$153,S128)))</f>
        <v/>
      </c>
      <c r="AU128" s="14" t="str">
        <f>IF(S128="","",IF(INDEX('①名簿入力'!$G$4:$G$153,S128)="","",INDEX('①名簿入力'!$G$4:$G$153,S128)))</f>
        <v/>
      </c>
      <c r="AV128" s="14" t="str">
        <f>IF(S128="","",IF(INDEX('①名簿入力'!$H$4:$H$153,S128)="","",INDEX('①名簿入力'!$H$4:$H$153,S128)))</f>
        <v/>
      </c>
      <c r="AW128" s="14" t="str">
        <f>IF(S128="","",IF(INDEX('①名簿入力'!$I$4:$I$153,S128)="","",INDEX('①名簿入力'!$I$4:$I$153,S128)))</f>
        <v/>
      </c>
      <c r="AX128" s="14" t="str">
        <f>IF(S128="","",IF(INDEX('①名簿入力'!$J$4:$J$153,S128)="","",INDEX('①名簿入力'!$J$4:$J$153,S128)))</f>
        <v/>
      </c>
    </row>
    <row r="129">
      <c r="A129" s="23" t="str">
        <f>IF('①名簿入力'!A124="","",'①名簿入力'!A124)</f>
        <v/>
      </c>
      <c r="B129" s="23" t="str">
        <f>IF(A129="","",'①名簿入力'!U124)</f>
        <v/>
      </c>
      <c r="D129" s="8" t="n"/>
      <c r="E129" s="24" t="n"/>
      <c r="F129" s="25" t="str">
        <f>IF(D129="","",IF(S129="","（名簿にない番号）",INDEX('①名簿入力'!$C$4:$C$153,S129)&amp;""))</f>
        <v/>
      </c>
      <c r="G129" s="13" t="str">
        <f>IF(S129="","",INDEX('①名簿入力'!$E$4:$E$153,S129)&amp;"")</f>
        <v/>
      </c>
      <c r="H129" s="13" t="str">
        <f>IF(S129="","",IF(INDEX('①名簿入力'!$B$4:$B$153,S129)="","",INDEX('①名簿入力'!$B$4:$B$153,S129)))</f>
        <v/>
      </c>
      <c r="I129" s="10" t="str">
        <f>IF(S129="","",IF(INDEX('①名簿入力'!$K$4:$K$153,S129)="","",INDEX('①名簿入力'!$K$4:$K$153,S129)))</f>
        <v/>
      </c>
      <c r="J129" s="10" t="str">
        <f>IF(S129="","",IF(INDEX('①名簿入力'!$L$4:$L$153,S129)="","",INDEX('①名簿入力'!$L$4:$L$153,S129)))</f>
        <v/>
      </c>
      <c r="K129" s="13" t="str">
        <f>IF(S129="","",IF(INDEX('①名簿入力'!$Y$4:$Y$153,S129)=1,"〇",""))</f>
        <v/>
      </c>
      <c r="L129" s="13" t="str">
        <f>IF(S129="","",IF(INDEX('①名簿入力'!$Z$4:$Z$153,S129)=1,"〇",""))</f>
        <v/>
      </c>
      <c r="M129" s="13" t="str">
        <f>IF(S129="","",IF(INDEX('①名簿入力'!$AA$4:$AA$153,S129)=1,"〇",""))</f>
        <v/>
      </c>
      <c r="N129" s="13" t="str">
        <f>IF(S129="","",IF(INDEX('①名簿入力'!$AB$4:$AB$153,S129)=1,"〇",""))</f>
        <v/>
      </c>
      <c r="O129" s="25" t="str">
        <f>AM129&amp;IF(AND(AM129&lt;&gt;"",AN129&lt;&gt;""),"、","")&amp;AN129&amp;IF(AND(AM129&amp;AN129&lt;&gt;"",AO129&lt;&gt;""),"、","")&amp;AO129</f>
        <v/>
      </c>
      <c r="P129" s="25" t="str">
        <f>IF(AG129=0,"",IF(AK129&amp;AL129="","⚠",LEFT(AK129&amp;AL129,LEN(AK129&amp;AL129)-1)))</f>
        <v/>
      </c>
      <c r="Q129" s="25" t="str">
        <f>IF(S129="","",INDEX('①名簿入力'!$T$4:$T$153,S129)&amp;"")</f>
        <v/>
      </c>
      <c r="S129" s="14" t="str">
        <f>IF(D129="","",IFERROR(MATCH(D129,'①名簿入力'!$A$4:$A$153,0),""))</f>
        <v/>
      </c>
      <c r="T129" s="14" t="str">
        <f>IF(S129="","",IF(INDEX('①名簿入力'!$AG$4:$AG$153,S129)=D129,"",INDEX('①名簿入力'!$AG$4:$AG$153,S129)))</f>
        <v/>
      </c>
      <c r="U129" s="14" t="str">
        <f>IF(S129="","",IF(INDEX('①名簿入力'!$AH$4:$AH$153,S129)=D129,"",INDEX('①名簿入力'!$AH$4:$AH$153,S129)))</f>
        <v/>
      </c>
      <c r="V129" s="14" t="str">
        <f>IF(S129="","",IF(INDEX('①名簿入力'!$AI$4:$AI$153,S129)=D129,"",INDEX('①名簿入力'!$AI$4:$AI$153,S129)))</f>
        <v/>
      </c>
      <c r="W129" s="14" t="str">
        <f>IF(T129="","",IFERROR(IF(INDEX($E$9:$E$158,MATCH(T129,$D$9:$D$158,0))="","",INDEX($E$9:$E$158,MATCH(T129,$D$9:$D$158,0))),""))</f>
        <v/>
      </c>
      <c r="X129" s="14" t="str">
        <f>IF(U129="","",IFERROR(IF(INDEX($E$9:$E$158,MATCH(U129,$D$9:$D$158,0))="","",INDEX($E$9:$E$158,MATCH(U129,$D$9:$D$158,0))),""))</f>
        <v/>
      </c>
      <c r="Y129" s="14" t="str">
        <f>IF(V129="","",IFERROR(IF(INDEX($E$9:$E$158,MATCH(V129,$D$9:$D$158,0))="","",INDEX($E$9:$E$158,MATCH(V129,$D$9:$D$158,0))),""))</f>
        <v/>
      </c>
      <c r="Z129" s="14">
        <f>IF(AND(T129&lt;&gt;"",W129&lt;&gt;"",E129&lt;&gt;""),IF(W129=E129,1,0),0)</f>
        <v>0</v>
      </c>
      <c r="AA129" s="14">
        <f>IF(AND(U129&lt;&gt;"",X129&lt;&gt;"",E129&lt;&gt;""),IF(X129=E129,1,0),0)</f>
        <v>0</v>
      </c>
      <c r="AB129" s="14">
        <f>IF(AND(V129&lt;&gt;"",Y129&lt;&gt;"",E129&lt;&gt;""),IF(Y129=E129,1,0),0)</f>
        <v>0</v>
      </c>
      <c r="AC129" s="14" t="str">
        <f>IF(OR(T129="",E129=""),"",T129&amp;"|"&amp;E129)</f>
        <v/>
      </c>
      <c r="AD129" s="14" t="str">
        <f>IF(OR(U129="",E129=""),"",U129&amp;"|"&amp;E129)</f>
        <v/>
      </c>
      <c r="AE129" s="14" t="str">
        <f>IF(OR(V129="",E129=""),"",V129&amp;"|"&amp;E129)</f>
        <v/>
      </c>
      <c r="AF129" s="14">
        <f>IF(OR(D129="",E129=""),0,COUNTIF($AC$9:$AC$158,D129&amp;"|"&amp;E129)+COUNTIF($AD$9:$AD$158,D129&amp;"|"&amp;E129)+COUNTIF($AE$9:$AE$158,D129&amp;"|"&amp;E129))</f>
        <v>0</v>
      </c>
      <c r="AG129" s="14">
        <f>Z129+AA129+AB129+AF129</f>
        <v>0</v>
      </c>
      <c r="AH129" s="14" t="str">
        <f>IF(OR(D129="",E129=""),"",IFERROR(MATCH(D129&amp;"|"&amp;E129,$AC$9:$AC$158,0),""))</f>
        <v/>
      </c>
      <c r="AI129" s="14" t="str">
        <f>IF(OR(D129="",E129=""),"",IFERROR(MATCH(D129&amp;"|"&amp;E129,$AD$9:$AD$158,0),""))</f>
        <v/>
      </c>
      <c r="AJ129" s="14" t="str">
        <f>IF(OR(D129="",E129=""),"",IFERROR(MATCH(D129&amp;"|"&amp;E129,$AE$9:$AE$158,0),""))</f>
        <v/>
      </c>
      <c r="AK129" s="14" t="str">
        <f>IF(Z129=1,IFERROR(INDEX($F$9:$F$158,MATCH(T129,$D$9:$D$158,0)),"")&amp;"、","")&amp;IF(AA129=1,IFERROR(INDEX($F$9:$F$158,MATCH(U129,$D$9:$D$158,0)),"")&amp;"、","")&amp;IF(AB129=1,IFERROR(INDEX($F$9:$F$158,MATCH(V129,$D$9:$D$158,0)),"")&amp;"、","")</f>
        <v/>
      </c>
      <c r="AL129" s="14" t="str">
        <f>IF(OR(AH129=""),"",IF(OR(INDEX($D$9:$D$158,AH129)=T129,INDEX($D$9:$D$158,AH129)=U129,INDEX($D$9:$D$158,AH129)=V129),"",INDEX($F$9:$F$158,AH129)&amp;"、"))&amp;IF(OR(AI129="",AI129=AH129),"",IF(OR(INDEX($D$9:$D$158,AI129)=T129,INDEX($D$9:$D$158,AI129)=U129,INDEX($D$9:$D$158,AI129)=V129),"",INDEX($F$9:$F$158,AI129)&amp;"、"))&amp;IF(OR(AJ129="",AJ129=AH129,AJ129=AI129),"",IF(OR(INDEX($D$9:$D$158,AJ129)=T129,INDEX($D$9:$D$158,AJ129)=U129,INDEX($D$9:$D$158,AJ129)=V129),"",INDEX($F$9:$F$158,AJ129)&amp;"、"))</f>
        <v/>
      </c>
      <c r="AM129" s="14" t="str">
        <f>IF(T129="","",IFERROR(INDEX('①名簿入力'!$C$4:$C$153,MATCH(T129,'①名簿入力'!$A$4:$A$153,0)),"?")&amp;IF(W129="","","("&amp;W129&amp;"組)"))</f>
        <v/>
      </c>
      <c r="AN129" s="14" t="str">
        <f>IF(U129="","",IFERROR(INDEX('①名簿入力'!$C$4:$C$153,MATCH(U129,'①名簿入力'!$A$4:$A$153,0)),"?")&amp;IF(X129="","","("&amp;X129&amp;"組)"))</f>
        <v/>
      </c>
      <c r="AO129" s="14" t="str">
        <f>IF(V129="","",IFERROR(INDEX('①名簿入力'!$C$4:$C$153,MATCH(V129,'①名簿入力'!$A$4:$A$153,0)),"?")&amp;IF(Y129="","","("&amp;Y129&amp;"組)"))</f>
        <v/>
      </c>
      <c r="AP129" s="14">
        <f>IF(G129="男",1,IF(G129="女",2,3))</f>
        <v>3</v>
      </c>
      <c r="AQ129" s="14" t="str">
        <f>IF(OR(S129="",E129=""),"",IFERROR(IF('③クラス一覧'!$AD$6="番号順",0,AP129*1000000000)+D129,""))</f>
        <v/>
      </c>
      <c r="AR129" s="14" t="str">
        <f>IF(AQ129="","",COUNTIFS($E$9:$E$158,E129,$AQ$9:$AQ$158,"&lt;"&amp;AQ129)+1)</f>
        <v/>
      </c>
      <c r="AS129" s="14" t="str">
        <f>IF(AR129="","",E129&amp;"-"&amp;AR129)</f>
        <v/>
      </c>
      <c r="AT129" s="14" t="str">
        <f>IF(S129="","",IF(INDEX('①名簿入力'!$F$4:$F$153,S129)="","",INDEX('①名簿入力'!$F$4:$F$153,S129)))</f>
        <v/>
      </c>
      <c r="AU129" s="14" t="str">
        <f>IF(S129="","",IF(INDEX('①名簿入力'!$G$4:$G$153,S129)="","",INDEX('①名簿入力'!$G$4:$G$153,S129)))</f>
        <v/>
      </c>
      <c r="AV129" s="14" t="str">
        <f>IF(S129="","",IF(INDEX('①名簿入力'!$H$4:$H$153,S129)="","",INDEX('①名簿入力'!$H$4:$H$153,S129)))</f>
        <v/>
      </c>
      <c r="AW129" s="14" t="str">
        <f>IF(S129="","",IF(INDEX('①名簿入力'!$I$4:$I$153,S129)="","",INDEX('①名簿入力'!$I$4:$I$153,S129)))</f>
        <v/>
      </c>
      <c r="AX129" s="14" t="str">
        <f>IF(S129="","",IF(INDEX('①名簿入力'!$J$4:$J$153,S129)="","",INDEX('①名簿入力'!$J$4:$J$153,S129)))</f>
        <v/>
      </c>
    </row>
    <row r="130">
      <c r="A130" s="23" t="str">
        <f>IF('①名簿入力'!A125="","",'①名簿入力'!A125)</f>
        <v/>
      </c>
      <c r="B130" s="23" t="str">
        <f>IF(A130="","",'①名簿入力'!U125)</f>
        <v/>
      </c>
      <c r="D130" s="8" t="n"/>
      <c r="E130" s="24" t="n"/>
      <c r="F130" s="25" t="str">
        <f>IF(D130="","",IF(S130="","（名簿にない番号）",INDEX('①名簿入力'!$C$4:$C$153,S130)&amp;""))</f>
        <v/>
      </c>
      <c r="G130" s="13" t="str">
        <f>IF(S130="","",INDEX('①名簿入力'!$E$4:$E$153,S130)&amp;"")</f>
        <v/>
      </c>
      <c r="H130" s="13" t="str">
        <f>IF(S130="","",IF(INDEX('①名簿入力'!$B$4:$B$153,S130)="","",INDEX('①名簿入力'!$B$4:$B$153,S130)))</f>
        <v/>
      </c>
      <c r="I130" s="10" t="str">
        <f>IF(S130="","",IF(INDEX('①名簿入力'!$K$4:$K$153,S130)="","",INDEX('①名簿入力'!$K$4:$K$153,S130)))</f>
        <v/>
      </c>
      <c r="J130" s="10" t="str">
        <f>IF(S130="","",IF(INDEX('①名簿入力'!$L$4:$L$153,S130)="","",INDEX('①名簿入力'!$L$4:$L$153,S130)))</f>
        <v/>
      </c>
      <c r="K130" s="13" t="str">
        <f>IF(S130="","",IF(INDEX('①名簿入力'!$Y$4:$Y$153,S130)=1,"〇",""))</f>
        <v/>
      </c>
      <c r="L130" s="13" t="str">
        <f>IF(S130="","",IF(INDEX('①名簿入力'!$Z$4:$Z$153,S130)=1,"〇",""))</f>
        <v/>
      </c>
      <c r="M130" s="13" t="str">
        <f>IF(S130="","",IF(INDEX('①名簿入力'!$AA$4:$AA$153,S130)=1,"〇",""))</f>
        <v/>
      </c>
      <c r="N130" s="13" t="str">
        <f>IF(S130="","",IF(INDEX('①名簿入力'!$AB$4:$AB$153,S130)=1,"〇",""))</f>
        <v/>
      </c>
      <c r="O130" s="25" t="str">
        <f>AM130&amp;IF(AND(AM130&lt;&gt;"",AN130&lt;&gt;""),"、","")&amp;AN130&amp;IF(AND(AM130&amp;AN130&lt;&gt;"",AO130&lt;&gt;""),"、","")&amp;AO130</f>
        <v/>
      </c>
      <c r="P130" s="25" t="str">
        <f>IF(AG130=0,"",IF(AK130&amp;AL130="","⚠",LEFT(AK130&amp;AL130,LEN(AK130&amp;AL130)-1)))</f>
        <v/>
      </c>
      <c r="Q130" s="25" t="str">
        <f>IF(S130="","",INDEX('①名簿入力'!$T$4:$T$153,S130)&amp;"")</f>
        <v/>
      </c>
      <c r="S130" s="14" t="str">
        <f>IF(D130="","",IFERROR(MATCH(D130,'①名簿入力'!$A$4:$A$153,0),""))</f>
        <v/>
      </c>
      <c r="T130" s="14" t="str">
        <f>IF(S130="","",IF(INDEX('①名簿入力'!$AG$4:$AG$153,S130)=D130,"",INDEX('①名簿入力'!$AG$4:$AG$153,S130)))</f>
        <v/>
      </c>
      <c r="U130" s="14" t="str">
        <f>IF(S130="","",IF(INDEX('①名簿入力'!$AH$4:$AH$153,S130)=D130,"",INDEX('①名簿入力'!$AH$4:$AH$153,S130)))</f>
        <v/>
      </c>
      <c r="V130" s="14" t="str">
        <f>IF(S130="","",IF(INDEX('①名簿入力'!$AI$4:$AI$153,S130)=D130,"",INDEX('①名簿入力'!$AI$4:$AI$153,S130)))</f>
        <v/>
      </c>
      <c r="W130" s="14" t="str">
        <f>IF(T130="","",IFERROR(IF(INDEX($E$9:$E$158,MATCH(T130,$D$9:$D$158,0))="","",INDEX($E$9:$E$158,MATCH(T130,$D$9:$D$158,0))),""))</f>
        <v/>
      </c>
      <c r="X130" s="14" t="str">
        <f>IF(U130="","",IFERROR(IF(INDEX($E$9:$E$158,MATCH(U130,$D$9:$D$158,0))="","",INDEX($E$9:$E$158,MATCH(U130,$D$9:$D$158,0))),""))</f>
        <v/>
      </c>
      <c r="Y130" s="14" t="str">
        <f>IF(V130="","",IFERROR(IF(INDEX($E$9:$E$158,MATCH(V130,$D$9:$D$158,0))="","",INDEX($E$9:$E$158,MATCH(V130,$D$9:$D$158,0))),""))</f>
        <v/>
      </c>
      <c r="Z130" s="14">
        <f>IF(AND(T130&lt;&gt;"",W130&lt;&gt;"",E130&lt;&gt;""),IF(W130=E130,1,0),0)</f>
        <v>0</v>
      </c>
      <c r="AA130" s="14">
        <f>IF(AND(U130&lt;&gt;"",X130&lt;&gt;"",E130&lt;&gt;""),IF(X130=E130,1,0),0)</f>
        <v>0</v>
      </c>
      <c r="AB130" s="14">
        <f>IF(AND(V130&lt;&gt;"",Y130&lt;&gt;"",E130&lt;&gt;""),IF(Y130=E130,1,0),0)</f>
        <v>0</v>
      </c>
      <c r="AC130" s="14" t="str">
        <f>IF(OR(T130="",E130=""),"",T130&amp;"|"&amp;E130)</f>
        <v/>
      </c>
      <c r="AD130" s="14" t="str">
        <f>IF(OR(U130="",E130=""),"",U130&amp;"|"&amp;E130)</f>
        <v/>
      </c>
      <c r="AE130" s="14" t="str">
        <f>IF(OR(V130="",E130=""),"",V130&amp;"|"&amp;E130)</f>
        <v/>
      </c>
      <c r="AF130" s="14">
        <f>IF(OR(D130="",E130=""),0,COUNTIF($AC$9:$AC$158,D130&amp;"|"&amp;E130)+COUNTIF($AD$9:$AD$158,D130&amp;"|"&amp;E130)+COUNTIF($AE$9:$AE$158,D130&amp;"|"&amp;E130))</f>
        <v>0</v>
      </c>
      <c r="AG130" s="14">
        <f>Z130+AA130+AB130+AF130</f>
        <v>0</v>
      </c>
      <c r="AH130" s="14" t="str">
        <f>IF(OR(D130="",E130=""),"",IFERROR(MATCH(D130&amp;"|"&amp;E130,$AC$9:$AC$158,0),""))</f>
        <v/>
      </c>
      <c r="AI130" s="14" t="str">
        <f>IF(OR(D130="",E130=""),"",IFERROR(MATCH(D130&amp;"|"&amp;E130,$AD$9:$AD$158,0),""))</f>
        <v/>
      </c>
      <c r="AJ130" s="14" t="str">
        <f>IF(OR(D130="",E130=""),"",IFERROR(MATCH(D130&amp;"|"&amp;E130,$AE$9:$AE$158,0),""))</f>
        <v/>
      </c>
      <c r="AK130" s="14" t="str">
        <f>IF(Z130=1,IFERROR(INDEX($F$9:$F$158,MATCH(T130,$D$9:$D$158,0)),"")&amp;"、","")&amp;IF(AA130=1,IFERROR(INDEX($F$9:$F$158,MATCH(U130,$D$9:$D$158,0)),"")&amp;"、","")&amp;IF(AB130=1,IFERROR(INDEX($F$9:$F$158,MATCH(V130,$D$9:$D$158,0)),"")&amp;"、","")</f>
        <v/>
      </c>
      <c r="AL130" s="14" t="str">
        <f>IF(OR(AH130=""),"",IF(OR(INDEX($D$9:$D$158,AH130)=T130,INDEX($D$9:$D$158,AH130)=U130,INDEX($D$9:$D$158,AH130)=V130),"",INDEX($F$9:$F$158,AH130)&amp;"、"))&amp;IF(OR(AI130="",AI130=AH130),"",IF(OR(INDEX($D$9:$D$158,AI130)=T130,INDEX($D$9:$D$158,AI130)=U130,INDEX($D$9:$D$158,AI130)=V130),"",INDEX($F$9:$F$158,AI130)&amp;"、"))&amp;IF(OR(AJ130="",AJ130=AH130,AJ130=AI130),"",IF(OR(INDEX($D$9:$D$158,AJ130)=T130,INDEX($D$9:$D$158,AJ130)=U130,INDEX($D$9:$D$158,AJ130)=V130),"",INDEX($F$9:$F$158,AJ130)&amp;"、"))</f>
        <v/>
      </c>
      <c r="AM130" s="14" t="str">
        <f>IF(T130="","",IFERROR(INDEX('①名簿入力'!$C$4:$C$153,MATCH(T130,'①名簿入力'!$A$4:$A$153,0)),"?")&amp;IF(W130="","","("&amp;W130&amp;"組)"))</f>
        <v/>
      </c>
      <c r="AN130" s="14" t="str">
        <f>IF(U130="","",IFERROR(INDEX('①名簿入力'!$C$4:$C$153,MATCH(U130,'①名簿入力'!$A$4:$A$153,0)),"?")&amp;IF(X130="","","("&amp;X130&amp;"組)"))</f>
        <v/>
      </c>
      <c r="AO130" s="14" t="str">
        <f>IF(V130="","",IFERROR(INDEX('①名簿入力'!$C$4:$C$153,MATCH(V130,'①名簿入力'!$A$4:$A$153,0)),"?")&amp;IF(Y130="","","("&amp;Y130&amp;"組)"))</f>
        <v/>
      </c>
      <c r="AP130" s="14">
        <f>IF(G130="男",1,IF(G130="女",2,3))</f>
        <v>3</v>
      </c>
      <c r="AQ130" s="14" t="str">
        <f>IF(OR(S130="",E130=""),"",IFERROR(IF('③クラス一覧'!$AD$6="番号順",0,AP130*1000000000)+D130,""))</f>
        <v/>
      </c>
      <c r="AR130" s="14" t="str">
        <f>IF(AQ130="","",COUNTIFS($E$9:$E$158,E130,$AQ$9:$AQ$158,"&lt;"&amp;AQ130)+1)</f>
        <v/>
      </c>
      <c r="AS130" s="14" t="str">
        <f>IF(AR130="","",E130&amp;"-"&amp;AR130)</f>
        <v/>
      </c>
      <c r="AT130" s="14" t="str">
        <f>IF(S130="","",IF(INDEX('①名簿入力'!$F$4:$F$153,S130)="","",INDEX('①名簿入力'!$F$4:$F$153,S130)))</f>
        <v/>
      </c>
      <c r="AU130" s="14" t="str">
        <f>IF(S130="","",IF(INDEX('①名簿入力'!$G$4:$G$153,S130)="","",INDEX('①名簿入力'!$G$4:$G$153,S130)))</f>
        <v/>
      </c>
      <c r="AV130" s="14" t="str">
        <f>IF(S130="","",IF(INDEX('①名簿入力'!$H$4:$H$153,S130)="","",INDEX('①名簿入力'!$H$4:$H$153,S130)))</f>
        <v/>
      </c>
      <c r="AW130" s="14" t="str">
        <f>IF(S130="","",IF(INDEX('①名簿入力'!$I$4:$I$153,S130)="","",INDEX('①名簿入力'!$I$4:$I$153,S130)))</f>
        <v/>
      </c>
      <c r="AX130" s="14" t="str">
        <f>IF(S130="","",IF(INDEX('①名簿入力'!$J$4:$J$153,S130)="","",INDEX('①名簿入力'!$J$4:$J$153,S130)))</f>
        <v/>
      </c>
    </row>
    <row r="131">
      <c r="A131" s="23" t="str">
        <f>IF('①名簿入力'!A126="","",'①名簿入力'!A126)</f>
        <v/>
      </c>
      <c r="B131" s="23" t="str">
        <f>IF(A131="","",'①名簿入力'!U126)</f>
        <v/>
      </c>
      <c r="D131" s="8" t="n"/>
      <c r="E131" s="24" t="n"/>
      <c r="F131" s="25" t="str">
        <f>IF(D131="","",IF(S131="","（名簿にない番号）",INDEX('①名簿入力'!$C$4:$C$153,S131)&amp;""))</f>
        <v/>
      </c>
      <c r="G131" s="13" t="str">
        <f>IF(S131="","",INDEX('①名簿入力'!$E$4:$E$153,S131)&amp;"")</f>
        <v/>
      </c>
      <c r="H131" s="13" t="str">
        <f>IF(S131="","",IF(INDEX('①名簿入力'!$B$4:$B$153,S131)="","",INDEX('①名簿入力'!$B$4:$B$153,S131)))</f>
        <v/>
      </c>
      <c r="I131" s="10" t="str">
        <f>IF(S131="","",IF(INDEX('①名簿入力'!$K$4:$K$153,S131)="","",INDEX('①名簿入力'!$K$4:$K$153,S131)))</f>
        <v/>
      </c>
      <c r="J131" s="10" t="str">
        <f>IF(S131="","",IF(INDEX('①名簿入力'!$L$4:$L$153,S131)="","",INDEX('①名簿入力'!$L$4:$L$153,S131)))</f>
        <v/>
      </c>
      <c r="K131" s="13" t="str">
        <f>IF(S131="","",IF(INDEX('①名簿入力'!$Y$4:$Y$153,S131)=1,"〇",""))</f>
        <v/>
      </c>
      <c r="L131" s="13" t="str">
        <f>IF(S131="","",IF(INDEX('①名簿入力'!$Z$4:$Z$153,S131)=1,"〇",""))</f>
        <v/>
      </c>
      <c r="M131" s="13" t="str">
        <f>IF(S131="","",IF(INDEX('①名簿入力'!$AA$4:$AA$153,S131)=1,"〇",""))</f>
        <v/>
      </c>
      <c r="N131" s="13" t="str">
        <f>IF(S131="","",IF(INDEX('①名簿入力'!$AB$4:$AB$153,S131)=1,"〇",""))</f>
        <v/>
      </c>
      <c r="O131" s="25" t="str">
        <f>AM131&amp;IF(AND(AM131&lt;&gt;"",AN131&lt;&gt;""),"、","")&amp;AN131&amp;IF(AND(AM131&amp;AN131&lt;&gt;"",AO131&lt;&gt;""),"、","")&amp;AO131</f>
        <v/>
      </c>
      <c r="P131" s="25" t="str">
        <f>IF(AG131=0,"",IF(AK131&amp;AL131="","⚠",LEFT(AK131&amp;AL131,LEN(AK131&amp;AL131)-1)))</f>
        <v/>
      </c>
      <c r="Q131" s="25" t="str">
        <f>IF(S131="","",INDEX('①名簿入力'!$T$4:$T$153,S131)&amp;"")</f>
        <v/>
      </c>
      <c r="S131" s="14" t="str">
        <f>IF(D131="","",IFERROR(MATCH(D131,'①名簿入力'!$A$4:$A$153,0),""))</f>
        <v/>
      </c>
      <c r="T131" s="14" t="str">
        <f>IF(S131="","",IF(INDEX('①名簿入力'!$AG$4:$AG$153,S131)=D131,"",INDEX('①名簿入力'!$AG$4:$AG$153,S131)))</f>
        <v/>
      </c>
      <c r="U131" s="14" t="str">
        <f>IF(S131="","",IF(INDEX('①名簿入力'!$AH$4:$AH$153,S131)=D131,"",INDEX('①名簿入力'!$AH$4:$AH$153,S131)))</f>
        <v/>
      </c>
      <c r="V131" s="14" t="str">
        <f>IF(S131="","",IF(INDEX('①名簿入力'!$AI$4:$AI$153,S131)=D131,"",INDEX('①名簿入力'!$AI$4:$AI$153,S131)))</f>
        <v/>
      </c>
      <c r="W131" s="14" t="str">
        <f>IF(T131="","",IFERROR(IF(INDEX($E$9:$E$158,MATCH(T131,$D$9:$D$158,0))="","",INDEX($E$9:$E$158,MATCH(T131,$D$9:$D$158,0))),""))</f>
        <v/>
      </c>
      <c r="X131" s="14" t="str">
        <f>IF(U131="","",IFERROR(IF(INDEX($E$9:$E$158,MATCH(U131,$D$9:$D$158,0))="","",INDEX($E$9:$E$158,MATCH(U131,$D$9:$D$158,0))),""))</f>
        <v/>
      </c>
      <c r="Y131" s="14" t="str">
        <f>IF(V131="","",IFERROR(IF(INDEX($E$9:$E$158,MATCH(V131,$D$9:$D$158,0))="","",INDEX($E$9:$E$158,MATCH(V131,$D$9:$D$158,0))),""))</f>
        <v/>
      </c>
      <c r="Z131" s="14">
        <f>IF(AND(T131&lt;&gt;"",W131&lt;&gt;"",E131&lt;&gt;""),IF(W131=E131,1,0),0)</f>
        <v>0</v>
      </c>
      <c r="AA131" s="14">
        <f>IF(AND(U131&lt;&gt;"",X131&lt;&gt;"",E131&lt;&gt;""),IF(X131=E131,1,0),0)</f>
        <v>0</v>
      </c>
      <c r="AB131" s="14">
        <f>IF(AND(V131&lt;&gt;"",Y131&lt;&gt;"",E131&lt;&gt;""),IF(Y131=E131,1,0),0)</f>
        <v>0</v>
      </c>
      <c r="AC131" s="14" t="str">
        <f>IF(OR(T131="",E131=""),"",T131&amp;"|"&amp;E131)</f>
        <v/>
      </c>
      <c r="AD131" s="14" t="str">
        <f>IF(OR(U131="",E131=""),"",U131&amp;"|"&amp;E131)</f>
        <v/>
      </c>
      <c r="AE131" s="14" t="str">
        <f>IF(OR(V131="",E131=""),"",V131&amp;"|"&amp;E131)</f>
        <v/>
      </c>
      <c r="AF131" s="14">
        <f>IF(OR(D131="",E131=""),0,COUNTIF($AC$9:$AC$158,D131&amp;"|"&amp;E131)+COUNTIF($AD$9:$AD$158,D131&amp;"|"&amp;E131)+COUNTIF($AE$9:$AE$158,D131&amp;"|"&amp;E131))</f>
        <v>0</v>
      </c>
      <c r="AG131" s="14">
        <f>Z131+AA131+AB131+AF131</f>
        <v>0</v>
      </c>
      <c r="AH131" s="14" t="str">
        <f>IF(OR(D131="",E131=""),"",IFERROR(MATCH(D131&amp;"|"&amp;E131,$AC$9:$AC$158,0),""))</f>
        <v/>
      </c>
      <c r="AI131" s="14" t="str">
        <f>IF(OR(D131="",E131=""),"",IFERROR(MATCH(D131&amp;"|"&amp;E131,$AD$9:$AD$158,0),""))</f>
        <v/>
      </c>
      <c r="AJ131" s="14" t="str">
        <f>IF(OR(D131="",E131=""),"",IFERROR(MATCH(D131&amp;"|"&amp;E131,$AE$9:$AE$158,0),""))</f>
        <v/>
      </c>
      <c r="AK131" s="14" t="str">
        <f>IF(Z131=1,IFERROR(INDEX($F$9:$F$158,MATCH(T131,$D$9:$D$158,0)),"")&amp;"、","")&amp;IF(AA131=1,IFERROR(INDEX($F$9:$F$158,MATCH(U131,$D$9:$D$158,0)),"")&amp;"、","")&amp;IF(AB131=1,IFERROR(INDEX($F$9:$F$158,MATCH(V131,$D$9:$D$158,0)),"")&amp;"、","")</f>
        <v/>
      </c>
      <c r="AL131" s="14" t="str">
        <f>IF(OR(AH131=""),"",IF(OR(INDEX($D$9:$D$158,AH131)=T131,INDEX($D$9:$D$158,AH131)=U131,INDEX($D$9:$D$158,AH131)=V131),"",INDEX($F$9:$F$158,AH131)&amp;"、"))&amp;IF(OR(AI131="",AI131=AH131),"",IF(OR(INDEX($D$9:$D$158,AI131)=T131,INDEX($D$9:$D$158,AI131)=U131,INDEX($D$9:$D$158,AI131)=V131),"",INDEX($F$9:$F$158,AI131)&amp;"、"))&amp;IF(OR(AJ131="",AJ131=AH131,AJ131=AI131),"",IF(OR(INDEX($D$9:$D$158,AJ131)=T131,INDEX($D$9:$D$158,AJ131)=U131,INDEX($D$9:$D$158,AJ131)=V131),"",INDEX($F$9:$F$158,AJ131)&amp;"、"))</f>
        <v/>
      </c>
      <c r="AM131" s="14" t="str">
        <f>IF(T131="","",IFERROR(INDEX('①名簿入力'!$C$4:$C$153,MATCH(T131,'①名簿入力'!$A$4:$A$153,0)),"?")&amp;IF(W131="","","("&amp;W131&amp;"組)"))</f>
        <v/>
      </c>
      <c r="AN131" s="14" t="str">
        <f>IF(U131="","",IFERROR(INDEX('①名簿入力'!$C$4:$C$153,MATCH(U131,'①名簿入力'!$A$4:$A$153,0)),"?")&amp;IF(X131="","","("&amp;X131&amp;"組)"))</f>
        <v/>
      </c>
      <c r="AO131" s="14" t="str">
        <f>IF(V131="","",IFERROR(INDEX('①名簿入力'!$C$4:$C$153,MATCH(V131,'①名簿入力'!$A$4:$A$153,0)),"?")&amp;IF(Y131="","","("&amp;Y131&amp;"組)"))</f>
        <v/>
      </c>
      <c r="AP131" s="14">
        <f>IF(G131="男",1,IF(G131="女",2,3))</f>
        <v>3</v>
      </c>
      <c r="AQ131" s="14" t="str">
        <f>IF(OR(S131="",E131=""),"",IFERROR(IF('③クラス一覧'!$AD$6="番号順",0,AP131*1000000000)+D131,""))</f>
        <v/>
      </c>
      <c r="AR131" s="14" t="str">
        <f>IF(AQ131="","",COUNTIFS($E$9:$E$158,E131,$AQ$9:$AQ$158,"&lt;"&amp;AQ131)+1)</f>
        <v/>
      </c>
      <c r="AS131" s="14" t="str">
        <f>IF(AR131="","",E131&amp;"-"&amp;AR131)</f>
        <v/>
      </c>
      <c r="AT131" s="14" t="str">
        <f>IF(S131="","",IF(INDEX('①名簿入力'!$F$4:$F$153,S131)="","",INDEX('①名簿入力'!$F$4:$F$153,S131)))</f>
        <v/>
      </c>
      <c r="AU131" s="14" t="str">
        <f>IF(S131="","",IF(INDEX('①名簿入力'!$G$4:$G$153,S131)="","",INDEX('①名簿入力'!$G$4:$G$153,S131)))</f>
        <v/>
      </c>
      <c r="AV131" s="14" t="str">
        <f>IF(S131="","",IF(INDEX('①名簿入力'!$H$4:$H$153,S131)="","",INDEX('①名簿入力'!$H$4:$H$153,S131)))</f>
        <v/>
      </c>
      <c r="AW131" s="14" t="str">
        <f>IF(S131="","",IF(INDEX('①名簿入力'!$I$4:$I$153,S131)="","",INDEX('①名簿入力'!$I$4:$I$153,S131)))</f>
        <v/>
      </c>
      <c r="AX131" s="14" t="str">
        <f>IF(S131="","",IF(INDEX('①名簿入力'!$J$4:$J$153,S131)="","",INDEX('①名簿入力'!$J$4:$J$153,S131)))</f>
        <v/>
      </c>
    </row>
    <row r="132">
      <c r="A132" s="23" t="str">
        <f>IF('①名簿入力'!A127="","",'①名簿入力'!A127)</f>
        <v/>
      </c>
      <c r="B132" s="23" t="str">
        <f>IF(A132="","",'①名簿入力'!U127)</f>
        <v/>
      </c>
      <c r="D132" s="8" t="n"/>
      <c r="E132" s="24" t="n"/>
      <c r="F132" s="25" t="str">
        <f>IF(D132="","",IF(S132="","（名簿にない番号）",INDEX('①名簿入力'!$C$4:$C$153,S132)&amp;""))</f>
        <v/>
      </c>
      <c r="G132" s="13" t="str">
        <f>IF(S132="","",INDEX('①名簿入力'!$E$4:$E$153,S132)&amp;"")</f>
        <v/>
      </c>
      <c r="H132" s="13" t="str">
        <f>IF(S132="","",IF(INDEX('①名簿入力'!$B$4:$B$153,S132)="","",INDEX('①名簿入力'!$B$4:$B$153,S132)))</f>
        <v/>
      </c>
      <c r="I132" s="10" t="str">
        <f>IF(S132="","",IF(INDEX('①名簿入力'!$K$4:$K$153,S132)="","",INDEX('①名簿入力'!$K$4:$K$153,S132)))</f>
        <v/>
      </c>
      <c r="J132" s="10" t="str">
        <f>IF(S132="","",IF(INDEX('①名簿入力'!$L$4:$L$153,S132)="","",INDEX('①名簿入力'!$L$4:$L$153,S132)))</f>
        <v/>
      </c>
      <c r="K132" s="13" t="str">
        <f>IF(S132="","",IF(INDEX('①名簿入力'!$Y$4:$Y$153,S132)=1,"〇",""))</f>
        <v/>
      </c>
      <c r="L132" s="13" t="str">
        <f>IF(S132="","",IF(INDEX('①名簿入力'!$Z$4:$Z$153,S132)=1,"〇",""))</f>
        <v/>
      </c>
      <c r="M132" s="13" t="str">
        <f>IF(S132="","",IF(INDEX('①名簿入力'!$AA$4:$AA$153,S132)=1,"〇",""))</f>
        <v/>
      </c>
      <c r="N132" s="13" t="str">
        <f>IF(S132="","",IF(INDEX('①名簿入力'!$AB$4:$AB$153,S132)=1,"〇",""))</f>
        <v/>
      </c>
      <c r="O132" s="25" t="str">
        <f>AM132&amp;IF(AND(AM132&lt;&gt;"",AN132&lt;&gt;""),"、","")&amp;AN132&amp;IF(AND(AM132&amp;AN132&lt;&gt;"",AO132&lt;&gt;""),"、","")&amp;AO132</f>
        <v/>
      </c>
      <c r="P132" s="25" t="str">
        <f>IF(AG132=0,"",IF(AK132&amp;AL132="","⚠",LEFT(AK132&amp;AL132,LEN(AK132&amp;AL132)-1)))</f>
        <v/>
      </c>
      <c r="Q132" s="25" t="str">
        <f>IF(S132="","",INDEX('①名簿入力'!$T$4:$T$153,S132)&amp;"")</f>
        <v/>
      </c>
      <c r="S132" s="14" t="str">
        <f>IF(D132="","",IFERROR(MATCH(D132,'①名簿入力'!$A$4:$A$153,0),""))</f>
        <v/>
      </c>
      <c r="T132" s="14" t="str">
        <f>IF(S132="","",IF(INDEX('①名簿入力'!$AG$4:$AG$153,S132)=D132,"",INDEX('①名簿入力'!$AG$4:$AG$153,S132)))</f>
        <v/>
      </c>
      <c r="U132" s="14" t="str">
        <f>IF(S132="","",IF(INDEX('①名簿入力'!$AH$4:$AH$153,S132)=D132,"",INDEX('①名簿入力'!$AH$4:$AH$153,S132)))</f>
        <v/>
      </c>
      <c r="V132" s="14" t="str">
        <f>IF(S132="","",IF(INDEX('①名簿入力'!$AI$4:$AI$153,S132)=D132,"",INDEX('①名簿入力'!$AI$4:$AI$153,S132)))</f>
        <v/>
      </c>
      <c r="W132" s="14" t="str">
        <f>IF(T132="","",IFERROR(IF(INDEX($E$9:$E$158,MATCH(T132,$D$9:$D$158,0))="","",INDEX($E$9:$E$158,MATCH(T132,$D$9:$D$158,0))),""))</f>
        <v/>
      </c>
      <c r="X132" s="14" t="str">
        <f>IF(U132="","",IFERROR(IF(INDEX($E$9:$E$158,MATCH(U132,$D$9:$D$158,0))="","",INDEX($E$9:$E$158,MATCH(U132,$D$9:$D$158,0))),""))</f>
        <v/>
      </c>
      <c r="Y132" s="14" t="str">
        <f>IF(V132="","",IFERROR(IF(INDEX($E$9:$E$158,MATCH(V132,$D$9:$D$158,0))="","",INDEX($E$9:$E$158,MATCH(V132,$D$9:$D$158,0))),""))</f>
        <v/>
      </c>
      <c r="Z132" s="14">
        <f>IF(AND(T132&lt;&gt;"",W132&lt;&gt;"",E132&lt;&gt;""),IF(W132=E132,1,0),0)</f>
        <v>0</v>
      </c>
      <c r="AA132" s="14">
        <f>IF(AND(U132&lt;&gt;"",X132&lt;&gt;"",E132&lt;&gt;""),IF(X132=E132,1,0),0)</f>
        <v>0</v>
      </c>
      <c r="AB132" s="14">
        <f>IF(AND(V132&lt;&gt;"",Y132&lt;&gt;"",E132&lt;&gt;""),IF(Y132=E132,1,0),0)</f>
        <v>0</v>
      </c>
      <c r="AC132" s="14" t="str">
        <f>IF(OR(T132="",E132=""),"",T132&amp;"|"&amp;E132)</f>
        <v/>
      </c>
      <c r="AD132" s="14" t="str">
        <f>IF(OR(U132="",E132=""),"",U132&amp;"|"&amp;E132)</f>
        <v/>
      </c>
      <c r="AE132" s="14" t="str">
        <f>IF(OR(V132="",E132=""),"",V132&amp;"|"&amp;E132)</f>
        <v/>
      </c>
      <c r="AF132" s="14">
        <f>IF(OR(D132="",E132=""),0,COUNTIF($AC$9:$AC$158,D132&amp;"|"&amp;E132)+COUNTIF($AD$9:$AD$158,D132&amp;"|"&amp;E132)+COUNTIF($AE$9:$AE$158,D132&amp;"|"&amp;E132))</f>
        <v>0</v>
      </c>
      <c r="AG132" s="14">
        <f>Z132+AA132+AB132+AF132</f>
        <v>0</v>
      </c>
      <c r="AH132" s="14" t="str">
        <f>IF(OR(D132="",E132=""),"",IFERROR(MATCH(D132&amp;"|"&amp;E132,$AC$9:$AC$158,0),""))</f>
        <v/>
      </c>
      <c r="AI132" s="14" t="str">
        <f>IF(OR(D132="",E132=""),"",IFERROR(MATCH(D132&amp;"|"&amp;E132,$AD$9:$AD$158,0),""))</f>
        <v/>
      </c>
      <c r="AJ132" s="14" t="str">
        <f>IF(OR(D132="",E132=""),"",IFERROR(MATCH(D132&amp;"|"&amp;E132,$AE$9:$AE$158,0),""))</f>
        <v/>
      </c>
      <c r="AK132" s="14" t="str">
        <f>IF(Z132=1,IFERROR(INDEX($F$9:$F$158,MATCH(T132,$D$9:$D$158,0)),"")&amp;"、","")&amp;IF(AA132=1,IFERROR(INDEX($F$9:$F$158,MATCH(U132,$D$9:$D$158,0)),"")&amp;"、","")&amp;IF(AB132=1,IFERROR(INDEX($F$9:$F$158,MATCH(V132,$D$9:$D$158,0)),"")&amp;"、","")</f>
        <v/>
      </c>
      <c r="AL132" s="14" t="str">
        <f>IF(OR(AH132=""),"",IF(OR(INDEX($D$9:$D$158,AH132)=T132,INDEX($D$9:$D$158,AH132)=U132,INDEX($D$9:$D$158,AH132)=V132),"",INDEX($F$9:$F$158,AH132)&amp;"、"))&amp;IF(OR(AI132="",AI132=AH132),"",IF(OR(INDEX($D$9:$D$158,AI132)=T132,INDEX($D$9:$D$158,AI132)=U132,INDEX($D$9:$D$158,AI132)=V132),"",INDEX($F$9:$F$158,AI132)&amp;"、"))&amp;IF(OR(AJ132="",AJ132=AH132,AJ132=AI132),"",IF(OR(INDEX($D$9:$D$158,AJ132)=T132,INDEX($D$9:$D$158,AJ132)=U132,INDEX($D$9:$D$158,AJ132)=V132),"",INDEX($F$9:$F$158,AJ132)&amp;"、"))</f>
        <v/>
      </c>
      <c r="AM132" s="14" t="str">
        <f>IF(T132="","",IFERROR(INDEX('①名簿入力'!$C$4:$C$153,MATCH(T132,'①名簿入力'!$A$4:$A$153,0)),"?")&amp;IF(W132="","","("&amp;W132&amp;"組)"))</f>
        <v/>
      </c>
      <c r="AN132" s="14" t="str">
        <f>IF(U132="","",IFERROR(INDEX('①名簿入力'!$C$4:$C$153,MATCH(U132,'①名簿入力'!$A$4:$A$153,0)),"?")&amp;IF(X132="","","("&amp;X132&amp;"組)"))</f>
        <v/>
      </c>
      <c r="AO132" s="14" t="str">
        <f>IF(V132="","",IFERROR(INDEX('①名簿入力'!$C$4:$C$153,MATCH(V132,'①名簿入力'!$A$4:$A$153,0)),"?")&amp;IF(Y132="","","("&amp;Y132&amp;"組)"))</f>
        <v/>
      </c>
      <c r="AP132" s="14">
        <f>IF(G132="男",1,IF(G132="女",2,3))</f>
        <v>3</v>
      </c>
      <c r="AQ132" s="14" t="str">
        <f>IF(OR(S132="",E132=""),"",IFERROR(IF('③クラス一覧'!$AD$6="番号順",0,AP132*1000000000)+D132,""))</f>
        <v/>
      </c>
      <c r="AR132" s="14" t="str">
        <f>IF(AQ132="","",COUNTIFS($E$9:$E$158,E132,$AQ$9:$AQ$158,"&lt;"&amp;AQ132)+1)</f>
        <v/>
      </c>
      <c r="AS132" s="14" t="str">
        <f>IF(AR132="","",E132&amp;"-"&amp;AR132)</f>
        <v/>
      </c>
      <c r="AT132" s="14" t="str">
        <f>IF(S132="","",IF(INDEX('①名簿入力'!$F$4:$F$153,S132)="","",INDEX('①名簿入力'!$F$4:$F$153,S132)))</f>
        <v/>
      </c>
      <c r="AU132" s="14" t="str">
        <f>IF(S132="","",IF(INDEX('①名簿入力'!$G$4:$G$153,S132)="","",INDEX('①名簿入力'!$G$4:$G$153,S132)))</f>
        <v/>
      </c>
      <c r="AV132" s="14" t="str">
        <f>IF(S132="","",IF(INDEX('①名簿入力'!$H$4:$H$153,S132)="","",INDEX('①名簿入力'!$H$4:$H$153,S132)))</f>
        <v/>
      </c>
      <c r="AW132" s="14" t="str">
        <f>IF(S132="","",IF(INDEX('①名簿入力'!$I$4:$I$153,S132)="","",INDEX('①名簿入力'!$I$4:$I$153,S132)))</f>
        <v/>
      </c>
      <c r="AX132" s="14" t="str">
        <f>IF(S132="","",IF(INDEX('①名簿入力'!$J$4:$J$153,S132)="","",INDEX('①名簿入力'!$J$4:$J$153,S132)))</f>
        <v/>
      </c>
    </row>
    <row r="133">
      <c r="A133" s="23" t="str">
        <f>IF('①名簿入力'!A128="","",'①名簿入力'!A128)</f>
        <v/>
      </c>
      <c r="B133" s="23" t="str">
        <f>IF(A133="","",'①名簿入力'!U128)</f>
        <v/>
      </c>
      <c r="D133" s="8" t="n"/>
      <c r="E133" s="24" t="n"/>
      <c r="F133" s="25" t="str">
        <f>IF(D133="","",IF(S133="","（名簿にない番号）",INDEX('①名簿入力'!$C$4:$C$153,S133)&amp;""))</f>
        <v/>
      </c>
      <c r="G133" s="13" t="str">
        <f>IF(S133="","",INDEX('①名簿入力'!$E$4:$E$153,S133)&amp;"")</f>
        <v/>
      </c>
      <c r="H133" s="13" t="str">
        <f>IF(S133="","",IF(INDEX('①名簿入力'!$B$4:$B$153,S133)="","",INDEX('①名簿入力'!$B$4:$B$153,S133)))</f>
        <v/>
      </c>
      <c r="I133" s="10" t="str">
        <f>IF(S133="","",IF(INDEX('①名簿入力'!$K$4:$K$153,S133)="","",INDEX('①名簿入力'!$K$4:$K$153,S133)))</f>
        <v/>
      </c>
      <c r="J133" s="10" t="str">
        <f>IF(S133="","",IF(INDEX('①名簿入力'!$L$4:$L$153,S133)="","",INDEX('①名簿入力'!$L$4:$L$153,S133)))</f>
        <v/>
      </c>
      <c r="K133" s="13" t="str">
        <f>IF(S133="","",IF(INDEX('①名簿入力'!$Y$4:$Y$153,S133)=1,"〇",""))</f>
        <v/>
      </c>
      <c r="L133" s="13" t="str">
        <f>IF(S133="","",IF(INDEX('①名簿入力'!$Z$4:$Z$153,S133)=1,"〇",""))</f>
        <v/>
      </c>
      <c r="M133" s="13" t="str">
        <f>IF(S133="","",IF(INDEX('①名簿入力'!$AA$4:$AA$153,S133)=1,"〇",""))</f>
        <v/>
      </c>
      <c r="N133" s="13" t="str">
        <f>IF(S133="","",IF(INDEX('①名簿入力'!$AB$4:$AB$153,S133)=1,"〇",""))</f>
        <v/>
      </c>
      <c r="O133" s="25" t="str">
        <f>AM133&amp;IF(AND(AM133&lt;&gt;"",AN133&lt;&gt;""),"、","")&amp;AN133&amp;IF(AND(AM133&amp;AN133&lt;&gt;"",AO133&lt;&gt;""),"、","")&amp;AO133</f>
        <v/>
      </c>
      <c r="P133" s="25" t="str">
        <f>IF(AG133=0,"",IF(AK133&amp;AL133="","⚠",LEFT(AK133&amp;AL133,LEN(AK133&amp;AL133)-1)))</f>
        <v/>
      </c>
      <c r="Q133" s="25" t="str">
        <f>IF(S133="","",INDEX('①名簿入力'!$T$4:$T$153,S133)&amp;"")</f>
        <v/>
      </c>
      <c r="S133" s="14" t="str">
        <f>IF(D133="","",IFERROR(MATCH(D133,'①名簿入力'!$A$4:$A$153,0),""))</f>
        <v/>
      </c>
      <c r="T133" s="14" t="str">
        <f>IF(S133="","",IF(INDEX('①名簿入力'!$AG$4:$AG$153,S133)=D133,"",INDEX('①名簿入力'!$AG$4:$AG$153,S133)))</f>
        <v/>
      </c>
      <c r="U133" s="14" t="str">
        <f>IF(S133="","",IF(INDEX('①名簿入力'!$AH$4:$AH$153,S133)=D133,"",INDEX('①名簿入力'!$AH$4:$AH$153,S133)))</f>
        <v/>
      </c>
      <c r="V133" s="14" t="str">
        <f>IF(S133="","",IF(INDEX('①名簿入力'!$AI$4:$AI$153,S133)=D133,"",INDEX('①名簿入力'!$AI$4:$AI$153,S133)))</f>
        <v/>
      </c>
      <c r="W133" s="14" t="str">
        <f>IF(T133="","",IFERROR(IF(INDEX($E$9:$E$158,MATCH(T133,$D$9:$D$158,0))="","",INDEX($E$9:$E$158,MATCH(T133,$D$9:$D$158,0))),""))</f>
        <v/>
      </c>
      <c r="X133" s="14" t="str">
        <f>IF(U133="","",IFERROR(IF(INDEX($E$9:$E$158,MATCH(U133,$D$9:$D$158,0))="","",INDEX($E$9:$E$158,MATCH(U133,$D$9:$D$158,0))),""))</f>
        <v/>
      </c>
      <c r="Y133" s="14" t="str">
        <f>IF(V133="","",IFERROR(IF(INDEX($E$9:$E$158,MATCH(V133,$D$9:$D$158,0))="","",INDEX($E$9:$E$158,MATCH(V133,$D$9:$D$158,0))),""))</f>
        <v/>
      </c>
      <c r="Z133" s="14">
        <f>IF(AND(T133&lt;&gt;"",W133&lt;&gt;"",E133&lt;&gt;""),IF(W133=E133,1,0),0)</f>
        <v>0</v>
      </c>
      <c r="AA133" s="14">
        <f>IF(AND(U133&lt;&gt;"",X133&lt;&gt;"",E133&lt;&gt;""),IF(X133=E133,1,0),0)</f>
        <v>0</v>
      </c>
      <c r="AB133" s="14">
        <f>IF(AND(V133&lt;&gt;"",Y133&lt;&gt;"",E133&lt;&gt;""),IF(Y133=E133,1,0),0)</f>
        <v>0</v>
      </c>
      <c r="AC133" s="14" t="str">
        <f>IF(OR(T133="",E133=""),"",T133&amp;"|"&amp;E133)</f>
        <v/>
      </c>
      <c r="AD133" s="14" t="str">
        <f>IF(OR(U133="",E133=""),"",U133&amp;"|"&amp;E133)</f>
        <v/>
      </c>
      <c r="AE133" s="14" t="str">
        <f>IF(OR(V133="",E133=""),"",V133&amp;"|"&amp;E133)</f>
        <v/>
      </c>
      <c r="AF133" s="14">
        <f>IF(OR(D133="",E133=""),0,COUNTIF($AC$9:$AC$158,D133&amp;"|"&amp;E133)+COUNTIF($AD$9:$AD$158,D133&amp;"|"&amp;E133)+COUNTIF($AE$9:$AE$158,D133&amp;"|"&amp;E133))</f>
        <v>0</v>
      </c>
      <c r="AG133" s="14">
        <f>Z133+AA133+AB133+AF133</f>
        <v>0</v>
      </c>
      <c r="AH133" s="14" t="str">
        <f>IF(OR(D133="",E133=""),"",IFERROR(MATCH(D133&amp;"|"&amp;E133,$AC$9:$AC$158,0),""))</f>
        <v/>
      </c>
      <c r="AI133" s="14" t="str">
        <f>IF(OR(D133="",E133=""),"",IFERROR(MATCH(D133&amp;"|"&amp;E133,$AD$9:$AD$158,0),""))</f>
        <v/>
      </c>
      <c r="AJ133" s="14" t="str">
        <f>IF(OR(D133="",E133=""),"",IFERROR(MATCH(D133&amp;"|"&amp;E133,$AE$9:$AE$158,0),""))</f>
        <v/>
      </c>
      <c r="AK133" s="14" t="str">
        <f>IF(Z133=1,IFERROR(INDEX($F$9:$F$158,MATCH(T133,$D$9:$D$158,0)),"")&amp;"、","")&amp;IF(AA133=1,IFERROR(INDEX($F$9:$F$158,MATCH(U133,$D$9:$D$158,0)),"")&amp;"、","")&amp;IF(AB133=1,IFERROR(INDEX($F$9:$F$158,MATCH(V133,$D$9:$D$158,0)),"")&amp;"、","")</f>
        <v/>
      </c>
      <c r="AL133" s="14" t="str">
        <f>IF(OR(AH133=""),"",IF(OR(INDEX($D$9:$D$158,AH133)=T133,INDEX($D$9:$D$158,AH133)=U133,INDEX($D$9:$D$158,AH133)=V133),"",INDEX($F$9:$F$158,AH133)&amp;"、"))&amp;IF(OR(AI133="",AI133=AH133),"",IF(OR(INDEX($D$9:$D$158,AI133)=T133,INDEX($D$9:$D$158,AI133)=U133,INDEX($D$9:$D$158,AI133)=V133),"",INDEX($F$9:$F$158,AI133)&amp;"、"))&amp;IF(OR(AJ133="",AJ133=AH133,AJ133=AI133),"",IF(OR(INDEX($D$9:$D$158,AJ133)=T133,INDEX($D$9:$D$158,AJ133)=U133,INDEX($D$9:$D$158,AJ133)=V133),"",INDEX($F$9:$F$158,AJ133)&amp;"、"))</f>
        <v/>
      </c>
      <c r="AM133" s="14" t="str">
        <f>IF(T133="","",IFERROR(INDEX('①名簿入力'!$C$4:$C$153,MATCH(T133,'①名簿入力'!$A$4:$A$153,0)),"?")&amp;IF(W133="","","("&amp;W133&amp;"組)"))</f>
        <v/>
      </c>
      <c r="AN133" s="14" t="str">
        <f>IF(U133="","",IFERROR(INDEX('①名簿入力'!$C$4:$C$153,MATCH(U133,'①名簿入力'!$A$4:$A$153,0)),"?")&amp;IF(X133="","","("&amp;X133&amp;"組)"))</f>
        <v/>
      </c>
      <c r="AO133" s="14" t="str">
        <f>IF(V133="","",IFERROR(INDEX('①名簿入力'!$C$4:$C$153,MATCH(V133,'①名簿入力'!$A$4:$A$153,0)),"?")&amp;IF(Y133="","","("&amp;Y133&amp;"組)"))</f>
        <v/>
      </c>
      <c r="AP133" s="14">
        <f>IF(G133="男",1,IF(G133="女",2,3))</f>
        <v>3</v>
      </c>
      <c r="AQ133" s="14" t="str">
        <f>IF(OR(S133="",E133=""),"",IFERROR(IF('③クラス一覧'!$AD$6="番号順",0,AP133*1000000000)+D133,""))</f>
        <v/>
      </c>
      <c r="AR133" s="14" t="str">
        <f>IF(AQ133="","",COUNTIFS($E$9:$E$158,E133,$AQ$9:$AQ$158,"&lt;"&amp;AQ133)+1)</f>
        <v/>
      </c>
      <c r="AS133" s="14" t="str">
        <f>IF(AR133="","",E133&amp;"-"&amp;AR133)</f>
        <v/>
      </c>
      <c r="AT133" s="14" t="str">
        <f>IF(S133="","",IF(INDEX('①名簿入力'!$F$4:$F$153,S133)="","",INDEX('①名簿入力'!$F$4:$F$153,S133)))</f>
        <v/>
      </c>
      <c r="AU133" s="14" t="str">
        <f>IF(S133="","",IF(INDEX('①名簿入力'!$G$4:$G$153,S133)="","",INDEX('①名簿入力'!$G$4:$G$153,S133)))</f>
        <v/>
      </c>
      <c r="AV133" s="14" t="str">
        <f>IF(S133="","",IF(INDEX('①名簿入力'!$H$4:$H$153,S133)="","",INDEX('①名簿入力'!$H$4:$H$153,S133)))</f>
        <v/>
      </c>
      <c r="AW133" s="14" t="str">
        <f>IF(S133="","",IF(INDEX('①名簿入力'!$I$4:$I$153,S133)="","",INDEX('①名簿入力'!$I$4:$I$153,S133)))</f>
        <v/>
      </c>
      <c r="AX133" s="14" t="str">
        <f>IF(S133="","",IF(INDEX('①名簿入力'!$J$4:$J$153,S133)="","",INDEX('①名簿入力'!$J$4:$J$153,S133)))</f>
        <v/>
      </c>
    </row>
    <row r="134">
      <c r="A134" s="23" t="str">
        <f>IF('①名簿入力'!A129="","",'①名簿入力'!A129)</f>
        <v/>
      </c>
      <c r="B134" s="23" t="str">
        <f>IF(A134="","",'①名簿入力'!U129)</f>
        <v/>
      </c>
      <c r="D134" s="8" t="n"/>
      <c r="E134" s="24" t="n"/>
      <c r="F134" s="25" t="str">
        <f>IF(D134="","",IF(S134="","（名簿にない番号）",INDEX('①名簿入力'!$C$4:$C$153,S134)&amp;""))</f>
        <v/>
      </c>
      <c r="G134" s="13" t="str">
        <f>IF(S134="","",INDEX('①名簿入力'!$E$4:$E$153,S134)&amp;"")</f>
        <v/>
      </c>
      <c r="H134" s="13" t="str">
        <f>IF(S134="","",IF(INDEX('①名簿入力'!$B$4:$B$153,S134)="","",INDEX('①名簿入力'!$B$4:$B$153,S134)))</f>
        <v/>
      </c>
      <c r="I134" s="10" t="str">
        <f>IF(S134="","",IF(INDEX('①名簿入力'!$K$4:$K$153,S134)="","",INDEX('①名簿入力'!$K$4:$K$153,S134)))</f>
        <v/>
      </c>
      <c r="J134" s="10" t="str">
        <f>IF(S134="","",IF(INDEX('①名簿入力'!$L$4:$L$153,S134)="","",INDEX('①名簿入力'!$L$4:$L$153,S134)))</f>
        <v/>
      </c>
      <c r="K134" s="13" t="str">
        <f>IF(S134="","",IF(INDEX('①名簿入力'!$Y$4:$Y$153,S134)=1,"〇",""))</f>
        <v/>
      </c>
      <c r="L134" s="13" t="str">
        <f>IF(S134="","",IF(INDEX('①名簿入力'!$Z$4:$Z$153,S134)=1,"〇",""))</f>
        <v/>
      </c>
      <c r="M134" s="13" t="str">
        <f>IF(S134="","",IF(INDEX('①名簿入力'!$AA$4:$AA$153,S134)=1,"〇",""))</f>
        <v/>
      </c>
      <c r="N134" s="13" t="str">
        <f>IF(S134="","",IF(INDEX('①名簿入力'!$AB$4:$AB$153,S134)=1,"〇",""))</f>
        <v/>
      </c>
      <c r="O134" s="25" t="str">
        <f>AM134&amp;IF(AND(AM134&lt;&gt;"",AN134&lt;&gt;""),"、","")&amp;AN134&amp;IF(AND(AM134&amp;AN134&lt;&gt;"",AO134&lt;&gt;""),"、","")&amp;AO134</f>
        <v/>
      </c>
      <c r="P134" s="25" t="str">
        <f>IF(AG134=0,"",IF(AK134&amp;AL134="","⚠",LEFT(AK134&amp;AL134,LEN(AK134&amp;AL134)-1)))</f>
        <v/>
      </c>
      <c r="Q134" s="25" t="str">
        <f>IF(S134="","",INDEX('①名簿入力'!$T$4:$T$153,S134)&amp;"")</f>
        <v/>
      </c>
      <c r="S134" s="14" t="str">
        <f>IF(D134="","",IFERROR(MATCH(D134,'①名簿入力'!$A$4:$A$153,0),""))</f>
        <v/>
      </c>
      <c r="T134" s="14" t="str">
        <f>IF(S134="","",IF(INDEX('①名簿入力'!$AG$4:$AG$153,S134)=D134,"",INDEX('①名簿入力'!$AG$4:$AG$153,S134)))</f>
        <v/>
      </c>
      <c r="U134" s="14" t="str">
        <f>IF(S134="","",IF(INDEX('①名簿入力'!$AH$4:$AH$153,S134)=D134,"",INDEX('①名簿入力'!$AH$4:$AH$153,S134)))</f>
        <v/>
      </c>
      <c r="V134" s="14" t="str">
        <f>IF(S134="","",IF(INDEX('①名簿入力'!$AI$4:$AI$153,S134)=D134,"",INDEX('①名簿入力'!$AI$4:$AI$153,S134)))</f>
        <v/>
      </c>
      <c r="W134" s="14" t="str">
        <f>IF(T134="","",IFERROR(IF(INDEX($E$9:$E$158,MATCH(T134,$D$9:$D$158,0))="","",INDEX($E$9:$E$158,MATCH(T134,$D$9:$D$158,0))),""))</f>
        <v/>
      </c>
      <c r="X134" s="14" t="str">
        <f>IF(U134="","",IFERROR(IF(INDEX($E$9:$E$158,MATCH(U134,$D$9:$D$158,0))="","",INDEX($E$9:$E$158,MATCH(U134,$D$9:$D$158,0))),""))</f>
        <v/>
      </c>
      <c r="Y134" s="14" t="str">
        <f>IF(V134="","",IFERROR(IF(INDEX($E$9:$E$158,MATCH(V134,$D$9:$D$158,0))="","",INDEX($E$9:$E$158,MATCH(V134,$D$9:$D$158,0))),""))</f>
        <v/>
      </c>
      <c r="Z134" s="14">
        <f>IF(AND(T134&lt;&gt;"",W134&lt;&gt;"",E134&lt;&gt;""),IF(W134=E134,1,0),0)</f>
        <v>0</v>
      </c>
      <c r="AA134" s="14">
        <f>IF(AND(U134&lt;&gt;"",X134&lt;&gt;"",E134&lt;&gt;""),IF(X134=E134,1,0),0)</f>
        <v>0</v>
      </c>
      <c r="AB134" s="14">
        <f>IF(AND(V134&lt;&gt;"",Y134&lt;&gt;"",E134&lt;&gt;""),IF(Y134=E134,1,0),0)</f>
        <v>0</v>
      </c>
      <c r="AC134" s="14" t="str">
        <f>IF(OR(T134="",E134=""),"",T134&amp;"|"&amp;E134)</f>
        <v/>
      </c>
      <c r="AD134" s="14" t="str">
        <f>IF(OR(U134="",E134=""),"",U134&amp;"|"&amp;E134)</f>
        <v/>
      </c>
      <c r="AE134" s="14" t="str">
        <f>IF(OR(V134="",E134=""),"",V134&amp;"|"&amp;E134)</f>
        <v/>
      </c>
      <c r="AF134" s="14">
        <f>IF(OR(D134="",E134=""),0,COUNTIF($AC$9:$AC$158,D134&amp;"|"&amp;E134)+COUNTIF($AD$9:$AD$158,D134&amp;"|"&amp;E134)+COUNTIF($AE$9:$AE$158,D134&amp;"|"&amp;E134))</f>
        <v>0</v>
      </c>
      <c r="AG134" s="14">
        <f>Z134+AA134+AB134+AF134</f>
        <v>0</v>
      </c>
      <c r="AH134" s="14" t="str">
        <f>IF(OR(D134="",E134=""),"",IFERROR(MATCH(D134&amp;"|"&amp;E134,$AC$9:$AC$158,0),""))</f>
        <v/>
      </c>
      <c r="AI134" s="14" t="str">
        <f>IF(OR(D134="",E134=""),"",IFERROR(MATCH(D134&amp;"|"&amp;E134,$AD$9:$AD$158,0),""))</f>
        <v/>
      </c>
      <c r="AJ134" s="14" t="str">
        <f>IF(OR(D134="",E134=""),"",IFERROR(MATCH(D134&amp;"|"&amp;E134,$AE$9:$AE$158,0),""))</f>
        <v/>
      </c>
      <c r="AK134" s="14" t="str">
        <f>IF(Z134=1,IFERROR(INDEX($F$9:$F$158,MATCH(T134,$D$9:$D$158,0)),"")&amp;"、","")&amp;IF(AA134=1,IFERROR(INDEX($F$9:$F$158,MATCH(U134,$D$9:$D$158,0)),"")&amp;"、","")&amp;IF(AB134=1,IFERROR(INDEX($F$9:$F$158,MATCH(V134,$D$9:$D$158,0)),"")&amp;"、","")</f>
        <v/>
      </c>
      <c r="AL134" s="14" t="str">
        <f>IF(OR(AH134=""),"",IF(OR(INDEX($D$9:$D$158,AH134)=T134,INDEX($D$9:$D$158,AH134)=U134,INDEX($D$9:$D$158,AH134)=V134),"",INDEX($F$9:$F$158,AH134)&amp;"、"))&amp;IF(OR(AI134="",AI134=AH134),"",IF(OR(INDEX($D$9:$D$158,AI134)=T134,INDEX($D$9:$D$158,AI134)=U134,INDEX($D$9:$D$158,AI134)=V134),"",INDEX($F$9:$F$158,AI134)&amp;"、"))&amp;IF(OR(AJ134="",AJ134=AH134,AJ134=AI134),"",IF(OR(INDEX($D$9:$D$158,AJ134)=T134,INDEX($D$9:$D$158,AJ134)=U134,INDEX($D$9:$D$158,AJ134)=V134),"",INDEX($F$9:$F$158,AJ134)&amp;"、"))</f>
        <v/>
      </c>
      <c r="AM134" s="14" t="str">
        <f>IF(T134="","",IFERROR(INDEX('①名簿入力'!$C$4:$C$153,MATCH(T134,'①名簿入力'!$A$4:$A$153,0)),"?")&amp;IF(W134="","","("&amp;W134&amp;"組)"))</f>
        <v/>
      </c>
      <c r="AN134" s="14" t="str">
        <f>IF(U134="","",IFERROR(INDEX('①名簿入力'!$C$4:$C$153,MATCH(U134,'①名簿入力'!$A$4:$A$153,0)),"?")&amp;IF(X134="","","("&amp;X134&amp;"組)"))</f>
        <v/>
      </c>
      <c r="AO134" s="14" t="str">
        <f>IF(V134="","",IFERROR(INDEX('①名簿入力'!$C$4:$C$153,MATCH(V134,'①名簿入力'!$A$4:$A$153,0)),"?")&amp;IF(Y134="","","("&amp;Y134&amp;"組)"))</f>
        <v/>
      </c>
      <c r="AP134" s="14">
        <f>IF(G134="男",1,IF(G134="女",2,3))</f>
        <v>3</v>
      </c>
      <c r="AQ134" s="14" t="str">
        <f>IF(OR(S134="",E134=""),"",IFERROR(IF('③クラス一覧'!$AD$6="番号順",0,AP134*1000000000)+D134,""))</f>
        <v/>
      </c>
      <c r="AR134" s="14" t="str">
        <f>IF(AQ134="","",COUNTIFS($E$9:$E$158,E134,$AQ$9:$AQ$158,"&lt;"&amp;AQ134)+1)</f>
        <v/>
      </c>
      <c r="AS134" s="14" t="str">
        <f>IF(AR134="","",E134&amp;"-"&amp;AR134)</f>
        <v/>
      </c>
      <c r="AT134" s="14" t="str">
        <f>IF(S134="","",IF(INDEX('①名簿入力'!$F$4:$F$153,S134)="","",INDEX('①名簿入力'!$F$4:$F$153,S134)))</f>
        <v/>
      </c>
      <c r="AU134" s="14" t="str">
        <f>IF(S134="","",IF(INDEX('①名簿入力'!$G$4:$G$153,S134)="","",INDEX('①名簿入力'!$G$4:$G$153,S134)))</f>
        <v/>
      </c>
      <c r="AV134" s="14" t="str">
        <f>IF(S134="","",IF(INDEX('①名簿入力'!$H$4:$H$153,S134)="","",INDEX('①名簿入力'!$H$4:$H$153,S134)))</f>
        <v/>
      </c>
      <c r="AW134" s="14" t="str">
        <f>IF(S134="","",IF(INDEX('①名簿入力'!$I$4:$I$153,S134)="","",INDEX('①名簿入力'!$I$4:$I$153,S134)))</f>
        <v/>
      </c>
      <c r="AX134" s="14" t="str">
        <f>IF(S134="","",IF(INDEX('①名簿入力'!$J$4:$J$153,S134)="","",INDEX('①名簿入力'!$J$4:$J$153,S134)))</f>
        <v/>
      </c>
    </row>
    <row r="135">
      <c r="A135" s="23" t="str">
        <f>IF('①名簿入力'!A130="","",'①名簿入力'!A130)</f>
        <v/>
      </c>
      <c r="B135" s="23" t="str">
        <f>IF(A135="","",'①名簿入力'!U130)</f>
        <v/>
      </c>
      <c r="D135" s="8" t="n"/>
      <c r="E135" s="24" t="n"/>
      <c r="F135" s="25" t="str">
        <f>IF(D135="","",IF(S135="","（名簿にない番号）",INDEX('①名簿入力'!$C$4:$C$153,S135)&amp;""))</f>
        <v/>
      </c>
      <c r="G135" s="13" t="str">
        <f>IF(S135="","",INDEX('①名簿入力'!$E$4:$E$153,S135)&amp;"")</f>
        <v/>
      </c>
      <c r="H135" s="13" t="str">
        <f>IF(S135="","",IF(INDEX('①名簿入力'!$B$4:$B$153,S135)="","",INDEX('①名簿入力'!$B$4:$B$153,S135)))</f>
        <v/>
      </c>
      <c r="I135" s="10" t="str">
        <f>IF(S135="","",IF(INDEX('①名簿入力'!$K$4:$K$153,S135)="","",INDEX('①名簿入力'!$K$4:$K$153,S135)))</f>
        <v/>
      </c>
      <c r="J135" s="10" t="str">
        <f>IF(S135="","",IF(INDEX('①名簿入力'!$L$4:$L$153,S135)="","",INDEX('①名簿入力'!$L$4:$L$153,S135)))</f>
        <v/>
      </c>
      <c r="K135" s="13" t="str">
        <f>IF(S135="","",IF(INDEX('①名簿入力'!$Y$4:$Y$153,S135)=1,"〇",""))</f>
        <v/>
      </c>
      <c r="L135" s="13" t="str">
        <f>IF(S135="","",IF(INDEX('①名簿入力'!$Z$4:$Z$153,S135)=1,"〇",""))</f>
        <v/>
      </c>
      <c r="M135" s="13" t="str">
        <f>IF(S135="","",IF(INDEX('①名簿入力'!$AA$4:$AA$153,S135)=1,"〇",""))</f>
        <v/>
      </c>
      <c r="N135" s="13" t="str">
        <f>IF(S135="","",IF(INDEX('①名簿入力'!$AB$4:$AB$153,S135)=1,"〇",""))</f>
        <v/>
      </c>
      <c r="O135" s="25" t="str">
        <f>AM135&amp;IF(AND(AM135&lt;&gt;"",AN135&lt;&gt;""),"、","")&amp;AN135&amp;IF(AND(AM135&amp;AN135&lt;&gt;"",AO135&lt;&gt;""),"、","")&amp;AO135</f>
        <v/>
      </c>
      <c r="P135" s="25" t="str">
        <f>IF(AG135=0,"",IF(AK135&amp;AL135="","⚠",LEFT(AK135&amp;AL135,LEN(AK135&amp;AL135)-1)))</f>
        <v/>
      </c>
      <c r="Q135" s="25" t="str">
        <f>IF(S135="","",INDEX('①名簿入力'!$T$4:$T$153,S135)&amp;"")</f>
        <v/>
      </c>
      <c r="S135" s="14" t="str">
        <f>IF(D135="","",IFERROR(MATCH(D135,'①名簿入力'!$A$4:$A$153,0),""))</f>
        <v/>
      </c>
      <c r="T135" s="14" t="str">
        <f>IF(S135="","",IF(INDEX('①名簿入力'!$AG$4:$AG$153,S135)=D135,"",INDEX('①名簿入力'!$AG$4:$AG$153,S135)))</f>
        <v/>
      </c>
      <c r="U135" s="14" t="str">
        <f>IF(S135="","",IF(INDEX('①名簿入力'!$AH$4:$AH$153,S135)=D135,"",INDEX('①名簿入力'!$AH$4:$AH$153,S135)))</f>
        <v/>
      </c>
      <c r="V135" s="14" t="str">
        <f>IF(S135="","",IF(INDEX('①名簿入力'!$AI$4:$AI$153,S135)=D135,"",INDEX('①名簿入力'!$AI$4:$AI$153,S135)))</f>
        <v/>
      </c>
      <c r="W135" s="14" t="str">
        <f>IF(T135="","",IFERROR(IF(INDEX($E$9:$E$158,MATCH(T135,$D$9:$D$158,0))="","",INDEX($E$9:$E$158,MATCH(T135,$D$9:$D$158,0))),""))</f>
        <v/>
      </c>
      <c r="X135" s="14" t="str">
        <f>IF(U135="","",IFERROR(IF(INDEX($E$9:$E$158,MATCH(U135,$D$9:$D$158,0))="","",INDEX($E$9:$E$158,MATCH(U135,$D$9:$D$158,0))),""))</f>
        <v/>
      </c>
      <c r="Y135" s="14" t="str">
        <f>IF(V135="","",IFERROR(IF(INDEX($E$9:$E$158,MATCH(V135,$D$9:$D$158,0))="","",INDEX($E$9:$E$158,MATCH(V135,$D$9:$D$158,0))),""))</f>
        <v/>
      </c>
      <c r="Z135" s="14">
        <f>IF(AND(T135&lt;&gt;"",W135&lt;&gt;"",E135&lt;&gt;""),IF(W135=E135,1,0),0)</f>
        <v>0</v>
      </c>
      <c r="AA135" s="14">
        <f>IF(AND(U135&lt;&gt;"",X135&lt;&gt;"",E135&lt;&gt;""),IF(X135=E135,1,0),0)</f>
        <v>0</v>
      </c>
      <c r="AB135" s="14">
        <f>IF(AND(V135&lt;&gt;"",Y135&lt;&gt;"",E135&lt;&gt;""),IF(Y135=E135,1,0),0)</f>
        <v>0</v>
      </c>
      <c r="AC135" s="14" t="str">
        <f>IF(OR(T135="",E135=""),"",T135&amp;"|"&amp;E135)</f>
        <v/>
      </c>
      <c r="AD135" s="14" t="str">
        <f>IF(OR(U135="",E135=""),"",U135&amp;"|"&amp;E135)</f>
        <v/>
      </c>
      <c r="AE135" s="14" t="str">
        <f>IF(OR(V135="",E135=""),"",V135&amp;"|"&amp;E135)</f>
        <v/>
      </c>
      <c r="AF135" s="14">
        <f>IF(OR(D135="",E135=""),0,COUNTIF($AC$9:$AC$158,D135&amp;"|"&amp;E135)+COUNTIF($AD$9:$AD$158,D135&amp;"|"&amp;E135)+COUNTIF($AE$9:$AE$158,D135&amp;"|"&amp;E135))</f>
        <v>0</v>
      </c>
      <c r="AG135" s="14">
        <f>Z135+AA135+AB135+AF135</f>
        <v>0</v>
      </c>
      <c r="AH135" s="14" t="str">
        <f>IF(OR(D135="",E135=""),"",IFERROR(MATCH(D135&amp;"|"&amp;E135,$AC$9:$AC$158,0),""))</f>
        <v/>
      </c>
      <c r="AI135" s="14" t="str">
        <f>IF(OR(D135="",E135=""),"",IFERROR(MATCH(D135&amp;"|"&amp;E135,$AD$9:$AD$158,0),""))</f>
        <v/>
      </c>
      <c r="AJ135" s="14" t="str">
        <f>IF(OR(D135="",E135=""),"",IFERROR(MATCH(D135&amp;"|"&amp;E135,$AE$9:$AE$158,0),""))</f>
        <v/>
      </c>
      <c r="AK135" s="14" t="str">
        <f>IF(Z135=1,IFERROR(INDEX($F$9:$F$158,MATCH(T135,$D$9:$D$158,0)),"")&amp;"、","")&amp;IF(AA135=1,IFERROR(INDEX($F$9:$F$158,MATCH(U135,$D$9:$D$158,0)),"")&amp;"、","")&amp;IF(AB135=1,IFERROR(INDEX($F$9:$F$158,MATCH(V135,$D$9:$D$158,0)),"")&amp;"、","")</f>
        <v/>
      </c>
      <c r="AL135" s="14" t="str">
        <f>IF(OR(AH135=""),"",IF(OR(INDEX($D$9:$D$158,AH135)=T135,INDEX($D$9:$D$158,AH135)=U135,INDEX($D$9:$D$158,AH135)=V135),"",INDEX($F$9:$F$158,AH135)&amp;"、"))&amp;IF(OR(AI135="",AI135=AH135),"",IF(OR(INDEX($D$9:$D$158,AI135)=T135,INDEX($D$9:$D$158,AI135)=U135,INDEX($D$9:$D$158,AI135)=V135),"",INDEX($F$9:$F$158,AI135)&amp;"、"))&amp;IF(OR(AJ135="",AJ135=AH135,AJ135=AI135),"",IF(OR(INDEX($D$9:$D$158,AJ135)=T135,INDEX($D$9:$D$158,AJ135)=U135,INDEX($D$9:$D$158,AJ135)=V135),"",INDEX($F$9:$F$158,AJ135)&amp;"、"))</f>
        <v/>
      </c>
      <c r="AM135" s="14" t="str">
        <f>IF(T135="","",IFERROR(INDEX('①名簿入力'!$C$4:$C$153,MATCH(T135,'①名簿入力'!$A$4:$A$153,0)),"?")&amp;IF(W135="","","("&amp;W135&amp;"組)"))</f>
        <v/>
      </c>
      <c r="AN135" s="14" t="str">
        <f>IF(U135="","",IFERROR(INDEX('①名簿入力'!$C$4:$C$153,MATCH(U135,'①名簿入力'!$A$4:$A$153,0)),"?")&amp;IF(X135="","","("&amp;X135&amp;"組)"))</f>
        <v/>
      </c>
      <c r="AO135" s="14" t="str">
        <f>IF(V135="","",IFERROR(INDEX('①名簿入力'!$C$4:$C$153,MATCH(V135,'①名簿入力'!$A$4:$A$153,0)),"?")&amp;IF(Y135="","","("&amp;Y135&amp;"組)"))</f>
        <v/>
      </c>
      <c r="AP135" s="14">
        <f>IF(G135="男",1,IF(G135="女",2,3))</f>
        <v>3</v>
      </c>
      <c r="AQ135" s="14" t="str">
        <f>IF(OR(S135="",E135=""),"",IFERROR(IF('③クラス一覧'!$AD$6="番号順",0,AP135*1000000000)+D135,""))</f>
        <v/>
      </c>
      <c r="AR135" s="14" t="str">
        <f>IF(AQ135="","",COUNTIFS($E$9:$E$158,E135,$AQ$9:$AQ$158,"&lt;"&amp;AQ135)+1)</f>
        <v/>
      </c>
      <c r="AS135" s="14" t="str">
        <f>IF(AR135="","",E135&amp;"-"&amp;AR135)</f>
        <v/>
      </c>
      <c r="AT135" s="14" t="str">
        <f>IF(S135="","",IF(INDEX('①名簿入力'!$F$4:$F$153,S135)="","",INDEX('①名簿入力'!$F$4:$F$153,S135)))</f>
        <v/>
      </c>
      <c r="AU135" s="14" t="str">
        <f>IF(S135="","",IF(INDEX('①名簿入力'!$G$4:$G$153,S135)="","",INDEX('①名簿入力'!$G$4:$G$153,S135)))</f>
        <v/>
      </c>
      <c r="AV135" s="14" t="str">
        <f>IF(S135="","",IF(INDEX('①名簿入力'!$H$4:$H$153,S135)="","",INDEX('①名簿入力'!$H$4:$H$153,S135)))</f>
        <v/>
      </c>
      <c r="AW135" s="14" t="str">
        <f>IF(S135="","",IF(INDEX('①名簿入力'!$I$4:$I$153,S135)="","",INDEX('①名簿入力'!$I$4:$I$153,S135)))</f>
        <v/>
      </c>
      <c r="AX135" s="14" t="str">
        <f>IF(S135="","",IF(INDEX('①名簿入力'!$J$4:$J$153,S135)="","",INDEX('①名簿入力'!$J$4:$J$153,S135)))</f>
        <v/>
      </c>
    </row>
    <row r="136">
      <c r="A136" s="23" t="str">
        <f>IF('①名簿入力'!A131="","",'①名簿入力'!A131)</f>
        <v/>
      </c>
      <c r="B136" s="23" t="str">
        <f>IF(A136="","",'①名簿入力'!U131)</f>
        <v/>
      </c>
      <c r="D136" s="8" t="n"/>
      <c r="E136" s="24" t="n"/>
      <c r="F136" s="25" t="str">
        <f>IF(D136="","",IF(S136="","（名簿にない番号）",INDEX('①名簿入力'!$C$4:$C$153,S136)&amp;""))</f>
        <v/>
      </c>
      <c r="G136" s="13" t="str">
        <f>IF(S136="","",INDEX('①名簿入力'!$E$4:$E$153,S136)&amp;"")</f>
        <v/>
      </c>
      <c r="H136" s="13" t="str">
        <f>IF(S136="","",IF(INDEX('①名簿入力'!$B$4:$B$153,S136)="","",INDEX('①名簿入力'!$B$4:$B$153,S136)))</f>
        <v/>
      </c>
      <c r="I136" s="10" t="str">
        <f>IF(S136="","",IF(INDEX('①名簿入力'!$K$4:$K$153,S136)="","",INDEX('①名簿入力'!$K$4:$K$153,S136)))</f>
        <v/>
      </c>
      <c r="J136" s="10" t="str">
        <f>IF(S136="","",IF(INDEX('①名簿入力'!$L$4:$L$153,S136)="","",INDEX('①名簿入力'!$L$4:$L$153,S136)))</f>
        <v/>
      </c>
      <c r="K136" s="13" t="str">
        <f>IF(S136="","",IF(INDEX('①名簿入力'!$Y$4:$Y$153,S136)=1,"〇",""))</f>
        <v/>
      </c>
      <c r="L136" s="13" t="str">
        <f>IF(S136="","",IF(INDEX('①名簿入力'!$Z$4:$Z$153,S136)=1,"〇",""))</f>
        <v/>
      </c>
      <c r="M136" s="13" t="str">
        <f>IF(S136="","",IF(INDEX('①名簿入力'!$AA$4:$AA$153,S136)=1,"〇",""))</f>
        <v/>
      </c>
      <c r="N136" s="13" t="str">
        <f>IF(S136="","",IF(INDEX('①名簿入力'!$AB$4:$AB$153,S136)=1,"〇",""))</f>
        <v/>
      </c>
      <c r="O136" s="25" t="str">
        <f>AM136&amp;IF(AND(AM136&lt;&gt;"",AN136&lt;&gt;""),"、","")&amp;AN136&amp;IF(AND(AM136&amp;AN136&lt;&gt;"",AO136&lt;&gt;""),"、","")&amp;AO136</f>
        <v/>
      </c>
      <c r="P136" s="25" t="str">
        <f>IF(AG136=0,"",IF(AK136&amp;AL136="","⚠",LEFT(AK136&amp;AL136,LEN(AK136&amp;AL136)-1)))</f>
        <v/>
      </c>
      <c r="Q136" s="25" t="str">
        <f>IF(S136="","",INDEX('①名簿入力'!$T$4:$T$153,S136)&amp;"")</f>
        <v/>
      </c>
      <c r="S136" s="14" t="str">
        <f>IF(D136="","",IFERROR(MATCH(D136,'①名簿入力'!$A$4:$A$153,0),""))</f>
        <v/>
      </c>
      <c r="T136" s="14" t="str">
        <f>IF(S136="","",IF(INDEX('①名簿入力'!$AG$4:$AG$153,S136)=D136,"",INDEX('①名簿入力'!$AG$4:$AG$153,S136)))</f>
        <v/>
      </c>
      <c r="U136" s="14" t="str">
        <f>IF(S136="","",IF(INDEX('①名簿入力'!$AH$4:$AH$153,S136)=D136,"",INDEX('①名簿入力'!$AH$4:$AH$153,S136)))</f>
        <v/>
      </c>
      <c r="V136" s="14" t="str">
        <f>IF(S136="","",IF(INDEX('①名簿入力'!$AI$4:$AI$153,S136)=D136,"",INDEX('①名簿入力'!$AI$4:$AI$153,S136)))</f>
        <v/>
      </c>
      <c r="W136" s="14" t="str">
        <f>IF(T136="","",IFERROR(IF(INDEX($E$9:$E$158,MATCH(T136,$D$9:$D$158,0))="","",INDEX($E$9:$E$158,MATCH(T136,$D$9:$D$158,0))),""))</f>
        <v/>
      </c>
      <c r="X136" s="14" t="str">
        <f>IF(U136="","",IFERROR(IF(INDEX($E$9:$E$158,MATCH(U136,$D$9:$D$158,0))="","",INDEX($E$9:$E$158,MATCH(U136,$D$9:$D$158,0))),""))</f>
        <v/>
      </c>
      <c r="Y136" s="14" t="str">
        <f>IF(V136="","",IFERROR(IF(INDEX($E$9:$E$158,MATCH(V136,$D$9:$D$158,0))="","",INDEX($E$9:$E$158,MATCH(V136,$D$9:$D$158,0))),""))</f>
        <v/>
      </c>
      <c r="Z136" s="14">
        <f>IF(AND(T136&lt;&gt;"",W136&lt;&gt;"",E136&lt;&gt;""),IF(W136=E136,1,0),0)</f>
        <v>0</v>
      </c>
      <c r="AA136" s="14">
        <f>IF(AND(U136&lt;&gt;"",X136&lt;&gt;"",E136&lt;&gt;""),IF(X136=E136,1,0),0)</f>
        <v>0</v>
      </c>
      <c r="AB136" s="14">
        <f>IF(AND(V136&lt;&gt;"",Y136&lt;&gt;"",E136&lt;&gt;""),IF(Y136=E136,1,0),0)</f>
        <v>0</v>
      </c>
      <c r="AC136" s="14" t="str">
        <f>IF(OR(T136="",E136=""),"",T136&amp;"|"&amp;E136)</f>
        <v/>
      </c>
      <c r="AD136" s="14" t="str">
        <f>IF(OR(U136="",E136=""),"",U136&amp;"|"&amp;E136)</f>
        <v/>
      </c>
      <c r="AE136" s="14" t="str">
        <f>IF(OR(V136="",E136=""),"",V136&amp;"|"&amp;E136)</f>
        <v/>
      </c>
      <c r="AF136" s="14">
        <f>IF(OR(D136="",E136=""),0,COUNTIF($AC$9:$AC$158,D136&amp;"|"&amp;E136)+COUNTIF($AD$9:$AD$158,D136&amp;"|"&amp;E136)+COUNTIF($AE$9:$AE$158,D136&amp;"|"&amp;E136))</f>
        <v>0</v>
      </c>
      <c r="AG136" s="14">
        <f>Z136+AA136+AB136+AF136</f>
        <v>0</v>
      </c>
      <c r="AH136" s="14" t="str">
        <f>IF(OR(D136="",E136=""),"",IFERROR(MATCH(D136&amp;"|"&amp;E136,$AC$9:$AC$158,0),""))</f>
        <v/>
      </c>
      <c r="AI136" s="14" t="str">
        <f>IF(OR(D136="",E136=""),"",IFERROR(MATCH(D136&amp;"|"&amp;E136,$AD$9:$AD$158,0),""))</f>
        <v/>
      </c>
      <c r="AJ136" s="14" t="str">
        <f>IF(OR(D136="",E136=""),"",IFERROR(MATCH(D136&amp;"|"&amp;E136,$AE$9:$AE$158,0),""))</f>
        <v/>
      </c>
      <c r="AK136" s="14" t="str">
        <f>IF(Z136=1,IFERROR(INDEX($F$9:$F$158,MATCH(T136,$D$9:$D$158,0)),"")&amp;"、","")&amp;IF(AA136=1,IFERROR(INDEX($F$9:$F$158,MATCH(U136,$D$9:$D$158,0)),"")&amp;"、","")&amp;IF(AB136=1,IFERROR(INDEX($F$9:$F$158,MATCH(V136,$D$9:$D$158,0)),"")&amp;"、","")</f>
        <v/>
      </c>
      <c r="AL136" s="14" t="str">
        <f>IF(OR(AH136=""),"",IF(OR(INDEX($D$9:$D$158,AH136)=T136,INDEX($D$9:$D$158,AH136)=U136,INDEX($D$9:$D$158,AH136)=V136),"",INDEX($F$9:$F$158,AH136)&amp;"、"))&amp;IF(OR(AI136="",AI136=AH136),"",IF(OR(INDEX($D$9:$D$158,AI136)=T136,INDEX($D$9:$D$158,AI136)=U136,INDEX($D$9:$D$158,AI136)=V136),"",INDEX($F$9:$F$158,AI136)&amp;"、"))&amp;IF(OR(AJ136="",AJ136=AH136,AJ136=AI136),"",IF(OR(INDEX($D$9:$D$158,AJ136)=T136,INDEX($D$9:$D$158,AJ136)=U136,INDEX($D$9:$D$158,AJ136)=V136),"",INDEX($F$9:$F$158,AJ136)&amp;"、"))</f>
        <v/>
      </c>
      <c r="AM136" s="14" t="str">
        <f>IF(T136="","",IFERROR(INDEX('①名簿入力'!$C$4:$C$153,MATCH(T136,'①名簿入力'!$A$4:$A$153,0)),"?")&amp;IF(W136="","","("&amp;W136&amp;"組)"))</f>
        <v/>
      </c>
      <c r="AN136" s="14" t="str">
        <f>IF(U136="","",IFERROR(INDEX('①名簿入力'!$C$4:$C$153,MATCH(U136,'①名簿入力'!$A$4:$A$153,0)),"?")&amp;IF(X136="","","("&amp;X136&amp;"組)"))</f>
        <v/>
      </c>
      <c r="AO136" s="14" t="str">
        <f>IF(V136="","",IFERROR(INDEX('①名簿入力'!$C$4:$C$153,MATCH(V136,'①名簿入力'!$A$4:$A$153,0)),"?")&amp;IF(Y136="","","("&amp;Y136&amp;"組)"))</f>
        <v/>
      </c>
      <c r="AP136" s="14">
        <f>IF(G136="男",1,IF(G136="女",2,3))</f>
        <v>3</v>
      </c>
      <c r="AQ136" s="14" t="str">
        <f>IF(OR(S136="",E136=""),"",IFERROR(IF('③クラス一覧'!$AD$6="番号順",0,AP136*1000000000)+D136,""))</f>
        <v/>
      </c>
      <c r="AR136" s="14" t="str">
        <f>IF(AQ136="","",COUNTIFS($E$9:$E$158,E136,$AQ$9:$AQ$158,"&lt;"&amp;AQ136)+1)</f>
        <v/>
      </c>
      <c r="AS136" s="14" t="str">
        <f>IF(AR136="","",E136&amp;"-"&amp;AR136)</f>
        <v/>
      </c>
      <c r="AT136" s="14" t="str">
        <f>IF(S136="","",IF(INDEX('①名簿入力'!$F$4:$F$153,S136)="","",INDEX('①名簿入力'!$F$4:$F$153,S136)))</f>
        <v/>
      </c>
      <c r="AU136" s="14" t="str">
        <f>IF(S136="","",IF(INDEX('①名簿入力'!$G$4:$G$153,S136)="","",INDEX('①名簿入力'!$G$4:$G$153,S136)))</f>
        <v/>
      </c>
      <c r="AV136" s="14" t="str">
        <f>IF(S136="","",IF(INDEX('①名簿入力'!$H$4:$H$153,S136)="","",INDEX('①名簿入力'!$H$4:$H$153,S136)))</f>
        <v/>
      </c>
      <c r="AW136" s="14" t="str">
        <f>IF(S136="","",IF(INDEX('①名簿入力'!$I$4:$I$153,S136)="","",INDEX('①名簿入力'!$I$4:$I$153,S136)))</f>
        <v/>
      </c>
      <c r="AX136" s="14" t="str">
        <f>IF(S136="","",IF(INDEX('①名簿入力'!$J$4:$J$153,S136)="","",INDEX('①名簿入力'!$J$4:$J$153,S136)))</f>
        <v/>
      </c>
    </row>
    <row r="137">
      <c r="A137" s="23" t="str">
        <f>IF('①名簿入力'!A132="","",'①名簿入力'!A132)</f>
        <v/>
      </c>
      <c r="B137" s="23" t="str">
        <f>IF(A137="","",'①名簿入力'!U132)</f>
        <v/>
      </c>
      <c r="D137" s="8" t="n"/>
      <c r="E137" s="24" t="n"/>
      <c r="F137" s="25" t="str">
        <f>IF(D137="","",IF(S137="","（名簿にない番号）",INDEX('①名簿入力'!$C$4:$C$153,S137)&amp;""))</f>
        <v/>
      </c>
      <c r="G137" s="13" t="str">
        <f>IF(S137="","",INDEX('①名簿入力'!$E$4:$E$153,S137)&amp;"")</f>
        <v/>
      </c>
      <c r="H137" s="13" t="str">
        <f>IF(S137="","",IF(INDEX('①名簿入力'!$B$4:$B$153,S137)="","",INDEX('①名簿入力'!$B$4:$B$153,S137)))</f>
        <v/>
      </c>
      <c r="I137" s="10" t="str">
        <f>IF(S137="","",IF(INDEX('①名簿入力'!$K$4:$K$153,S137)="","",INDEX('①名簿入力'!$K$4:$K$153,S137)))</f>
        <v/>
      </c>
      <c r="J137" s="10" t="str">
        <f>IF(S137="","",IF(INDEX('①名簿入力'!$L$4:$L$153,S137)="","",INDEX('①名簿入力'!$L$4:$L$153,S137)))</f>
        <v/>
      </c>
      <c r="K137" s="13" t="str">
        <f>IF(S137="","",IF(INDEX('①名簿入力'!$Y$4:$Y$153,S137)=1,"〇",""))</f>
        <v/>
      </c>
      <c r="L137" s="13" t="str">
        <f>IF(S137="","",IF(INDEX('①名簿入力'!$Z$4:$Z$153,S137)=1,"〇",""))</f>
        <v/>
      </c>
      <c r="M137" s="13" t="str">
        <f>IF(S137="","",IF(INDEX('①名簿入力'!$AA$4:$AA$153,S137)=1,"〇",""))</f>
        <v/>
      </c>
      <c r="N137" s="13" t="str">
        <f>IF(S137="","",IF(INDEX('①名簿入力'!$AB$4:$AB$153,S137)=1,"〇",""))</f>
        <v/>
      </c>
      <c r="O137" s="25" t="str">
        <f>AM137&amp;IF(AND(AM137&lt;&gt;"",AN137&lt;&gt;""),"、","")&amp;AN137&amp;IF(AND(AM137&amp;AN137&lt;&gt;"",AO137&lt;&gt;""),"、","")&amp;AO137</f>
        <v/>
      </c>
      <c r="P137" s="25" t="str">
        <f>IF(AG137=0,"",IF(AK137&amp;AL137="","⚠",LEFT(AK137&amp;AL137,LEN(AK137&amp;AL137)-1)))</f>
        <v/>
      </c>
      <c r="Q137" s="25" t="str">
        <f>IF(S137="","",INDEX('①名簿入力'!$T$4:$T$153,S137)&amp;"")</f>
        <v/>
      </c>
      <c r="S137" s="14" t="str">
        <f>IF(D137="","",IFERROR(MATCH(D137,'①名簿入力'!$A$4:$A$153,0),""))</f>
        <v/>
      </c>
      <c r="T137" s="14" t="str">
        <f>IF(S137="","",IF(INDEX('①名簿入力'!$AG$4:$AG$153,S137)=D137,"",INDEX('①名簿入力'!$AG$4:$AG$153,S137)))</f>
        <v/>
      </c>
      <c r="U137" s="14" t="str">
        <f>IF(S137="","",IF(INDEX('①名簿入力'!$AH$4:$AH$153,S137)=D137,"",INDEX('①名簿入力'!$AH$4:$AH$153,S137)))</f>
        <v/>
      </c>
      <c r="V137" s="14" t="str">
        <f>IF(S137="","",IF(INDEX('①名簿入力'!$AI$4:$AI$153,S137)=D137,"",INDEX('①名簿入力'!$AI$4:$AI$153,S137)))</f>
        <v/>
      </c>
      <c r="W137" s="14" t="str">
        <f>IF(T137="","",IFERROR(IF(INDEX($E$9:$E$158,MATCH(T137,$D$9:$D$158,0))="","",INDEX($E$9:$E$158,MATCH(T137,$D$9:$D$158,0))),""))</f>
        <v/>
      </c>
      <c r="X137" s="14" t="str">
        <f>IF(U137="","",IFERROR(IF(INDEX($E$9:$E$158,MATCH(U137,$D$9:$D$158,0))="","",INDEX($E$9:$E$158,MATCH(U137,$D$9:$D$158,0))),""))</f>
        <v/>
      </c>
      <c r="Y137" s="14" t="str">
        <f>IF(V137="","",IFERROR(IF(INDEX($E$9:$E$158,MATCH(V137,$D$9:$D$158,0))="","",INDEX($E$9:$E$158,MATCH(V137,$D$9:$D$158,0))),""))</f>
        <v/>
      </c>
      <c r="Z137" s="14">
        <f>IF(AND(T137&lt;&gt;"",W137&lt;&gt;"",E137&lt;&gt;""),IF(W137=E137,1,0),0)</f>
        <v>0</v>
      </c>
      <c r="AA137" s="14">
        <f>IF(AND(U137&lt;&gt;"",X137&lt;&gt;"",E137&lt;&gt;""),IF(X137=E137,1,0),0)</f>
        <v>0</v>
      </c>
      <c r="AB137" s="14">
        <f>IF(AND(V137&lt;&gt;"",Y137&lt;&gt;"",E137&lt;&gt;""),IF(Y137=E137,1,0),0)</f>
        <v>0</v>
      </c>
      <c r="AC137" s="14" t="str">
        <f>IF(OR(T137="",E137=""),"",T137&amp;"|"&amp;E137)</f>
        <v/>
      </c>
      <c r="AD137" s="14" t="str">
        <f>IF(OR(U137="",E137=""),"",U137&amp;"|"&amp;E137)</f>
        <v/>
      </c>
      <c r="AE137" s="14" t="str">
        <f>IF(OR(V137="",E137=""),"",V137&amp;"|"&amp;E137)</f>
        <v/>
      </c>
      <c r="AF137" s="14">
        <f>IF(OR(D137="",E137=""),0,COUNTIF($AC$9:$AC$158,D137&amp;"|"&amp;E137)+COUNTIF($AD$9:$AD$158,D137&amp;"|"&amp;E137)+COUNTIF($AE$9:$AE$158,D137&amp;"|"&amp;E137))</f>
        <v>0</v>
      </c>
      <c r="AG137" s="14">
        <f>Z137+AA137+AB137+AF137</f>
        <v>0</v>
      </c>
      <c r="AH137" s="14" t="str">
        <f>IF(OR(D137="",E137=""),"",IFERROR(MATCH(D137&amp;"|"&amp;E137,$AC$9:$AC$158,0),""))</f>
        <v/>
      </c>
      <c r="AI137" s="14" t="str">
        <f>IF(OR(D137="",E137=""),"",IFERROR(MATCH(D137&amp;"|"&amp;E137,$AD$9:$AD$158,0),""))</f>
        <v/>
      </c>
      <c r="AJ137" s="14" t="str">
        <f>IF(OR(D137="",E137=""),"",IFERROR(MATCH(D137&amp;"|"&amp;E137,$AE$9:$AE$158,0),""))</f>
        <v/>
      </c>
      <c r="AK137" s="14" t="str">
        <f>IF(Z137=1,IFERROR(INDEX($F$9:$F$158,MATCH(T137,$D$9:$D$158,0)),"")&amp;"、","")&amp;IF(AA137=1,IFERROR(INDEX($F$9:$F$158,MATCH(U137,$D$9:$D$158,0)),"")&amp;"、","")&amp;IF(AB137=1,IFERROR(INDEX($F$9:$F$158,MATCH(V137,$D$9:$D$158,0)),"")&amp;"、","")</f>
        <v/>
      </c>
      <c r="AL137" s="14" t="str">
        <f>IF(OR(AH137=""),"",IF(OR(INDEX($D$9:$D$158,AH137)=T137,INDEX($D$9:$D$158,AH137)=U137,INDEX($D$9:$D$158,AH137)=V137),"",INDEX($F$9:$F$158,AH137)&amp;"、"))&amp;IF(OR(AI137="",AI137=AH137),"",IF(OR(INDEX($D$9:$D$158,AI137)=T137,INDEX($D$9:$D$158,AI137)=U137,INDEX($D$9:$D$158,AI137)=V137),"",INDEX($F$9:$F$158,AI137)&amp;"、"))&amp;IF(OR(AJ137="",AJ137=AH137,AJ137=AI137),"",IF(OR(INDEX($D$9:$D$158,AJ137)=T137,INDEX($D$9:$D$158,AJ137)=U137,INDEX($D$9:$D$158,AJ137)=V137),"",INDEX($F$9:$F$158,AJ137)&amp;"、"))</f>
        <v/>
      </c>
      <c r="AM137" s="14" t="str">
        <f>IF(T137="","",IFERROR(INDEX('①名簿入力'!$C$4:$C$153,MATCH(T137,'①名簿入力'!$A$4:$A$153,0)),"?")&amp;IF(W137="","","("&amp;W137&amp;"組)"))</f>
        <v/>
      </c>
      <c r="AN137" s="14" t="str">
        <f>IF(U137="","",IFERROR(INDEX('①名簿入力'!$C$4:$C$153,MATCH(U137,'①名簿入力'!$A$4:$A$153,0)),"?")&amp;IF(X137="","","("&amp;X137&amp;"組)"))</f>
        <v/>
      </c>
      <c r="AO137" s="14" t="str">
        <f>IF(V137="","",IFERROR(INDEX('①名簿入力'!$C$4:$C$153,MATCH(V137,'①名簿入力'!$A$4:$A$153,0)),"?")&amp;IF(Y137="","","("&amp;Y137&amp;"組)"))</f>
        <v/>
      </c>
      <c r="AP137" s="14">
        <f>IF(G137="男",1,IF(G137="女",2,3))</f>
        <v>3</v>
      </c>
      <c r="AQ137" s="14" t="str">
        <f>IF(OR(S137="",E137=""),"",IFERROR(IF('③クラス一覧'!$AD$6="番号順",0,AP137*1000000000)+D137,""))</f>
        <v/>
      </c>
      <c r="AR137" s="14" t="str">
        <f>IF(AQ137="","",COUNTIFS($E$9:$E$158,E137,$AQ$9:$AQ$158,"&lt;"&amp;AQ137)+1)</f>
        <v/>
      </c>
      <c r="AS137" s="14" t="str">
        <f>IF(AR137="","",E137&amp;"-"&amp;AR137)</f>
        <v/>
      </c>
      <c r="AT137" s="14" t="str">
        <f>IF(S137="","",IF(INDEX('①名簿入力'!$F$4:$F$153,S137)="","",INDEX('①名簿入力'!$F$4:$F$153,S137)))</f>
        <v/>
      </c>
      <c r="AU137" s="14" t="str">
        <f>IF(S137="","",IF(INDEX('①名簿入力'!$G$4:$G$153,S137)="","",INDEX('①名簿入力'!$G$4:$G$153,S137)))</f>
        <v/>
      </c>
      <c r="AV137" s="14" t="str">
        <f>IF(S137="","",IF(INDEX('①名簿入力'!$H$4:$H$153,S137)="","",INDEX('①名簿入力'!$H$4:$H$153,S137)))</f>
        <v/>
      </c>
      <c r="AW137" s="14" t="str">
        <f>IF(S137="","",IF(INDEX('①名簿入力'!$I$4:$I$153,S137)="","",INDEX('①名簿入力'!$I$4:$I$153,S137)))</f>
        <v/>
      </c>
      <c r="AX137" s="14" t="str">
        <f>IF(S137="","",IF(INDEX('①名簿入力'!$J$4:$J$153,S137)="","",INDEX('①名簿入力'!$J$4:$J$153,S137)))</f>
        <v/>
      </c>
    </row>
    <row r="138">
      <c r="A138" s="23" t="str">
        <f>IF('①名簿入力'!A133="","",'①名簿入力'!A133)</f>
        <v/>
      </c>
      <c r="B138" s="23" t="str">
        <f>IF(A138="","",'①名簿入力'!U133)</f>
        <v/>
      </c>
      <c r="D138" s="8" t="n"/>
      <c r="E138" s="24" t="n"/>
      <c r="F138" s="25" t="str">
        <f>IF(D138="","",IF(S138="","（名簿にない番号）",INDEX('①名簿入力'!$C$4:$C$153,S138)&amp;""))</f>
        <v/>
      </c>
      <c r="G138" s="13" t="str">
        <f>IF(S138="","",INDEX('①名簿入力'!$E$4:$E$153,S138)&amp;"")</f>
        <v/>
      </c>
      <c r="H138" s="13" t="str">
        <f>IF(S138="","",IF(INDEX('①名簿入力'!$B$4:$B$153,S138)="","",INDEX('①名簿入力'!$B$4:$B$153,S138)))</f>
        <v/>
      </c>
      <c r="I138" s="10" t="str">
        <f>IF(S138="","",IF(INDEX('①名簿入力'!$K$4:$K$153,S138)="","",INDEX('①名簿入力'!$K$4:$K$153,S138)))</f>
        <v/>
      </c>
      <c r="J138" s="10" t="str">
        <f>IF(S138="","",IF(INDEX('①名簿入力'!$L$4:$L$153,S138)="","",INDEX('①名簿入力'!$L$4:$L$153,S138)))</f>
        <v/>
      </c>
      <c r="K138" s="13" t="str">
        <f>IF(S138="","",IF(INDEX('①名簿入力'!$Y$4:$Y$153,S138)=1,"〇",""))</f>
        <v/>
      </c>
      <c r="L138" s="13" t="str">
        <f>IF(S138="","",IF(INDEX('①名簿入力'!$Z$4:$Z$153,S138)=1,"〇",""))</f>
        <v/>
      </c>
      <c r="M138" s="13" t="str">
        <f>IF(S138="","",IF(INDEX('①名簿入力'!$AA$4:$AA$153,S138)=1,"〇",""))</f>
        <v/>
      </c>
      <c r="N138" s="13" t="str">
        <f>IF(S138="","",IF(INDEX('①名簿入力'!$AB$4:$AB$153,S138)=1,"〇",""))</f>
        <v/>
      </c>
      <c r="O138" s="25" t="str">
        <f>AM138&amp;IF(AND(AM138&lt;&gt;"",AN138&lt;&gt;""),"、","")&amp;AN138&amp;IF(AND(AM138&amp;AN138&lt;&gt;"",AO138&lt;&gt;""),"、","")&amp;AO138</f>
        <v/>
      </c>
      <c r="P138" s="25" t="str">
        <f>IF(AG138=0,"",IF(AK138&amp;AL138="","⚠",LEFT(AK138&amp;AL138,LEN(AK138&amp;AL138)-1)))</f>
        <v/>
      </c>
      <c r="Q138" s="25" t="str">
        <f>IF(S138="","",INDEX('①名簿入力'!$T$4:$T$153,S138)&amp;"")</f>
        <v/>
      </c>
      <c r="S138" s="14" t="str">
        <f>IF(D138="","",IFERROR(MATCH(D138,'①名簿入力'!$A$4:$A$153,0),""))</f>
        <v/>
      </c>
      <c r="T138" s="14" t="str">
        <f>IF(S138="","",IF(INDEX('①名簿入力'!$AG$4:$AG$153,S138)=D138,"",INDEX('①名簿入力'!$AG$4:$AG$153,S138)))</f>
        <v/>
      </c>
      <c r="U138" s="14" t="str">
        <f>IF(S138="","",IF(INDEX('①名簿入力'!$AH$4:$AH$153,S138)=D138,"",INDEX('①名簿入力'!$AH$4:$AH$153,S138)))</f>
        <v/>
      </c>
      <c r="V138" s="14" t="str">
        <f>IF(S138="","",IF(INDEX('①名簿入力'!$AI$4:$AI$153,S138)=D138,"",INDEX('①名簿入力'!$AI$4:$AI$153,S138)))</f>
        <v/>
      </c>
      <c r="W138" s="14" t="str">
        <f>IF(T138="","",IFERROR(IF(INDEX($E$9:$E$158,MATCH(T138,$D$9:$D$158,0))="","",INDEX($E$9:$E$158,MATCH(T138,$D$9:$D$158,0))),""))</f>
        <v/>
      </c>
      <c r="X138" s="14" t="str">
        <f>IF(U138="","",IFERROR(IF(INDEX($E$9:$E$158,MATCH(U138,$D$9:$D$158,0))="","",INDEX($E$9:$E$158,MATCH(U138,$D$9:$D$158,0))),""))</f>
        <v/>
      </c>
      <c r="Y138" s="14" t="str">
        <f>IF(V138="","",IFERROR(IF(INDEX($E$9:$E$158,MATCH(V138,$D$9:$D$158,0))="","",INDEX($E$9:$E$158,MATCH(V138,$D$9:$D$158,0))),""))</f>
        <v/>
      </c>
      <c r="Z138" s="14">
        <f>IF(AND(T138&lt;&gt;"",W138&lt;&gt;"",E138&lt;&gt;""),IF(W138=E138,1,0),0)</f>
        <v>0</v>
      </c>
      <c r="AA138" s="14">
        <f>IF(AND(U138&lt;&gt;"",X138&lt;&gt;"",E138&lt;&gt;""),IF(X138=E138,1,0),0)</f>
        <v>0</v>
      </c>
      <c r="AB138" s="14">
        <f>IF(AND(V138&lt;&gt;"",Y138&lt;&gt;"",E138&lt;&gt;""),IF(Y138=E138,1,0),0)</f>
        <v>0</v>
      </c>
      <c r="AC138" s="14" t="str">
        <f>IF(OR(T138="",E138=""),"",T138&amp;"|"&amp;E138)</f>
        <v/>
      </c>
      <c r="AD138" s="14" t="str">
        <f>IF(OR(U138="",E138=""),"",U138&amp;"|"&amp;E138)</f>
        <v/>
      </c>
      <c r="AE138" s="14" t="str">
        <f>IF(OR(V138="",E138=""),"",V138&amp;"|"&amp;E138)</f>
        <v/>
      </c>
      <c r="AF138" s="14">
        <f>IF(OR(D138="",E138=""),0,COUNTIF($AC$9:$AC$158,D138&amp;"|"&amp;E138)+COUNTIF($AD$9:$AD$158,D138&amp;"|"&amp;E138)+COUNTIF($AE$9:$AE$158,D138&amp;"|"&amp;E138))</f>
        <v>0</v>
      </c>
      <c r="AG138" s="14">
        <f>Z138+AA138+AB138+AF138</f>
        <v>0</v>
      </c>
      <c r="AH138" s="14" t="str">
        <f>IF(OR(D138="",E138=""),"",IFERROR(MATCH(D138&amp;"|"&amp;E138,$AC$9:$AC$158,0),""))</f>
        <v/>
      </c>
      <c r="AI138" s="14" t="str">
        <f>IF(OR(D138="",E138=""),"",IFERROR(MATCH(D138&amp;"|"&amp;E138,$AD$9:$AD$158,0),""))</f>
        <v/>
      </c>
      <c r="AJ138" s="14" t="str">
        <f>IF(OR(D138="",E138=""),"",IFERROR(MATCH(D138&amp;"|"&amp;E138,$AE$9:$AE$158,0),""))</f>
        <v/>
      </c>
      <c r="AK138" s="14" t="str">
        <f>IF(Z138=1,IFERROR(INDEX($F$9:$F$158,MATCH(T138,$D$9:$D$158,0)),"")&amp;"、","")&amp;IF(AA138=1,IFERROR(INDEX($F$9:$F$158,MATCH(U138,$D$9:$D$158,0)),"")&amp;"、","")&amp;IF(AB138=1,IFERROR(INDEX($F$9:$F$158,MATCH(V138,$D$9:$D$158,0)),"")&amp;"、","")</f>
        <v/>
      </c>
      <c r="AL138" s="14" t="str">
        <f>IF(OR(AH138=""),"",IF(OR(INDEX($D$9:$D$158,AH138)=T138,INDEX($D$9:$D$158,AH138)=U138,INDEX($D$9:$D$158,AH138)=V138),"",INDEX($F$9:$F$158,AH138)&amp;"、"))&amp;IF(OR(AI138="",AI138=AH138),"",IF(OR(INDEX($D$9:$D$158,AI138)=T138,INDEX($D$9:$D$158,AI138)=U138,INDEX($D$9:$D$158,AI138)=V138),"",INDEX($F$9:$F$158,AI138)&amp;"、"))&amp;IF(OR(AJ138="",AJ138=AH138,AJ138=AI138),"",IF(OR(INDEX($D$9:$D$158,AJ138)=T138,INDEX($D$9:$D$158,AJ138)=U138,INDEX($D$9:$D$158,AJ138)=V138),"",INDEX($F$9:$F$158,AJ138)&amp;"、"))</f>
        <v/>
      </c>
      <c r="AM138" s="14" t="str">
        <f>IF(T138="","",IFERROR(INDEX('①名簿入力'!$C$4:$C$153,MATCH(T138,'①名簿入力'!$A$4:$A$153,0)),"?")&amp;IF(W138="","","("&amp;W138&amp;"組)"))</f>
        <v/>
      </c>
      <c r="AN138" s="14" t="str">
        <f>IF(U138="","",IFERROR(INDEX('①名簿入力'!$C$4:$C$153,MATCH(U138,'①名簿入力'!$A$4:$A$153,0)),"?")&amp;IF(X138="","","("&amp;X138&amp;"組)"))</f>
        <v/>
      </c>
      <c r="AO138" s="14" t="str">
        <f>IF(V138="","",IFERROR(INDEX('①名簿入力'!$C$4:$C$153,MATCH(V138,'①名簿入力'!$A$4:$A$153,0)),"?")&amp;IF(Y138="","","("&amp;Y138&amp;"組)"))</f>
        <v/>
      </c>
      <c r="AP138" s="14">
        <f>IF(G138="男",1,IF(G138="女",2,3))</f>
        <v>3</v>
      </c>
      <c r="AQ138" s="14" t="str">
        <f>IF(OR(S138="",E138=""),"",IFERROR(IF('③クラス一覧'!$AD$6="番号順",0,AP138*1000000000)+D138,""))</f>
        <v/>
      </c>
      <c r="AR138" s="14" t="str">
        <f>IF(AQ138="","",COUNTIFS($E$9:$E$158,E138,$AQ$9:$AQ$158,"&lt;"&amp;AQ138)+1)</f>
        <v/>
      </c>
      <c r="AS138" s="14" t="str">
        <f>IF(AR138="","",E138&amp;"-"&amp;AR138)</f>
        <v/>
      </c>
      <c r="AT138" s="14" t="str">
        <f>IF(S138="","",IF(INDEX('①名簿入力'!$F$4:$F$153,S138)="","",INDEX('①名簿入力'!$F$4:$F$153,S138)))</f>
        <v/>
      </c>
      <c r="AU138" s="14" t="str">
        <f>IF(S138="","",IF(INDEX('①名簿入力'!$G$4:$G$153,S138)="","",INDEX('①名簿入力'!$G$4:$G$153,S138)))</f>
        <v/>
      </c>
      <c r="AV138" s="14" t="str">
        <f>IF(S138="","",IF(INDEX('①名簿入力'!$H$4:$H$153,S138)="","",INDEX('①名簿入力'!$H$4:$H$153,S138)))</f>
        <v/>
      </c>
      <c r="AW138" s="14" t="str">
        <f>IF(S138="","",IF(INDEX('①名簿入力'!$I$4:$I$153,S138)="","",INDEX('①名簿入力'!$I$4:$I$153,S138)))</f>
        <v/>
      </c>
      <c r="AX138" s="14" t="str">
        <f>IF(S138="","",IF(INDEX('①名簿入力'!$J$4:$J$153,S138)="","",INDEX('①名簿入力'!$J$4:$J$153,S138)))</f>
        <v/>
      </c>
    </row>
    <row r="139">
      <c r="A139" s="23" t="str">
        <f>IF('①名簿入力'!A134="","",'①名簿入力'!A134)</f>
        <v/>
      </c>
      <c r="B139" s="23" t="str">
        <f>IF(A139="","",'①名簿入力'!U134)</f>
        <v/>
      </c>
      <c r="D139" s="8" t="n"/>
      <c r="E139" s="24" t="n"/>
      <c r="F139" s="25" t="str">
        <f>IF(D139="","",IF(S139="","（名簿にない番号）",INDEX('①名簿入力'!$C$4:$C$153,S139)&amp;""))</f>
        <v/>
      </c>
      <c r="G139" s="13" t="str">
        <f>IF(S139="","",INDEX('①名簿入力'!$E$4:$E$153,S139)&amp;"")</f>
        <v/>
      </c>
      <c r="H139" s="13" t="str">
        <f>IF(S139="","",IF(INDEX('①名簿入力'!$B$4:$B$153,S139)="","",INDEX('①名簿入力'!$B$4:$B$153,S139)))</f>
        <v/>
      </c>
      <c r="I139" s="10" t="str">
        <f>IF(S139="","",IF(INDEX('①名簿入力'!$K$4:$K$153,S139)="","",INDEX('①名簿入力'!$K$4:$K$153,S139)))</f>
        <v/>
      </c>
      <c r="J139" s="10" t="str">
        <f>IF(S139="","",IF(INDEX('①名簿入力'!$L$4:$L$153,S139)="","",INDEX('①名簿入力'!$L$4:$L$153,S139)))</f>
        <v/>
      </c>
      <c r="K139" s="13" t="str">
        <f>IF(S139="","",IF(INDEX('①名簿入力'!$Y$4:$Y$153,S139)=1,"〇",""))</f>
        <v/>
      </c>
      <c r="L139" s="13" t="str">
        <f>IF(S139="","",IF(INDEX('①名簿入力'!$Z$4:$Z$153,S139)=1,"〇",""))</f>
        <v/>
      </c>
      <c r="M139" s="13" t="str">
        <f>IF(S139="","",IF(INDEX('①名簿入力'!$AA$4:$AA$153,S139)=1,"〇",""))</f>
        <v/>
      </c>
      <c r="N139" s="13" t="str">
        <f>IF(S139="","",IF(INDEX('①名簿入力'!$AB$4:$AB$153,S139)=1,"〇",""))</f>
        <v/>
      </c>
      <c r="O139" s="25" t="str">
        <f>AM139&amp;IF(AND(AM139&lt;&gt;"",AN139&lt;&gt;""),"、","")&amp;AN139&amp;IF(AND(AM139&amp;AN139&lt;&gt;"",AO139&lt;&gt;""),"、","")&amp;AO139</f>
        <v/>
      </c>
      <c r="P139" s="25" t="str">
        <f>IF(AG139=0,"",IF(AK139&amp;AL139="","⚠",LEFT(AK139&amp;AL139,LEN(AK139&amp;AL139)-1)))</f>
        <v/>
      </c>
      <c r="Q139" s="25" t="str">
        <f>IF(S139="","",INDEX('①名簿入力'!$T$4:$T$153,S139)&amp;"")</f>
        <v/>
      </c>
      <c r="S139" s="14" t="str">
        <f>IF(D139="","",IFERROR(MATCH(D139,'①名簿入力'!$A$4:$A$153,0),""))</f>
        <v/>
      </c>
      <c r="T139" s="14" t="str">
        <f>IF(S139="","",IF(INDEX('①名簿入力'!$AG$4:$AG$153,S139)=D139,"",INDEX('①名簿入力'!$AG$4:$AG$153,S139)))</f>
        <v/>
      </c>
      <c r="U139" s="14" t="str">
        <f>IF(S139="","",IF(INDEX('①名簿入力'!$AH$4:$AH$153,S139)=D139,"",INDEX('①名簿入力'!$AH$4:$AH$153,S139)))</f>
        <v/>
      </c>
      <c r="V139" s="14" t="str">
        <f>IF(S139="","",IF(INDEX('①名簿入力'!$AI$4:$AI$153,S139)=D139,"",INDEX('①名簿入力'!$AI$4:$AI$153,S139)))</f>
        <v/>
      </c>
      <c r="W139" s="14" t="str">
        <f>IF(T139="","",IFERROR(IF(INDEX($E$9:$E$158,MATCH(T139,$D$9:$D$158,0))="","",INDEX($E$9:$E$158,MATCH(T139,$D$9:$D$158,0))),""))</f>
        <v/>
      </c>
      <c r="X139" s="14" t="str">
        <f>IF(U139="","",IFERROR(IF(INDEX($E$9:$E$158,MATCH(U139,$D$9:$D$158,0))="","",INDEX($E$9:$E$158,MATCH(U139,$D$9:$D$158,0))),""))</f>
        <v/>
      </c>
      <c r="Y139" s="14" t="str">
        <f>IF(V139="","",IFERROR(IF(INDEX($E$9:$E$158,MATCH(V139,$D$9:$D$158,0))="","",INDEX($E$9:$E$158,MATCH(V139,$D$9:$D$158,0))),""))</f>
        <v/>
      </c>
      <c r="Z139" s="14">
        <f>IF(AND(T139&lt;&gt;"",W139&lt;&gt;"",E139&lt;&gt;""),IF(W139=E139,1,0),0)</f>
        <v>0</v>
      </c>
      <c r="AA139" s="14">
        <f>IF(AND(U139&lt;&gt;"",X139&lt;&gt;"",E139&lt;&gt;""),IF(X139=E139,1,0),0)</f>
        <v>0</v>
      </c>
      <c r="AB139" s="14">
        <f>IF(AND(V139&lt;&gt;"",Y139&lt;&gt;"",E139&lt;&gt;""),IF(Y139=E139,1,0),0)</f>
        <v>0</v>
      </c>
      <c r="AC139" s="14" t="str">
        <f>IF(OR(T139="",E139=""),"",T139&amp;"|"&amp;E139)</f>
        <v/>
      </c>
      <c r="AD139" s="14" t="str">
        <f>IF(OR(U139="",E139=""),"",U139&amp;"|"&amp;E139)</f>
        <v/>
      </c>
      <c r="AE139" s="14" t="str">
        <f>IF(OR(V139="",E139=""),"",V139&amp;"|"&amp;E139)</f>
        <v/>
      </c>
      <c r="AF139" s="14">
        <f>IF(OR(D139="",E139=""),0,COUNTIF($AC$9:$AC$158,D139&amp;"|"&amp;E139)+COUNTIF($AD$9:$AD$158,D139&amp;"|"&amp;E139)+COUNTIF($AE$9:$AE$158,D139&amp;"|"&amp;E139))</f>
        <v>0</v>
      </c>
      <c r="AG139" s="14">
        <f>Z139+AA139+AB139+AF139</f>
        <v>0</v>
      </c>
      <c r="AH139" s="14" t="str">
        <f>IF(OR(D139="",E139=""),"",IFERROR(MATCH(D139&amp;"|"&amp;E139,$AC$9:$AC$158,0),""))</f>
        <v/>
      </c>
      <c r="AI139" s="14" t="str">
        <f>IF(OR(D139="",E139=""),"",IFERROR(MATCH(D139&amp;"|"&amp;E139,$AD$9:$AD$158,0),""))</f>
        <v/>
      </c>
      <c r="AJ139" s="14" t="str">
        <f>IF(OR(D139="",E139=""),"",IFERROR(MATCH(D139&amp;"|"&amp;E139,$AE$9:$AE$158,0),""))</f>
        <v/>
      </c>
      <c r="AK139" s="14" t="str">
        <f>IF(Z139=1,IFERROR(INDEX($F$9:$F$158,MATCH(T139,$D$9:$D$158,0)),"")&amp;"、","")&amp;IF(AA139=1,IFERROR(INDEX($F$9:$F$158,MATCH(U139,$D$9:$D$158,0)),"")&amp;"、","")&amp;IF(AB139=1,IFERROR(INDEX($F$9:$F$158,MATCH(V139,$D$9:$D$158,0)),"")&amp;"、","")</f>
        <v/>
      </c>
      <c r="AL139" s="14" t="str">
        <f>IF(OR(AH139=""),"",IF(OR(INDEX($D$9:$D$158,AH139)=T139,INDEX($D$9:$D$158,AH139)=U139,INDEX($D$9:$D$158,AH139)=V139),"",INDEX($F$9:$F$158,AH139)&amp;"、"))&amp;IF(OR(AI139="",AI139=AH139),"",IF(OR(INDEX($D$9:$D$158,AI139)=T139,INDEX($D$9:$D$158,AI139)=U139,INDEX($D$9:$D$158,AI139)=V139),"",INDEX($F$9:$F$158,AI139)&amp;"、"))&amp;IF(OR(AJ139="",AJ139=AH139,AJ139=AI139),"",IF(OR(INDEX($D$9:$D$158,AJ139)=T139,INDEX($D$9:$D$158,AJ139)=U139,INDEX($D$9:$D$158,AJ139)=V139),"",INDEX($F$9:$F$158,AJ139)&amp;"、"))</f>
        <v/>
      </c>
      <c r="AM139" s="14" t="str">
        <f>IF(T139="","",IFERROR(INDEX('①名簿入力'!$C$4:$C$153,MATCH(T139,'①名簿入力'!$A$4:$A$153,0)),"?")&amp;IF(W139="","","("&amp;W139&amp;"組)"))</f>
        <v/>
      </c>
      <c r="AN139" s="14" t="str">
        <f>IF(U139="","",IFERROR(INDEX('①名簿入力'!$C$4:$C$153,MATCH(U139,'①名簿入力'!$A$4:$A$153,0)),"?")&amp;IF(X139="","","("&amp;X139&amp;"組)"))</f>
        <v/>
      </c>
      <c r="AO139" s="14" t="str">
        <f>IF(V139="","",IFERROR(INDEX('①名簿入力'!$C$4:$C$153,MATCH(V139,'①名簿入力'!$A$4:$A$153,0)),"?")&amp;IF(Y139="","","("&amp;Y139&amp;"組)"))</f>
        <v/>
      </c>
      <c r="AP139" s="14">
        <f>IF(G139="男",1,IF(G139="女",2,3))</f>
        <v>3</v>
      </c>
      <c r="AQ139" s="14" t="str">
        <f>IF(OR(S139="",E139=""),"",IFERROR(IF('③クラス一覧'!$AD$6="番号順",0,AP139*1000000000)+D139,""))</f>
        <v/>
      </c>
      <c r="AR139" s="14" t="str">
        <f>IF(AQ139="","",COUNTIFS($E$9:$E$158,E139,$AQ$9:$AQ$158,"&lt;"&amp;AQ139)+1)</f>
        <v/>
      </c>
      <c r="AS139" s="14" t="str">
        <f>IF(AR139="","",E139&amp;"-"&amp;AR139)</f>
        <v/>
      </c>
      <c r="AT139" s="14" t="str">
        <f>IF(S139="","",IF(INDEX('①名簿入力'!$F$4:$F$153,S139)="","",INDEX('①名簿入力'!$F$4:$F$153,S139)))</f>
        <v/>
      </c>
      <c r="AU139" s="14" t="str">
        <f>IF(S139="","",IF(INDEX('①名簿入力'!$G$4:$G$153,S139)="","",INDEX('①名簿入力'!$G$4:$G$153,S139)))</f>
        <v/>
      </c>
      <c r="AV139" s="14" t="str">
        <f>IF(S139="","",IF(INDEX('①名簿入力'!$H$4:$H$153,S139)="","",INDEX('①名簿入力'!$H$4:$H$153,S139)))</f>
        <v/>
      </c>
      <c r="AW139" s="14" t="str">
        <f>IF(S139="","",IF(INDEX('①名簿入力'!$I$4:$I$153,S139)="","",INDEX('①名簿入力'!$I$4:$I$153,S139)))</f>
        <v/>
      </c>
      <c r="AX139" s="14" t="str">
        <f>IF(S139="","",IF(INDEX('①名簿入力'!$J$4:$J$153,S139)="","",INDEX('①名簿入力'!$J$4:$J$153,S139)))</f>
        <v/>
      </c>
    </row>
    <row r="140">
      <c r="A140" s="23" t="str">
        <f>IF('①名簿入力'!A135="","",'①名簿入力'!A135)</f>
        <v/>
      </c>
      <c r="B140" s="23" t="str">
        <f>IF(A140="","",'①名簿入力'!U135)</f>
        <v/>
      </c>
      <c r="D140" s="8" t="n"/>
      <c r="E140" s="24" t="n"/>
      <c r="F140" s="25" t="str">
        <f>IF(D140="","",IF(S140="","（名簿にない番号）",INDEX('①名簿入力'!$C$4:$C$153,S140)&amp;""))</f>
        <v/>
      </c>
      <c r="G140" s="13" t="str">
        <f>IF(S140="","",INDEX('①名簿入力'!$E$4:$E$153,S140)&amp;"")</f>
        <v/>
      </c>
      <c r="H140" s="13" t="str">
        <f>IF(S140="","",IF(INDEX('①名簿入力'!$B$4:$B$153,S140)="","",INDEX('①名簿入力'!$B$4:$B$153,S140)))</f>
        <v/>
      </c>
      <c r="I140" s="10" t="str">
        <f>IF(S140="","",IF(INDEX('①名簿入力'!$K$4:$K$153,S140)="","",INDEX('①名簿入力'!$K$4:$K$153,S140)))</f>
        <v/>
      </c>
      <c r="J140" s="10" t="str">
        <f>IF(S140="","",IF(INDEX('①名簿入力'!$L$4:$L$153,S140)="","",INDEX('①名簿入力'!$L$4:$L$153,S140)))</f>
        <v/>
      </c>
      <c r="K140" s="13" t="str">
        <f>IF(S140="","",IF(INDEX('①名簿入力'!$Y$4:$Y$153,S140)=1,"〇",""))</f>
        <v/>
      </c>
      <c r="L140" s="13" t="str">
        <f>IF(S140="","",IF(INDEX('①名簿入力'!$Z$4:$Z$153,S140)=1,"〇",""))</f>
        <v/>
      </c>
      <c r="M140" s="13" t="str">
        <f>IF(S140="","",IF(INDEX('①名簿入力'!$AA$4:$AA$153,S140)=1,"〇",""))</f>
        <v/>
      </c>
      <c r="N140" s="13" t="str">
        <f>IF(S140="","",IF(INDEX('①名簿入力'!$AB$4:$AB$153,S140)=1,"〇",""))</f>
        <v/>
      </c>
      <c r="O140" s="25" t="str">
        <f>AM140&amp;IF(AND(AM140&lt;&gt;"",AN140&lt;&gt;""),"、","")&amp;AN140&amp;IF(AND(AM140&amp;AN140&lt;&gt;"",AO140&lt;&gt;""),"、","")&amp;AO140</f>
        <v/>
      </c>
      <c r="P140" s="25" t="str">
        <f>IF(AG140=0,"",IF(AK140&amp;AL140="","⚠",LEFT(AK140&amp;AL140,LEN(AK140&amp;AL140)-1)))</f>
        <v/>
      </c>
      <c r="Q140" s="25" t="str">
        <f>IF(S140="","",INDEX('①名簿入力'!$T$4:$T$153,S140)&amp;"")</f>
        <v/>
      </c>
      <c r="S140" s="14" t="str">
        <f>IF(D140="","",IFERROR(MATCH(D140,'①名簿入力'!$A$4:$A$153,0),""))</f>
        <v/>
      </c>
      <c r="T140" s="14" t="str">
        <f>IF(S140="","",IF(INDEX('①名簿入力'!$AG$4:$AG$153,S140)=D140,"",INDEX('①名簿入力'!$AG$4:$AG$153,S140)))</f>
        <v/>
      </c>
      <c r="U140" s="14" t="str">
        <f>IF(S140="","",IF(INDEX('①名簿入力'!$AH$4:$AH$153,S140)=D140,"",INDEX('①名簿入力'!$AH$4:$AH$153,S140)))</f>
        <v/>
      </c>
      <c r="V140" s="14" t="str">
        <f>IF(S140="","",IF(INDEX('①名簿入力'!$AI$4:$AI$153,S140)=D140,"",INDEX('①名簿入力'!$AI$4:$AI$153,S140)))</f>
        <v/>
      </c>
      <c r="W140" s="14" t="str">
        <f>IF(T140="","",IFERROR(IF(INDEX($E$9:$E$158,MATCH(T140,$D$9:$D$158,0))="","",INDEX($E$9:$E$158,MATCH(T140,$D$9:$D$158,0))),""))</f>
        <v/>
      </c>
      <c r="X140" s="14" t="str">
        <f>IF(U140="","",IFERROR(IF(INDEX($E$9:$E$158,MATCH(U140,$D$9:$D$158,0))="","",INDEX($E$9:$E$158,MATCH(U140,$D$9:$D$158,0))),""))</f>
        <v/>
      </c>
      <c r="Y140" s="14" t="str">
        <f>IF(V140="","",IFERROR(IF(INDEX($E$9:$E$158,MATCH(V140,$D$9:$D$158,0))="","",INDEX($E$9:$E$158,MATCH(V140,$D$9:$D$158,0))),""))</f>
        <v/>
      </c>
      <c r="Z140" s="14">
        <f>IF(AND(T140&lt;&gt;"",W140&lt;&gt;"",E140&lt;&gt;""),IF(W140=E140,1,0),0)</f>
        <v>0</v>
      </c>
      <c r="AA140" s="14">
        <f>IF(AND(U140&lt;&gt;"",X140&lt;&gt;"",E140&lt;&gt;""),IF(X140=E140,1,0),0)</f>
        <v>0</v>
      </c>
      <c r="AB140" s="14">
        <f>IF(AND(V140&lt;&gt;"",Y140&lt;&gt;"",E140&lt;&gt;""),IF(Y140=E140,1,0),0)</f>
        <v>0</v>
      </c>
      <c r="AC140" s="14" t="str">
        <f>IF(OR(T140="",E140=""),"",T140&amp;"|"&amp;E140)</f>
        <v/>
      </c>
      <c r="AD140" s="14" t="str">
        <f>IF(OR(U140="",E140=""),"",U140&amp;"|"&amp;E140)</f>
        <v/>
      </c>
      <c r="AE140" s="14" t="str">
        <f>IF(OR(V140="",E140=""),"",V140&amp;"|"&amp;E140)</f>
        <v/>
      </c>
      <c r="AF140" s="14">
        <f>IF(OR(D140="",E140=""),0,COUNTIF($AC$9:$AC$158,D140&amp;"|"&amp;E140)+COUNTIF($AD$9:$AD$158,D140&amp;"|"&amp;E140)+COUNTIF($AE$9:$AE$158,D140&amp;"|"&amp;E140))</f>
        <v>0</v>
      </c>
      <c r="AG140" s="14">
        <f>Z140+AA140+AB140+AF140</f>
        <v>0</v>
      </c>
      <c r="AH140" s="14" t="str">
        <f>IF(OR(D140="",E140=""),"",IFERROR(MATCH(D140&amp;"|"&amp;E140,$AC$9:$AC$158,0),""))</f>
        <v/>
      </c>
      <c r="AI140" s="14" t="str">
        <f>IF(OR(D140="",E140=""),"",IFERROR(MATCH(D140&amp;"|"&amp;E140,$AD$9:$AD$158,0),""))</f>
        <v/>
      </c>
      <c r="AJ140" s="14" t="str">
        <f>IF(OR(D140="",E140=""),"",IFERROR(MATCH(D140&amp;"|"&amp;E140,$AE$9:$AE$158,0),""))</f>
        <v/>
      </c>
      <c r="AK140" s="14" t="str">
        <f>IF(Z140=1,IFERROR(INDEX($F$9:$F$158,MATCH(T140,$D$9:$D$158,0)),"")&amp;"、","")&amp;IF(AA140=1,IFERROR(INDEX($F$9:$F$158,MATCH(U140,$D$9:$D$158,0)),"")&amp;"、","")&amp;IF(AB140=1,IFERROR(INDEX($F$9:$F$158,MATCH(V140,$D$9:$D$158,0)),"")&amp;"、","")</f>
        <v/>
      </c>
      <c r="AL140" s="14" t="str">
        <f>IF(OR(AH140=""),"",IF(OR(INDEX($D$9:$D$158,AH140)=T140,INDEX($D$9:$D$158,AH140)=U140,INDEX($D$9:$D$158,AH140)=V140),"",INDEX($F$9:$F$158,AH140)&amp;"、"))&amp;IF(OR(AI140="",AI140=AH140),"",IF(OR(INDEX($D$9:$D$158,AI140)=T140,INDEX($D$9:$D$158,AI140)=U140,INDEX($D$9:$D$158,AI140)=V140),"",INDEX($F$9:$F$158,AI140)&amp;"、"))&amp;IF(OR(AJ140="",AJ140=AH140,AJ140=AI140),"",IF(OR(INDEX($D$9:$D$158,AJ140)=T140,INDEX($D$9:$D$158,AJ140)=U140,INDEX($D$9:$D$158,AJ140)=V140),"",INDEX($F$9:$F$158,AJ140)&amp;"、"))</f>
        <v/>
      </c>
      <c r="AM140" s="14" t="str">
        <f>IF(T140="","",IFERROR(INDEX('①名簿入力'!$C$4:$C$153,MATCH(T140,'①名簿入力'!$A$4:$A$153,0)),"?")&amp;IF(W140="","","("&amp;W140&amp;"組)"))</f>
        <v/>
      </c>
      <c r="AN140" s="14" t="str">
        <f>IF(U140="","",IFERROR(INDEX('①名簿入力'!$C$4:$C$153,MATCH(U140,'①名簿入力'!$A$4:$A$153,0)),"?")&amp;IF(X140="","","("&amp;X140&amp;"組)"))</f>
        <v/>
      </c>
      <c r="AO140" s="14" t="str">
        <f>IF(V140="","",IFERROR(INDEX('①名簿入力'!$C$4:$C$153,MATCH(V140,'①名簿入力'!$A$4:$A$153,0)),"?")&amp;IF(Y140="","","("&amp;Y140&amp;"組)"))</f>
        <v/>
      </c>
      <c r="AP140" s="14">
        <f>IF(G140="男",1,IF(G140="女",2,3))</f>
        <v>3</v>
      </c>
      <c r="AQ140" s="14" t="str">
        <f>IF(OR(S140="",E140=""),"",IFERROR(IF('③クラス一覧'!$AD$6="番号順",0,AP140*1000000000)+D140,""))</f>
        <v/>
      </c>
      <c r="AR140" s="14" t="str">
        <f>IF(AQ140="","",COUNTIFS($E$9:$E$158,E140,$AQ$9:$AQ$158,"&lt;"&amp;AQ140)+1)</f>
        <v/>
      </c>
      <c r="AS140" s="14" t="str">
        <f>IF(AR140="","",E140&amp;"-"&amp;AR140)</f>
        <v/>
      </c>
      <c r="AT140" s="14" t="str">
        <f>IF(S140="","",IF(INDEX('①名簿入力'!$F$4:$F$153,S140)="","",INDEX('①名簿入力'!$F$4:$F$153,S140)))</f>
        <v/>
      </c>
      <c r="AU140" s="14" t="str">
        <f>IF(S140="","",IF(INDEX('①名簿入力'!$G$4:$G$153,S140)="","",INDEX('①名簿入力'!$G$4:$G$153,S140)))</f>
        <v/>
      </c>
      <c r="AV140" s="14" t="str">
        <f>IF(S140="","",IF(INDEX('①名簿入力'!$H$4:$H$153,S140)="","",INDEX('①名簿入力'!$H$4:$H$153,S140)))</f>
        <v/>
      </c>
      <c r="AW140" s="14" t="str">
        <f>IF(S140="","",IF(INDEX('①名簿入力'!$I$4:$I$153,S140)="","",INDEX('①名簿入力'!$I$4:$I$153,S140)))</f>
        <v/>
      </c>
      <c r="AX140" s="14" t="str">
        <f>IF(S140="","",IF(INDEX('①名簿入力'!$J$4:$J$153,S140)="","",INDEX('①名簿入力'!$J$4:$J$153,S140)))</f>
        <v/>
      </c>
    </row>
    <row r="141">
      <c r="A141" s="23" t="str">
        <f>IF('①名簿入力'!A136="","",'①名簿入力'!A136)</f>
        <v/>
      </c>
      <c r="B141" s="23" t="str">
        <f>IF(A141="","",'①名簿入力'!U136)</f>
        <v/>
      </c>
      <c r="D141" s="8" t="n"/>
      <c r="E141" s="24" t="n"/>
      <c r="F141" s="25" t="str">
        <f>IF(D141="","",IF(S141="","（名簿にない番号）",INDEX('①名簿入力'!$C$4:$C$153,S141)&amp;""))</f>
        <v/>
      </c>
      <c r="G141" s="13" t="str">
        <f>IF(S141="","",INDEX('①名簿入力'!$E$4:$E$153,S141)&amp;"")</f>
        <v/>
      </c>
      <c r="H141" s="13" t="str">
        <f>IF(S141="","",IF(INDEX('①名簿入力'!$B$4:$B$153,S141)="","",INDEX('①名簿入力'!$B$4:$B$153,S141)))</f>
        <v/>
      </c>
      <c r="I141" s="10" t="str">
        <f>IF(S141="","",IF(INDEX('①名簿入力'!$K$4:$K$153,S141)="","",INDEX('①名簿入力'!$K$4:$K$153,S141)))</f>
        <v/>
      </c>
      <c r="J141" s="10" t="str">
        <f>IF(S141="","",IF(INDEX('①名簿入力'!$L$4:$L$153,S141)="","",INDEX('①名簿入力'!$L$4:$L$153,S141)))</f>
        <v/>
      </c>
      <c r="K141" s="13" t="str">
        <f>IF(S141="","",IF(INDEX('①名簿入力'!$Y$4:$Y$153,S141)=1,"〇",""))</f>
        <v/>
      </c>
      <c r="L141" s="13" t="str">
        <f>IF(S141="","",IF(INDEX('①名簿入力'!$Z$4:$Z$153,S141)=1,"〇",""))</f>
        <v/>
      </c>
      <c r="M141" s="13" t="str">
        <f>IF(S141="","",IF(INDEX('①名簿入力'!$AA$4:$AA$153,S141)=1,"〇",""))</f>
        <v/>
      </c>
      <c r="N141" s="13" t="str">
        <f>IF(S141="","",IF(INDEX('①名簿入力'!$AB$4:$AB$153,S141)=1,"〇",""))</f>
        <v/>
      </c>
      <c r="O141" s="25" t="str">
        <f>AM141&amp;IF(AND(AM141&lt;&gt;"",AN141&lt;&gt;""),"、","")&amp;AN141&amp;IF(AND(AM141&amp;AN141&lt;&gt;"",AO141&lt;&gt;""),"、","")&amp;AO141</f>
        <v/>
      </c>
      <c r="P141" s="25" t="str">
        <f>IF(AG141=0,"",IF(AK141&amp;AL141="","⚠",LEFT(AK141&amp;AL141,LEN(AK141&amp;AL141)-1)))</f>
        <v/>
      </c>
      <c r="Q141" s="25" t="str">
        <f>IF(S141="","",INDEX('①名簿入力'!$T$4:$T$153,S141)&amp;"")</f>
        <v/>
      </c>
      <c r="S141" s="14" t="str">
        <f>IF(D141="","",IFERROR(MATCH(D141,'①名簿入力'!$A$4:$A$153,0),""))</f>
        <v/>
      </c>
      <c r="T141" s="14" t="str">
        <f>IF(S141="","",IF(INDEX('①名簿入力'!$AG$4:$AG$153,S141)=D141,"",INDEX('①名簿入力'!$AG$4:$AG$153,S141)))</f>
        <v/>
      </c>
      <c r="U141" s="14" t="str">
        <f>IF(S141="","",IF(INDEX('①名簿入力'!$AH$4:$AH$153,S141)=D141,"",INDEX('①名簿入力'!$AH$4:$AH$153,S141)))</f>
        <v/>
      </c>
      <c r="V141" s="14" t="str">
        <f>IF(S141="","",IF(INDEX('①名簿入力'!$AI$4:$AI$153,S141)=D141,"",INDEX('①名簿入力'!$AI$4:$AI$153,S141)))</f>
        <v/>
      </c>
      <c r="W141" s="14" t="str">
        <f>IF(T141="","",IFERROR(IF(INDEX($E$9:$E$158,MATCH(T141,$D$9:$D$158,0))="","",INDEX($E$9:$E$158,MATCH(T141,$D$9:$D$158,0))),""))</f>
        <v/>
      </c>
      <c r="X141" s="14" t="str">
        <f>IF(U141="","",IFERROR(IF(INDEX($E$9:$E$158,MATCH(U141,$D$9:$D$158,0))="","",INDEX($E$9:$E$158,MATCH(U141,$D$9:$D$158,0))),""))</f>
        <v/>
      </c>
      <c r="Y141" s="14" t="str">
        <f>IF(V141="","",IFERROR(IF(INDEX($E$9:$E$158,MATCH(V141,$D$9:$D$158,0))="","",INDEX($E$9:$E$158,MATCH(V141,$D$9:$D$158,0))),""))</f>
        <v/>
      </c>
      <c r="Z141" s="14">
        <f>IF(AND(T141&lt;&gt;"",W141&lt;&gt;"",E141&lt;&gt;""),IF(W141=E141,1,0),0)</f>
        <v>0</v>
      </c>
      <c r="AA141" s="14">
        <f>IF(AND(U141&lt;&gt;"",X141&lt;&gt;"",E141&lt;&gt;""),IF(X141=E141,1,0),0)</f>
        <v>0</v>
      </c>
      <c r="AB141" s="14">
        <f>IF(AND(V141&lt;&gt;"",Y141&lt;&gt;"",E141&lt;&gt;""),IF(Y141=E141,1,0),0)</f>
        <v>0</v>
      </c>
      <c r="AC141" s="14" t="str">
        <f>IF(OR(T141="",E141=""),"",T141&amp;"|"&amp;E141)</f>
        <v/>
      </c>
      <c r="AD141" s="14" t="str">
        <f>IF(OR(U141="",E141=""),"",U141&amp;"|"&amp;E141)</f>
        <v/>
      </c>
      <c r="AE141" s="14" t="str">
        <f>IF(OR(V141="",E141=""),"",V141&amp;"|"&amp;E141)</f>
        <v/>
      </c>
      <c r="AF141" s="14">
        <f>IF(OR(D141="",E141=""),0,COUNTIF($AC$9:$AC$158,D141&amp;"|"&amp;E141)+COUNTIF($AD$9:$AD$158,D141&amp;"|"&amp;E141)+COUNTIF($AE$9:$AE$158,D141&amp;"|"&amp;E141))</f>
        <v>0</v>
      </c>
      <c r="AG141" s="14">
        <f>Z141+AA141+AB141+AF141</f>
        <v>0</v>
      </c>
      <c r="AH141" s="14" t="str">
        <f>IF(OR(D141="",E141=""),"",IFERROR(MATCH(D141&amp;"|"&amp;E141,$AC$9:$AC$158,0),""))</f>
        <v/>
      </c>
      <c r="AI141" s="14" t="str">
        <f>IF(OR(D141="",E141=""),"",IFERROR(MATCH(D141&amp;"|"&amp;E141,$AD$9:$AD$158,0),""))</f>
        <v/>
      </c>
      <c r="AJ141" s="14" t="str">
        <f>IF(OR(D141="",E141=""),"",IFERROR(MATCH(D141&amp;"|"&amp;E141,$AE$9:$AE$158,0),""))</f>
        <v/>
      </c>
      <c r="AK141" s="14" t="str">
        <f>IF(Z141=1,IFERROR(INDEX($F$9:$F$158,MATCH(T141,$D$9:$D$158,0)),"")&amp;"、","")&amp;IF(AA141=1,IFERROR(INDEX($F$9:$F$158,MATCH(U141,$D$9:$D$158,0)),"")&amp;"、","")&amp;IF(AB141=1,IFERROR(INDEX($F$9:$F$158,MATCH(V141,$D$9:$D$158,0)),"")&amp;"、","")</f>
        <v/>
      </c>
      <c r="AL141" s="14" t="str">
        <f>IF(OR(AH141=""),"",IF(OR(INDEX($D$9:$D$158,AH141)=T141,INDEX($D$9:$D$158,AH141)=U141,INDEX($D$9:$D$158,AH141)=V141),"",INDEX($F$9:$F$158,AH141)&amp;"、"))&amp;IF(OR(AI141="",AI141=AH141),"",IF(OR(INDEX($D$9:$D$158,AI141)=T141,INDEX($D$9:$D$158,AI141)=U141,INDEX($D$9:$D$158,AI141)=V141),"",INDEX($F$9:$F$158,AI141)&amp;"、"))&amp;IF(OR(AJ141="",AJ141=AH141,AJ141=AI141),"",IF(OR(INDEX($D$9:$D$158,AJ141)=T141,INDEX($D$9:$D$158,AJ141)=U141,INDEX($D$9:$D$158,AJ141)=V141),"",INDEX($F$9:$F$158,AJ141)&amp;"、"))</f>
        <v/>
      </c>
      <c r="AM141" s="14" t="str">
        <f>IF(T141="","",IFERROR(INDEX('①名簿入力'!$C$4:$C$153,MATCH(T141,'①名簿入力'!$A$4:$A$153,0)),"?")&amp;IF(W141="","","("&amp;W141&amp;"組)"))</f>
        <v/>
      </c>
      <c r="AN141" s="14" t="str">
        <f>IF(U141="","",IFERROR(INDEX('①名簿入力'!$C$4:$C$153,MATCH(U141,'①名簿入力'!$A$4:$A$153,0)),"?")&amp;IF(X141="","","("&amp;X141&amp;"組)"))</f>
        <v/>
      </c>
      <c r="AO141" s="14" t="str">
        <f>IF(V141="","",IFERROR(INDEX('①名簿入力'!$C$4:$C$153,MATCH(V141,'①名簿入力'!$A$4:$A$153,0)),"?")&amp;IF(Y141="","","("&amp;Y141&amp;"組)"))</f>
        <v/>
      </c>
      <c r="AP141" s="14">
        <f>IF(G141="男",1,IF(G141="女",2,3))</f>
        <v>3</v>
      </c>
      <c r="AQ141" s="14" t="str">
        <f>IF(OR(S141="",E141=""),"",IFERROR(IF('③クラス一覧'!$AD$6="番号順",0,AP141*1000000000)+D141,""))</f>
        <v/>
      </c>
      <c r="AR141" s="14" t="str">
        <f>IF(AQ141="","",COUNTIFS($E$9:$E$158,E141,$AQ$9:$AQ$158,"&lt;"&amp;AQ141)+1)</f>
        <v/>
      </c>
      <c r="AS141" s="14" t="str">
        <f>IF(AR141="","",E141&amp;"-"&amp;AR141)</f>
        <v/>
      </c>
      <c r="AT141" s="14" t="str">
        <f>IF(S141="","",IF(INDEX('①名簿入力'!$F$4:$F$153,S141)="","",INDEX('①名簿入力'!$F$4:$F$153,S141)))</f>
        <v/>
      </c>
      <c r="AU141" s="14" t="str">
        <f>IF(S141="","",IF(INDEX('①名簿入力'!$G$4:$G$153,S141)="","",INDEX('①名簿入力'!$G$4:$G$153,S141)))</f>
        <v/>
      </c>
      <c r="AV141" s="14" t="str">
        <f>IF(S141="","",IF(INDEX('①名簿入力'!$H$4:$H$153,S141)="","",INDEX('①名簿入力'!$H$4:$H$153,S141)))</f>
        <v/>
      </c>
      <c r="AW141" s="14" t="str">
        <f>IF(S141="","",IF(INDEX('①名簿入力'!$I$4:$I$153,S141)="","",INDEX('①名簿入力'!$I$4:$I$153,S141)))</f>
        <v/>
      </c>
      <c r="AX141" s="14" t="str">
        <f>IF(S141="","",IF(INDEX('①名簿入力'!$J$4:$J$153,S141)="","",INDEX('①名簿入力'!$J$4:$J$153,S141)))</f>
        <v/>
      </c>
    </row>
    <row r="142">
      <c r="A142" s="23" t="str">
        <f>IF('①名簿入力'!A137="","",'①名簿入力'!A137)</f>
        <v/>
      </c>
      <c r="B142" s="23" t="str">
        <f>IF(A142="","",'①名簿入力'!U137)</f>
        <v/>
      </c>
      <c r="D142" s="8" t="n"/>
      <c r="E142" s="24" t="n"/>
      <c r="F142" s="25" t="str">
        <f>IF(D142="","",IF(S142="","（名簿にない番号）",INDEX('①名簿入力'!$C$4:$C$153,S142)&amp;""))</f>
        <v/>
      </c>
      <c r="G142" s="13" t="str">
        <f>IF(S142="","",INDEX('①名簿入力'!$E$4:$E$153,S142)&amp;"")</f>
        <v/>
      </c>
      <c r="H142" s="13" t="str">
        <f>IF(S142="","",IF(INDEX('①名簿入力'!$B$4:$B$153,S142)="","",INDEX('①名簿入力'!$B$4:$B$153,S142)))</f>
        <v/>
      </c>
      <c r="I142" s="10" t="str">
        <f>IF(S142="","",IF(INDEX('①名簿入力'!$K$4:$K$153,S142)="","",INDEX('①名簿入力'!$K$4:$K$153,S142)))</f>
        <v/>
      </c>
      <c r="J142" s="10" t="str">
        <f>IF(S142="","",IF(INDEX('①名簿入力'!$L$4:$L$153,S142)="","",INDEX('①名簿入力'!$L$4:$L$153,S142)))</f>
        <v/>
      </c>
      <c r="K142" s="13" t="str">
        <f>IF(S142="","",IF(INDEX('①名簿入力'!$Y$4:$Y$153,S142)=1,"〇",""))</f>
        <v/>
      </c>
      <c r="L142" s="13" t="str">
        <f>IF(S142="","",IF(INDEX('①名簿入力'!$Z$4:$Z$153,S142)=1,"〇",""))</f>
        <v/>
      </c>
      <c r="M142" s="13" t="str">
        <f>IF(S142="","",IF(INDEX('①名簿入力'!$AA$4:$AA$153,S142)=1,"〇",""))</f>
        <v/>
      </c>
      <c r="N142" s="13" t="str">
        <f>IF(S142="","",IF(INDEX('①名簿入力'!$AB$4:$AB$153,S142)=1,"〇",""))</f>
        <v/>
      </c>
      <c r="O142" s="25" t="str">
        <f>AM142&amp;IF(AND(AM142&lt;&gt;"",AN142&lt;&gt;""),"、","")&amp;AN142&amp;IF(AND(AM142&amp;AN142&lt;&gt;"",AO142&lt;&gt;""),"、","")&amp;AO142</f>
        <v/>
      </c>
      <c r="P142" s="25" t="str">
        <f>IF(AG142=0,"",IF(AK142&amp;AL142="","⚠",LEFT(AK142&amp;AL142,LEN(AK142&amp;AL142)-1)))</f>
        <v/>
      </c>
      <c r="Q142" s="25" t="str">
        <f>IF(S142="","",INDEX('①名簿入力'!$T$4:$T$153,S142)&amp;"")</f>
        <v/>
      </c>
      <c r="S142" s="14" t="str">
        <f>IF(D142="","",IFERROR(MATCH(D142,'①名簿入力'!$A$4:$A$153,0),""))</f>
        <v/>
      </c>
      <c r="T142" s="14" t="str">
        <f>IF(S142="","",IF(INDEX('①名簿入力'!$AG$4:$AG$153,S142)=D142,"",INDEX('①名簿入力'!$AG$4:$AG$153,S142)))</f>
        <v/>
      </c>
      <c r="U142" s="14" t="str">
        <f>IF(S142="","",IF(INDEX('①名簿入力'!$AH$4:$AH$153,S142)=D142,"",INDEX('①名簿入力'!$AH$4:$AH$153,S142)))</f>
        <v/>
      </c>
      <c r="V142" s="14" t="str">
        <f>IF(S142="","",IF(INDEX('①名簿入力'!$AI$4:$AI$153,S142)=D142,"",INDEX('①名簿入力'!$AI$4:$AI$153,S142)))</f>
        <v/>
      </c>
      <c r="W142" s="14" t="str">
        <f>IF(T142="","",IFERROR(IF(INDEX($E$9:$E$158,MATCH(T142,$D$9:$D$158,0))="","",INDEX($E$9:$E$158,MATCH(T142,$D$9:$D$158,0))),""))</f>
        <v/>
      </c>
      <c r="X142" s="14" t="str">
        <f>IF(U142="","",IFERROR(IF(INDEX($E$9:$E$158,MATCH(U142,$D$9:$D$158,0))="","",INDEX($E$9:$E$158,MATCH(U142,$D$9:$D$158,0))),""))</f>
        <v/>
      </c>
      <c r="Y142" s="14" t="str">
        <f>IF(V142="","",IFERROR(IF(INDEX($E$9:$E$158,MATCH(V142,$D$9:$D$158,0))="","",INDEX($E$9:$E$158,MATCH(V142,$D$9:$D$158,0))),""))</f>
        <v/>
      </c>
      <c r="Z142" s="14">
        <f>IF(AND(T142&lt;&gt;"",W142&lt;&gt;"",E142&lt;&gt;""),IF(W142=E142,1,0),0)</f>
        <v>0</v>
      </c>
      <c r="AA142" s="14">
        <f>IF(AND(U142&lt;&gt;"",X142&lt;&gt;"",E142&lt;&gt;""),IF(X142=E142,1,0),0)</f>
        <v>0</v>
      </c>
      <c r="AB142" s="14">
        <f>IF(AND(V142&lt;&gt;"",Y142&lt;&gt;"",E142&lt;&gt;""),IF(Y142=E142,1,0),0)</f>
        <v>0</v>
      </c>
      <c r="AC142" s="14" t="str">
        <f>IF(OR(T142="",E142=""),"",T142&amp;"|"&amp;E142)</f>
        <v/>
      </c>
      <c r="AD142" s="14" t="str">
        <f>IF(OR(U142="",E142=""),"",U142&amp;"|"&amp;E142)</f>
        <v/>
      </c>
      <c r="AE142" s="14" t="str">
        <f>IF(OR(V142="",E142=""),"",V142&amp;"|"&amp;E142)</f>
        <v/>
      </c>
      <c r="AF142" s="14">
        <f>IF(OR(D142="",E142=""),0,COUNTIF($AC$9:$AC$158,D142&amp;"|"&amp;E142)+COUNTIF($AD$9:$AD$158,D142&amp;"|"&amp;E142)+COUNTIF($AE$9:$AE$158,D142&amp;"|"&amp;E142))</f>
        <v>0</v>
      </c>
      <c r="AG142" s="14">
        <f>Z142+AA142+AB142+AF142</f>
        <v>0</v>
      </c>
      <c r="AH142" s="14" t="str">
        <f>IF(OR(D142="",E142=""),"",IFERROR(MATCH(D142&amp;"|"&amp;E142,$AC$9:$AC$158,0),""))</f>
        <v/>
      </c>
      <c r="AI142" s="14" t="str">
        <f>IF(OR(D142="",E142=""),"",IFERROR(MATCH(D142&amp;"|"&amp;E142,$AD$9:$AD$158,0),""))</f>
        <v/>
      </c>
      <c r="AJ142" s="14" t="str">
        <f>IF(OR(D142="",E142=""),"",IFERROR(MATCH(D142&amp;"|"&amp;E142,$AE$9:$AE$158,0),""))</f>
        <v/>
      </c>
      <c r="AK142" s="14" t="str">
        <f>IF(Z142=1,IFERROR(INDEX($F$9:$F$158,MATCH(T142,$D$9:$D$158,0)),"")&amp;"、","")&amp;IF(AA142=1,IFERROR(INDEX($F$9:$F$158,MATCH(U142,$D$9:$D$158,0)),"")&amp;"、","")&amp;IF(AB142=1,IFERROR(INDEX($F$9:$F$158,MATCH(V142,$D$9:$D$158,0)),"")&amp;"、","")</f>
        <v/>
      </c>
      <c r="AL142" s="14" t="str">
        <f>IF(OR(AH142=""),"",IF(OR(INDEX($D$9:$D$158,AH142)=T142,INDEX($D$9:$D$158,AH142)=U142,INDEX($D$9:$D$158,AH142)=V142),"",INDEX($F$9:$F$158,AH142)&amp;"、"))&amp;IF(OR(AI142="",AI142=AH142),"",IF(OR(INDEX($D$9:$D$158,AI142)=T142,INDEX($D$9:$D$158,AI142)=U142,INDEX($D$9:$D$158,AI142)=V142),"",INDEX($F$9:$F$158,AI142)&amp;"、"))&amp;IF(OR(AJ142="",AJ142=AH142,AJ142=AI142),"",IF(OR(INDEX($D$9:$D$158,AJ142)=T142,INDEX($D$9:$D$158,AJ142)=U142,INDEX($D$9:$D$158,AJ142)=V142),"",INDEX($F$9:$F$158,AJ142)&amp;"、"))</f>
        <v/>
      </c>
      <c r="AM142" s="14" t="str">
        <f>IF(T142="","",IFERROR(INDEX('①名簿入力'!$C$4:$C$153,MATCH(T142,'①名簿入力'!$A$4:$A$153,0)),"?")&amp;IF(W142="","","("&amp;W142&amp;"組)"))</f>
        <v/>
      </c>
      <c r="AN142" s="14" t="str">
        <f>IF(U142="","",IFERROR(INDEX('①名簿入力'!$C$4:$C$153,MATCH(U142,'①名簿入力'!$A$4:$A$153,0)),"?")&amp;IF(X142="","","("&amp;X142&amp;"組)"))</f>
        <v/>
      </c>
      <c r="AO142" s="14" t="str">
        <f>IF(V142="","",IFERROR(INDEX('①名簿入力'!$C$4:$C$153,MATCH(V142,'①名簿入力'!$A$4:$A$153,0)),"?")&amp;IF(Y142="","","("&amp;Y142&amp;"組)"))</f>
        <v/>
      </c>
      <c r="AP142" s="14">
        <f>IF(G142="男",1,IF(G142="女",2,3))</f>
        <v>3</v>
      </c>
      <c r="AQ142" s="14" t="str">
        <f>IF(OR(S142="",E142=""),"",IFERROR(IF('③クラス一覧'!$AD$6="番号順",0,AP142*1000000000)+D142,""))</f>
        <v/>
      </c>
      <c r="AR142" s="14" t="str">
        <f>IF(AQ142="","",COUNTIFS($E$9:$E$158,E142,$AQ$9:$AQ$158,"&lt;"&amp;AQ142)+1)</f>
        <v/>
      </c>
      <c r="AS142" s="14" t="str">
        <f>IF(AR142="","",E142&amp;"-"&amp;AR142)</f>
        <v/>
      </c>
      <c r="AT142" s="14" t="str">
        <f>IF(S142="","",IF(INDEX('①名簿入力'!$F$4:$F$153,S142)="","",INDEX('①名簿入力'!$F$4:$F$153,S142)))</f>
        <v/>
      </c>
      <c r="AU142" s="14" t="str">
        <f>IF(S142="","",IF(INDEX('①名簿入力'!$G$4:$G$153,S142)="","",INDEX('①名簿入力'!$G$4:$G$153,S142)))</f>
        <v/>
      </c>
      <c r="AV142" s="14" t="str">
        <f>IF(S142="","",IF(INDEX('①名簿入力'!$H$4:$H$153,S142)="","",INDEX('①名簿入力'!$H$4:$H$153,S142)))</f>
        <v/>
      </c>
      <c r="AW142" s="14" t="str">
        <f>IF(S142="","",IF(INDEX('①名簿入力'!$I$4:$I$153,S142)="","",INDEX('①名簿入力'!$I$4:$I$153,S142)))</f>
        <v/>
      </c>
      <c r="AX142" s="14" t="str">
        <f>IF(S142="","",IF(INDEX('①名簿入力'!$J$4:$J$153,S142)="","",INDEX('①名簿入力'!$J$4:$J$153,S142)))</f>
        <v/>
      </c>
    </row>
    <row r="143">
      <c r="A143" s="23" t="str">
        <f>IF('①名簿入力'!A138="","",'①名簿入力'!A138)</f>
        <v/>
      </c>
      <c r="B143" s="23" t="str">
        <f>IF(A143="","",'①名簿入力'!U138)</f>
        <v/>
      </c>
      <c r="D143" s="8" t="n"/>
      <c r="E143" s="24" t="n"/>
      <c r="F143" s="25" t="str">
        <f>IF(D143="","",IF(S143="","（名簿にない番号）",INDEX('①名簿入力'!$C$4:$C$153,S143)&amp;""))</f>
        <v/>
      </c>
      <c r="G143" s="13" t="str">
        <f>IF(S143="","",INDEX('①名簿入力'!$E$4:$E$153,S143)&amp;"")</f>
        <v/>
      </c>
      <c r="H143" s="13" t="str">
        <f>IF(S143="","",IF(INDEX('①名簿入力'!$B$4:$B$153,S143)="","",INDEX('①名簿入力'!$B$4:$B$153,S143)))</f>
        <v/>
      </c>
      <c r="I143" s="10" t="str">
        <f>IF(S143="","",IF(INDEX('①名簿入力'!$K$4:$K$153,S143)="","",INDEX('①名簿入力'!$K$4:$K$153,S143)))</f>
        <v/>
      </c>
      <c r="J143" s="10" t="str">
        <f>IF(S143="","",IF(INDEX('①名簿入力'!$L$4:$L$153,S143)="","",INDEX('①名簿入力'!$L$4:$L$153,S143)))</f>
        <v/>
      </c>
      <c r="K143" s="13" t="str">
        <f>IF(S143="","",IF(INDEX('①名簿入力'!$Y$4:$Y$153,S143)=1,"〇",""))</f>
        <v/>
      </c>
      <c r="L143" s="13" t="str">
        <f>IF(S143="","",IF(INDEX('①名簿入力'!$Z$4:$Z$153,S143)=1,"〇",""))</f>
        <v/>
      </c>
      <c r="M143" s="13" t="str">
        <f>IF(S143="","",IF(INDEX('①名簿入力'!$AA$4:$AA$153,S143)=1,"〇",""))</f>
        <v/>
      </c>
      <c r="N143" s="13" t="str">
        <f>IF(S143="","",IF(INDEX('①名簿入力'!$AB$4:$AB$153,S143)=1,"〇",""))</f>
        <v/>
      </c>
      <c r="O143" s="25" t="str">
        <f>AM143&amp;IF(AND(AM143&lt;&gt;"",AN143&lt;&gt;""),"、","")&amp;AN143&amp;IF(AND(AM143&amp;AN143&lt;&gt;"",AO143&lt;&gt;""),"、","")&amp;AO143</f>
        <v/>
      </c>
      <c r="P143" s="25" t="str">
        <f>IF(AG143=0,"",IF(AK143&amp;AL143="","⚠",LEFT(AK143&amp;AL143,LEN(AK143&amp;AL143)-1)))</f>
        <v/>
      </c>
      <c r="Q143" s="25" t="str">
        <f>IF(S143="","",INDEX('①名簿入力'!$T$4:$T$153,S143)&amp;"")</f>
        <v/>
      </c>
      <c r="S143" s="14" t="str">
        <f>IF(D143="","",IFERROR(MATCH(D143,'①名簿入力'!$A$4:$A$153,0),""))</f>
        <v/>
      </c>
      <c r="T143" s="14" t="str">
        <f>IF(S143="","",IF(INDEX('①名簿入力'!$AG$4:$AG$153,S143)=D143,"",INDEX('①名簿入力'!$AG$4:$AG$153,S143)))</f>
        <v/>
      </c>
      <c r="U143" s="14" t="str">
        <f>IF(S143="","",IF(INDEX('①名簿入力'!$AH$4:$AH$153,S143)=D143,"",INDEX('①名簿入力'!$AH$4:$AH$153,S143)))</f>
        <v/>
      </c>
      <c r="V143" s="14" t="str">
        <f>IF(S143="","",IF(INDEX('①名簿入力'!$AI$4:$AI$153,S143)=D143,"",INDEX('①名簿入力'!$AI$4:$AI$153,S143)))</f>
        <v/>
      </c>
      <c r="W143" s="14" t="str">
        <f>IF(T143="","",IFERROR(IF(INDEX($E$9:$E$158,MATCH(T143,$D$9:$D$158,0))="","",INDEX($E$9:$E$158,MATCH(T143,$D$9:$D$158,0))),""))</f>
        <v/>
      </c>
      <c r="X143" s="14" t="str">
        <f>IF(U143="","",IFERROR(IF(INDEX($E$9:$E$158,MATCH(U143,$D$9:$D$158,0))="","",INDEX($E$9:$E$158,MATCH(U143,$D$9:$D$158,0))),""))</f>
        <v/>
      </c>
      <c r="Y143" s="14" t="str">
        <f>IF(V143="","",IFERROR(IF(INDEX($E$9:$E$158,MATCH(V143,$D$9:$D$158,0))="","",INDEX($E$9:$E$158,MATCH(V143,$D$9:$D$158,0))),""))</f>
        <v/>
      </c>
      <c r="Z143" s="14">
        <f>IF(AND(T143&lt;&gt;"",W143&lt;&gt;"",E143&lt;&gt;""),IF(W143=E143,1,0),0)</f>
        <v>0</v>
      </c>
      <c r="AA143" s="14">
        <f>IF(AND(U143&lt;&gt;"",X143&lt;&gt;"",E143&lt;&gt;""),IF(X143=E143,1,0),0)</f>
        <v>0</v>
      </c>
      <c r="AB143" s="14">
        <f>IF(AND(V143&lt;&gt;"",Y143&lt;&gt;"",E143&lt;&gt;""),IF(Y143=E143,1,0),0)</f>
        <v>0</v>
      </c>
      <c r="AC143" s="14" t="str">
        <f>IF(OR(T143="",E143=""),"",T143&amp;"|"&amp;E143)</f>
        <v/>
      </c>
      <c r="AD143" s="14" t="str">
        <f>IF(OR(U143="",E143=""),"",U143&amp;"|"&amp;E143)</f>
        <v/>
      </c>
      <c r="AE143" s="14" t="str">
        <f>IF(OR(V143="",E143=""),"",V143&amp;"|"&amp;E143)</f>
        <v/>
      </c>
      <c r="AF143" s="14">
        <f>IF(OR(D143="",E143=""),0,COUNTIF($AC$9:$AC$158,D143&amp;"|"&amp;E143)+COUNTIF($AD$9:$AD$158,D143&amp;"|"&amp;E143)+COUNTIF($AE$9:$AE$158,D143&amp;"|"&amp;E143))</f>
        <v>0</v>
      </c>
      <c r="AG143" s="14">
        <f>Z143+AA143+AB143+AF143</f>
        <v>0</v>
      </c>
      <c r="AH143" s="14" t="str">
        <f>IF(OR(D143="",E143=""),"",IFERROR(MATCH(D143&amp;"|"&amp;E143,$AC$9:$AC$158,0),""))</f>
        <v/>
      </c>
      <c r="AI143" s="14" t="str">
        <f>IF(OR(D143="",E143=""),"",IFERROR(MATCH(D143&amp;"|"&amp;E143,$AD$9:$AD$158,0),""))</f>
        <v/>
      </c>
      <c r="AJ143" s="14" t="str">
        <f>IF(OR(D143="",E143=""),"",IFERROR(MATCH(D143&amp;"|"&amp;E143,$AE$9:$AE$158,0),""))</f>
        <v/>
      </c>
      <c r="AK143" s="14" t="str">
        <f>IF(Z143=1,IFERROR(INDEX($F$9:$F$158,MATCH(T143,$D$9:$D$158,0)),"")&amp;"、","")&amp;IF(AA143=1,IFERROR(INDEX($F$9:$F$158,MATCH(U143,$D$9:$D$158,0)),"")&amp;"、","")&amp;IF(AB143=1,IFERROR(INDEX($F$9:$F$158,MATCH(V143,$D$9:$D$158,0)),"")&amp;"、","")</f>
        <v/>
      </c>
      <c r="AL143" s="14" t="str">
        <f>IF(OR(AH143=""),"",IF(OR(INDEX($D$9:$D$158,AH143)=T143,INDEX($D$9:$D$158,AH143)=U143,INDEX($D$9:$D$158,AH143)=V143),"",INDEX($F$9:$F$158,AH143)&amp;"、"))&amp;IF(OR(AI143="",AI143=AH143),"",IF(OR(INDEX($D$9:$D$158,AI143)=T143,INDEX($D$9:$D$158,AI143)=U143,INDEX($D$9:$D$158,AI143)=V143),"",INDEX($F$9:$F$158,AI143)&amp;"、"))&amp;IF(OR(AJ143="",AJ143=AH143,AJ143=AI143),"",IF(OR(INDEX($D$9:$D$158,AJ143)=T143,INDEX($D$9:$D$158,AJ143)=U143,INDEX($D$9:$D$158,AJ143)=V143),"",INDEX($F$9:$F$158,AJ143)&amp;"、"))</f>
        <v/>
      </c>
      <c r="AM143" s="14" t="str">
        <f>IF(T143="","",IFERROR(INDEX('①名簿入力'!$C$4:$C$153,MATCH(T143,'①名簿入力'!$A$4:$A$153,0)),"?")&amp;IF(W143="","","("&amp;W143&amp;"組)"))</f>
        <v/>
      </c>
      <c r="AN143" s="14" t="str">
        <f>IF(U143="","",IFERROR(INDEX('①名簿入力'!$C$4:$C$153,MATCH(U143,'①名簿入力'!$A$4:$A$153,0)),"?")&amp;IF(X143="","","("&amp;X143&amp;"組)"))</f>
        <v/>
      </c>
      <c r="AO143" s="14" t="str">
        <f>IF(V143="","",IFERROR(INDEX('①名簿入力'!$C$4:$C$153,MATCH(V143,'①名簿入力'!$A$4:$A$153,0)),"?")&amp;IF(Y143="","","("&amp;Y143&amp;"組)"))</f>
        <v/>
      </c>
      <c r="AP143" s="14">
        <f>IF(G143="男",1,IF(G143="女",2,3))</f>
        <v>3</v>
      </c>
      <c r="AQ143" s="14" t="str">
        <f>IF(OR(S143="",E143=""),"",IFERROR(IF('③クラス一覧'!$AD$6="番号順",0,AP143*1000000000)+D143,""))</f>
        <v/>
      </c>
      <c r="AR143" s="14" t="str">
        <f>IF(AQ143="","",COUNTIFS($E$9:$E$158,E143,$AQ$9:$AQ$158,"&lt;"&amp;AQ143)+1)</f>
        <v/>
      </c>
      <c r="AS143" s="14" t="str">
        <f>IF(AR143="","",E143&amp;"-"&amp;AR143)</f>
        <v/>
      </c>
      <c r="AT143" s="14" t="str">
        <f>IF(S143="","",IF(INDEX('①名簿入力'!$F$4:$F$153,S143)="","",INDEX('①名簿入力'!$F$4:$F$153,S143)))</f>
        <v/>
      </c>
      <c r="AU143" s="14" t="str">
        <f>IF(S143="","",IF(INDEX('①名簿入力'!$G$4:$G$153,S143)="","",INDEX('①名簿入力'!$G$4:$G$153,S143)))</f>
        <v/>
      </c>
      <c r="AV143" s="14" t="str">
        <f>IF(S143="","",IF(INDEX('①名簿入力'!$H$4:$H$153,S143)="","",INDEX('①名簿入力'!$H$4:$H$153,S143)))</f>
        <v/>
      </c>
      <c r="AW143" s="14" t="str">
        <f>IF(S143="","",IF(INDEX('①名簿入力'!$I$4:$I$153,S143)="","",INDEX('①名簿入力'!$I$4:$I$153,S143)))</f>
        <v/>
      </c>
      <c r="AX143" s="14" t="str">
        <f>IF(S143="","",IF(INDEX('①名簿入力'!$J$4:$J$153,S143)="","",INDEX('①名簿入力'!$J$4:$J$153,S143)))</f>
        <v/>
      </c>
    </row>
    <row r="144">
      <c r="A144" s="23" t="str">
        <f>IF('①名簿入力'!A139="","",'①名簿入力'!A139)</f>
        <v/>
      </c>
      <c r="B144" s="23" t="str">
        <f>IF(A144="","",'①名簿入力'!U139)</f>
        <v/>
      </c>
      <c r="D144" s="8" t="n"/>
      <c r="E144" s="24" t="n"/>
      <c r="F144" s="25" t="str">
        <f>IF(D144="","",IF(S144="","（名簿にない番号）",INDEX('①名簿入力'!$C$4:$C$153,S144)&amp;""))</f>
        <v/>
      </c>
      <c r="G144" s="13" t="str">
        <f>IF(S144="","",INDEX('①名簿入力'!$E$4:$E$153,S144)&amp;"")</f>
        <v/>
      </c>
      <c r="H144" s="13" t="str">
        <f>IF(S144="","",IF(INDEX('①名簿入力'!$B$4:$B$153,S144)="","",INDEX('①名簿入力'!$B$4:$B$153,S144)))</f>
        <v/>
      </c>
      <c r="I144" s="10" t="str">
        <f>IF(S144="","",IF(INDEX('①名簿入力'!$K$4:$K$153,S144)="","",INDEX('①名簿入力'!$K$4:$K$153,S144)))</f>
        <v/>
      </c>
      <c r="J144" s="10" t="str">
        <f>IF(S144="","",IF(INDEX('①名簿入力'!$L$4:$L$153,S144)="","",INDEX('①名簿入力'!$L$4:$L$153,S144)))</f>
        <v/>
      </c>
      <c r="K144" s="13" t="str">
        <f>IF(S144="","",IF(INDEX('①名簿入力'!$Y$4:$Y$153,S144)=1,"〇",""))</f>
        <v/>
      </c>
      <c r="L144" s="13" t="str">
        <f>IF(S144="","",IF(INDEX('①名簿入力'!$Z$4:$Z$153,S144)=1,"〇",""))</f>
        <v/>
      </c>
      <c r="M144" s="13" t="str">
        <f>IF(S144="","",IF(INDEX('①名簿入力'!$AA$4:$AA$153,S144)=1,"〇",""))</f>
        <v/>
      </c>
      <c r="N144" s="13" t="str">
        <f>IF(S144="","",IF(INDEX('①名簿入力'!$AB$4:$AB$153,S144)=1,"〇",""))</f>
        <v/>
      </c>
      <c r="O144" s="25" t="str">
        <f>AM144&amp;IF(AND(AM144&lt;&gt;"",AN144&lt;&gt;""),"、","")&amp;AN144&amp;IF(AND(AM144&amp;AN144&lt;&gt;"",AO144&lt;&gt;""),"、","")&amp;AO144</f>
        <v/>
      </c>
      <c r="P144" s="25" t="str">
        <f>IF(AG144=0,"",IF(AK144&amp;AL144="","⚠",LEFT(AK144&amp;AL144,LEN(AK144&amp;AL144)-1)))</f>
        <v/>
      </c>
      <c r="Q144" s="25" t="str">
        <f>IF(S144="","",INDEX('①名簿入力'!$T$4:$T$153,S144)&amp;"")</f>
        <v/>
      </c>
      <c r="S144" s="14" t="str">
        <f>IF(D144="","",IFERROR(MATCH(D144,'①名簿入力'!$A$4:$A$153,0),""))</f>
        <v/>
      </c>
      <c r="T144" s="14" t="str">
        <f>IF(S144="","",IF(INDEX('①名簿入力'!$AG$4:$AG$153,S144)=D144,"",INDEX('①名簿入力'!$AG$4:$AG$153,S144)))</f>
        <v/>
      </c>
      <c r="U144" s="14" t="str">
        <f>IF(S144="","",IF(INDEX('①名簿入力'!$AH$4:$AH$153,S144)=D144,"",INDEX('①名簿入力'!$AH$4:$AH$153,S144)))</f>
        <v/>
      </c>
      <c r="V144" s="14" t="str">
        <f>IF(S144="","",IF(INDEX('①名簿入力'!$AI$4:$AI$153,S144)=D144,"",INDEX('①名簿入力'!$AI$4:$AI$153,S144)))</f>
        <v/>
      </c>
      <c r="W144" s="14" t="str">
        <f>IF(T144="","",IFERROR(IF(INDEX($E$9:$E$158,MATCH(T144,$D$9:$D$158,0))="","",INDEX($E$9:$E$158,MATCH(T144,$D$9:$D$158,0))),""))</f>
        <v/>
      </c>
      <c r="X144" s="14" t="str">
        <f>IF(U144="","",IFERROR(IF(INDEX($E$9:$E$158,MATCH(U144,$D$9:$D$158,0))="","",INDEX($E$9:$E$158,MATCH(U144,$D$9:$D$158,0))),""))</f>
        <v/>
      </c>
      <c r="Y144" s="14" t="str">
        <f>IF(V144="","",IFERROR(IF(INDEX($E$9:$E$158,MATCH(V144,$D$9:$D$158,0))="","",INDEX($E$9:$E$158,MATCH(V144,$D$9:$D$158,0))),""))</f>
        <v/>
      </c>
      <c r="Z144" s="14">
        <f>IF(AND(T144&lt;&gt;"",W144&lt;&gt;"",E144&lt;&gt;""),IF(W144=E144,1,0),0)</f>
        <v>0</v>
      </c>
      <c r="AA144" s="14">
        <f>IF(AND(U144&lt;&gt;"",X144&lt;&gt;"",E144&lt;&gt;""),IF(X144=E144,1,0),0)</f>
        <v>0</v>
      </c>
      <c r="AB144" s="14">
        <f>IF(AND(V144&lt;&gt;"",Y144&lt;&gt;"",E144&lt;&gt;""),IF(Y144=E144,1,0),0)</f>
        <v>0</v>
      </c>
      <c r="AC144" s="14" t="str">
        <f>IF(OR(T144="",E144=""),"",T144&amp;"|"&amp;E144)</f>
        <v/>
      </c>
      <c r="AD144" s="14" t="str">
        <f>IF(OR(U144="",E144=""),"",U144&amp;"|"&amp;E144)</f>
        <v/>
      </c>
      <c r="AE144" s="14" t="str">
        <f>IF(OR(V144="",E144=""),"",V144&amp;"|"&amp;E144)</f>
        <v/>
      </c>
      <c r="AF144" s="14">
        <f>IF(OR(D144="",E144=""),0,COUNTIF($AC$9:$AC$158,D144&amp;"|"&amp;E144)+COUNTIF($AD$9:$AD$158,D144&amp;"|"&amp;E144)+COUNTIF($AE$9:$AE$158,D144&amp;"|"&amp;E144))</f>
        <v>0</v>
      </c>
      <c r="AG144" s="14">
        <f>Z144+AA144+AB144+AF144</f>
        <v>0</v>
      </c>
      <c r="AH144" s="14" t="str">
        <f>IF(OR(D144="",E144=""),"",IFERROR(MATCH(D144&amp;"|"&amp;E144,$AC$9:$AC$158,0),""))</f>
        <v/>
      </c>
      <c r="AI144" s="14" t="str">
        <f>IF(OR(D144="",E144=""),"",IFERROR(MATCH(D144&amp;"|"&amp;E144,$AD$9:$AD$158,0),""))</f>
        <v/>
      </c>
      <c r="AJ144" s="14" t="str">
        <f>IF(OR(D144="",E144=""),"",IFERROR(MATCH(D144&amp;"|"&amp;E144,$AE$9:$AE$158,0),""))</f>
        <v/>
      </c>
      <c r="AK144" s="14" t="str">
        <f>IF(Z144=1,IFERROR(INDEX($F$9:$F$158,MATCH(T144,$D$9:$D$158,0)),"")&amp;"、","")&amp;IF(AA144=1,IFERROR(INDEX($F$9:$F$158,MATCH(U144,$D$9:$D$158,0)),"")&amp;"、","")&amp;IF(AB144=1,IFERROR(INDEX($F$9:$F$158,MATCH(V144,$D$9:$D$158,0)),"")&amp;"、","")</f>
        <v/>
      </c>
      <c r="AL144" s="14" t="str">
        <f>IF(OR(AH144=""),"",IF(OR(INDEX($D$9:$D$158,AH144)=T144,INDEX($D$9:$D$158,AH144)=U144,INDEX($D$9:$D$158,AH144)=V144),"",INDEX($F$9:$F$158,AH144)&amp;"、"))&amp;IF(OR(AI144="",AI144=AH144),"",IF(OR(INDEX($D$9:$D$158,AI144)=T144,INDEX($D$9:$D$158,AI144)=U144,INDEX($D$9:$D$158,AI144)=V144),"",INDEX($F$9:$F$158,AI144)&amp;"、"))&amp;IF(OR(AJ144="",AJ144=AH144,AJ144=AI144),"",IF(OR(INDEX($D$9:$D$158,AJ144)=T144,INDEX($D$9:$D$158,AJ144)=U144,INDEX($D$9:$D$158,AJ144)=V144),"",INDEX($F$9:$F$158,AJ144)&amp;"、"))</f>
        <v/>
      </c>
      <c r="AM144" s="14" t="str">
        <f>IF(T144="","",IFERROR(INDEX('①名簿入力'!$C$4:$C$153,MATCH(T144,'①名簿入力'!$A$4:$A$153,0)),"?")&amp;IF(W144="","","("&amp;W144&amp;"組)"))</f>
        <v/>
      </c>
      <c r="AN144" s="14" t="str">
        <f>IF(U144="","",IFERROR(INDEX('①名簿入力'!$C$4:$C$153,MATCH(U144,'①名簿入力'!$A$4:$A$153,0)),"?")&amp;IF(X144="","","("&amp;X144&amp;"組)"))</f>
        <v/>
      </c>
      <c r="AO144" s="14" t="str">
        <f>IF(V144="","",IFERROR(INDEX('①名簿入力'!$C$4:$C$153,MATCH(V144,'①名簿入力'!$A$4:$A$153,0)),"?")&amp;IF(Y144="","","("&amp;Y144&amp;"組)"))</f>
        <v/>
      </c>
      <c r="AP144" s="14">
        <f>IF(G144="男",1,IF(G144="女",2,3))</f>
        <v>3</v>
      </c>
      <c r="AQ144" s="14" t="str">
        <f>IF(OR(S144="",E144=""),"",IFERROR(IF('③クラス一覧'!$AD$6="番号順",0,AP144*1000000000)+D144,""))</f>
        <v/>
      </c>
      <c r="AR144" s="14" t="str">
        <f>IF(AQ144="","",COUNTIFS($E$9:$E$158,E144,$AQ$9:$AQ$158,"&lt;"&amp;AQ144)+1)</f>
        <v/>
      </c>
      <c r="AS144" s="14" t="str">
        <f>IF(AR144="","",E144&amp;"-"&amp;AR144)</f>
        <v/>
      </c>
      <c r="AT144" s="14" t="str">
        <f>IF(S144="","",IF(INDEX('①名簿入力'!$F$4:$F$153,S144)="","",INDEX('①名簿入力'!$F$4:$F$153,S144)))</f>
        <v/>
      </c>
      <c r="AU144" s="14" t="str">
        <f>IF(S144="","",IF(INDEX('①名簿入力'!$G$4:$G$153,S144)="","",INDEX('①名簿入力'!$G$4:$G$153,S144)))</f>
        <v/>
      </c>
      <c r="AV144" s="14" t="str">
        <f>IF(S144="","",IF(INDEX('①名簿入力'!$H$4:$H$153,S144)="","",INDEX('①名簿入力'!$H$4:$H$153,S144)))</f>
        <v/>
      </c>
      <c r="AW144" s="14" t="str">
        <f>IF(S144="","",IF(INDEX('①名簿入力'!$I$4:$I$153,S144)="","",INDEX('①名簿入力'!$I$4:$I$153,S144)))</f>
        <v/>
      </c>
      <c r="AX144" s="14" t="str">
        <f>IF(S144="","",IF(INDEX('①名簿入力'!$J$4:$J$153,S144)="","",INDEX('①名簿入力'!$J$4:$J$153,S144)))</f>
        <v/>
      </c>
    </row>
    <row r="145">
      <c r="A145" s="23" t="str">
        <f>IF('①名簿入力'!A140="","",'①名簿入力'!A140)</f>
        <v/>
      </c>
      <c r="B145" s="23" t="str">
        <f>IF(A145="","",'①名簿入力'!U140)</f>
        <v/>
      </c>
      <c r="D145" s="8" t="n"/>
      <c r="E145" s="24" t="n"/>
      <c r="F145" s="25" t="str">
        <f>IF(D145="","",IF(S145="","（名簿にない番号）",INDEX('①名簿入力'!$C$4:$C$153,S145)&amp;""))</f>
        <v/>
      </c>
      <c r="G145" s="13" t="str">
        <f>IF(S145="","",INDEX('①名簿入力'!$E$4:$E$153,S145)&amp;"")</f>
        <v/>
      </c>
      <c r="H145" s="13" t="str">
        <f>IF(S145="","",IF(INDEX('①名簿入力'!$B$4:$B$153,S145)="","",INDEX('①名簿入力'!$B$4:$B$153,S145)))</f>
        <v/>
      </c>
      <c r="I145" s="10" t="str">
        <f>IF(S145="","",IF(INDEX('①名簿入力'!$K$4:$K$153,S145)="","",INDEX('①名簿入力'!$K$4:$K$153,S145)))</f>
        <v/>
      </c>
      <c r="J145" s="10" t="str">
        <f>IF(S145="","",IF(INDEX('①名簿入力'!$L$4:$L$153,S145)="","",INDEX('①名簿入力'!$L$4:$L$153,S145)))</f>
        <v/>
      </c>
      <c r="K145" s="13" t="str">
        <f>IF(S145="","",IF(INDEX('①名簿入力'!$Y$4:$Y$153,S145)=1,"〇",""))</f>
        <v/>
      </c>
      <c r="L145" s="13" t="str">
        <f>IF(S145="","",IF(INDEX('①名簿入力'!$Z$4:$Z$153,S145)=1,"〇",""))</f>
        <v/>
      </c>
      <c r="M145" s="13" t="str">
        <f>IF(S145="","",IF(INDEX('①名簿入力'!$AA$4:$AA$153,S145)=1,"〇",""))</f>
        <v/>
      </c>
      <c r="N145" s="13" t="str">
        <f>IF(S145="","",IF(INDEX('①名簿入力'!$AB$4:$AB$153,S145)=1,"〇",""))</f>
        <v/>
      </c>
      <c r="O145" s="25" t="str">
        <f>AM145&amp;IF(AND(AM145&lt;&gt;"",AN145&lt;&gt;""),"、","")&amp;AN145&amp;IF(AND(AM145&amp;AN145&lt;&gt;"",AO145&lt;&gt;""),"、","")&amp;AO145</f>
        <v/>
      </c>
      <c r="P145" s="25" t="str">
        <f>IF(AG145=0,"",IF(AK145&amp;AL145="","⚠",LEFT(AK145&amp;AL145,LEN(AK145&amp;AL145)-1)))</f>
        <v/>
      </c>
      <c r="Q145" s="25" t="str">
        <f>IF(S145="","",INDEX('①名簿入力'!$T$4:$T$153,S145)&amp;"")</f>
        <v/>
      </c>
      <c r="S145" s="14" t="str">
        <f>IF(D145="","",IFERROR(MATCH(D145,'①名簿入力'!$A$4:$A$153,0),""))</f>
        <v/>
      </c>
      <c r="T145" s="14" t="str">
        <f>IF(S145="","",IF(INDEX('①名簿入力'!$AG$4:$AG$153,S145)=D145,"",INDEX('①名簿入力'!$AG$4:$AG$153,S145)))</f>
        <v/>
      </c>
      <c r="U145" s="14" t="str">
        <f>IF(S145="","",IF(INDEX('①名簿入力'!$AH$4:$AH$153,S145)=D145,"",INDEX('①名簿入力'!$AH$4:$AH$153,S145)))</f>
        <v/>
      </c>
      <c r="V145" s="14" t="str">
        <f>IF(S145="","",IF(INDEX('①名簿入力'!$AI$4:$AI$153,S145)=D145,"",INDEX('①名簿入力'!$AI$4:$AI$153,S145)))</f>
        <v/>
      </c>
      <c r="W145" s="14" t="str">
        <f>IF(T145="","",IFERROR(IF(INDEX($E$9:$E$158,MATCH(T145,$D$9:$D$158,0))="","",INDEX($E$9:$E$158,MATCH(T145,$D$9:$D$158,0))),""))</f>
        <v/>
      </c>
      <c r="X145" s="14" t="str">
        <f>IF(U145="","",IFERROR(IF(INDEX($E$9:$E$158,MATCH(U145,$D$9:$D$158,0))="","",INDEX($E$9:$E$158,MATCH(U145,$D$9:$D$158,0))),""))</f>
        <v/>
      </c>
      <c r="Y145" s="14" t="str">
        <f>IF(V145="","",IFERROR(IF(INDEX($E$9:$E$158,MATCH(V145,$D$9:$D$158,0))="","",INDEX($E$9:$E$158,MATCH(V145,$D$9:$D$158,0))),""))</f>
        <v/>
      </c>
      <c r="Z145" s="14">
        <f>IF(AND(T145&lt;&gt;"",W145&lt;&gt;"",E145&lt;&gt;""),IF(W145=E145,1,0),0)</f>
        <v>0</v>
      </c>
      <c r="AA145" s="14">
        <f>IF(AND(U145&lt;&gt;"",X145&lt;&gt;"",E145&lt;&gt;""),IF(X145=E145,1,0),0)</f>
        <v>0</v>
      </c>
      <c r="AB145" s="14">
        <f>IF(AND(V145&lt;&gt;"",Y145&lt;&gt;"",E145&lt;&gt;""),IF(Y145=E145,1,0),0)</f>
        <v>0</v>
      </c>
      <c r="AC145" s="14" t="str">
        <f>IF(OR(T145="",E145=""),"",T145&amp;"|"&amp;E145)</f>
        <v/>
      </c>
      <c r="AD145" s="14" t="str">
        <f>IF(OR(U145="",E145=""),"",U145&amp;"|"&amp;E145)</f>
        <v/>
      </c>
      <c r="AE145" s="14" t="str">
        <f>IF(OR(V145="",E145=""),"",V145&amp;"|"&amp;E145)</f>
        <v/>
      </c>
      <c r="AF145" s="14">
        <f>IF(OR(D145="",E145=""),0,COUNTIF($AC$9:$AC$158,D145&amp;"|"&amp;E145)+COUNTIF($AD$9:$AD$158,D145&amp;"|"&amp;E145)+COUNTIF($AE$9:$AE$158,D145&amp;"|"&amp;E145))</f>
        <v>0</v>
      </c>
      <c r="AG145" s="14">
        <f>Z145+AA145+AB145+AF145</f>
        <v>0</v>
      </c>
      <c r="AH145" s="14" t="str">
        <f>IF(OR(D145="",E145=""),"",IFERROR(MATCH(D145&amp;"|"&amp;E145,$AC$9:$AC$158,0),""))</f>
        <v/>
      </c>
      <c r="AI145" s="14" t="str">
        <f>IF(OR(D145="",E145=""),"",IFERROR(MATCH(D145&amp;"|"&amp;E145,$AD$9:$AD$158,0),""))</f>
        <v/>
      </c>
      <c r="AJ145" s="14" t="str">
        <f>IF(OR(D145="",E145=""),"",IFERROR(MATCH(D145&amp;"|"&amp;E145,$AE$9:$AE$158,0),""))</f>
        <v/>
      </c>
      <c r="AK145" s="14" t="str">
        <f>IF(Z145=1,IFERROR(INDEX($F$9:$F$158,MATCH(T145,$D$9:$D$158,0)),"")&amp;"、","")&amp;IF(AA145=1,IFERROR(INDEX($F$9:$F$158,MATCH(U145,$D$9:$D$158,0)),"")&amp;"、","")&amp;IF(AB145=1,IFERROR(INDEX($F$9:$F$158,MATCH(V145,$D$9:$D$158,0)),"")&amp;"、","")</f>
        <v/>
      </c>
      <c r="AL145" s="14" t="str">
        <f>IF(OR(AH145=""),"",IF(OR(INDEX($D$9:$D$158,AH145)=T145,INDEX($D$9:$D$158,AH145)=U145,INDEX($D$9:$D$158,AH145)=V145),"",INDEX($F$9:$F$158,AH145)&amp;"、"))&amp;IF(OR(AI145="",AI145=AH145),"",IF(OR(INDEX($D$9:$D$158,AI145)=T145,INDEX($D$9:$D$158,AI145)=U145,INDEX($D$9:$D$158,AI145)=V145),"",INDEX($F$9:$F$158,AI145)&amp;"、"))&amp;IF(OR(AJ145="",AJ145=AH145,AJ145=AI145),"",IF(OR(INDEX($D$9:$D$158,AJ145)=T145,INDEX($D$9:$D$158,AJ145)=U145,INDEX($D$9:$D$158,AJ145)=V145),"",INDEX($F$9:$F$158,AJ145)&amp;"、"))</f>
        <v/>
      </c>
      <c r="AM145" s="14" t="str">
        <f>IF(T145="","",IFERROR(INDEX('①名簿入力'!$C$4:$C$153,MATCH(T145,'①名簿入力'!$A$4:$A$153,0)),"?")&amp;IF(W145="","","("&amp;W145&amp;"組)"))</f>
        <v/>
      </c>
      <c r="AN145" s="14" t="str">
        <f>IF(U145="","",IFERROR(INDEX('①名簿入力'!$C$4:$C$153,MATCH(U145,'①名簿入力'!$A$4:$A$153,0)),"?")&amp;IF(X145="","","("&amp;X145&amp;"組)"))</f>
        <v/>
      </c>
      <c r="AO145" s="14" t="str">
        <f>IF(V145="","",IFERROR(INDEX('①名簿入力'!$C$4:$C$153,MATCH(V145,'①名簿入力'!$A$4:$A$153,0)),"?")&amp;IF(Y145="","","("&amp;Y145&amp;"組)"))</f>
        <v/>
      </c>
      <c r="AP145" s="14">
        <f>IF(G145="男",1,IF(G145="女",2,3))</f>
        <v>3</v>
      </c>
      <c r="AQ145" s="14" t="str">
        <f>IF(OR(S145="",E145=""),"",IFERROR(IF('③クラス一覧'!$AD$6="番号順",0,AP145*1000000000)+D145,""))</f>
        <v/>
      </c>
      <c r="AR145" s="14" t="str">
        <f>IF(AQ145="","",COUNTIFS($E$9:$E$158,E145,$AQ$9:$AQ$158,"&lt;"&amp;AQ145)+1)</f>
        <v/>
      </c>
      <c r="AS145" s="14" t="str">
        <f>IF(AR145="","",E145&amp;"-"&amp;AR145)</f>
        <v/>
      </c>
      <c r="AT145" s="14" t="str">
        <f>IF(S145="","",IF(INDEX('①名簿入力'!$F$4:$F$153,S145)="","",INDEX('①名簿入力'!$F$4:$F$153,S145)))</f>
        <v/>
      </c>
      <c r="AU145" s="14" t="str">
        <f>IF(S145="","",IF(INDEX('①名簿入力'!$G$4:$G$153,S145)="","",INDEX('①名簿入力'!$G$4:$G$153,S145)))</f>
        <v/>
      </c>
      <c r="AV145" s="14" t="str">
        <f>IF(S145="","",IF(INDEX('①名簿入力'!$H$4:$H$153,S145)="","",INDEX('①名簿入力'!$H$4:$H$153,S145)))</f>
        <v/>
      </c>
      <c r="AW145" s="14" t="str">
        <f>IF(S145="","",IF(INDEX('①名簿入力'!$I$4:$I$153,S145)="","",INDEX('①名簿入力'!$I$4:$I$153,S145)))</f>
        <v/>
      </c>
      <c r="AX145" s="14" t="str">
        <f>IF(S145="","",IF(INDEX('①名簿入力'!$J$4:$J$153,S145)="","",INDEX('①名簿入力'!$J$4:$J$153,S145)))</f>
        <v/>
      </c>
    </row>
    <row r="146">
      <c r="A146" s="23" t="str">
        <f>IF('①名簿入力'!A141="","",'①名簿入力'!A141)</f>
        <v/>
      </c>
      <c r="B146" s="23" t="str">
        <f>IF(A146="","",'①名簿入力'!U141)</f>
        <v/>
      </c>
      <c r="D146" s="8" t="n"/>
      <c r="E146" s="24" t="n"/>
      <c r="F146" s="25" t="str">
        <f>IF(D146="","",IF(S146="","（名簿にない番号）",INDEX('①名簿入力'!$C$4:$C$153,S146)&amp;""))</f>
        <v/>
      </c>
      <c r="G146" s="13" t="str">
        <f>IF(S146="","",INDEX('①名簿入力'!$E$4:$E$153,S146)&amp;"")</f>
        <v/>
      </c>
      <c r="H146" s="13" t="str">
        <f>IF(S146="","",IF(INDEX('①名簿入力'!$B$4:$B$153,S146)="","",INDEX('①名簿入力'!$B$4:$B$153,S146)))</f>
        <v/>
      </c>
      <c r="I146" s="10" t="str">
        <f>IF(S146="","",IF(INDEX('①名簿入力'!$K$4:$K$153,S146)="","",INDEX('①名簿入力'!$K$4:$K$153,S146)))</f>
        <v/>
      </c>
      <c r="J146" s="10" t="str">
        <f>IF(S146="","",IF(INDEX('①名簿入力'!$L$4:$L$153,S146)="","",INDEX('①名簿入力'!$L$4:$L$153,S146)))</f>
        <v/>
      </c>
      <c r="K146" s="13" t="str">
        <f>IF(S146="","",IF(INDEX('①名簿入力'!$Y$4:$Y$153,S146)=1,"〇",""))</f>
        <v/>
      </c>
      <c r="L146" s="13" t="str">
        <f>IF(S146="","",IF(INDEX('①名簿入力'!$Z$4:$Z$153,S146)=1,"〇",""))</f>
        <v/>
      </c>
      <c r="M146" s="13" t="str">
        <f>IF(S146="","",IF(INDEX('①名簿入力'!$AA$4:$AA$153,S146)=1,"〇",""))</f>
        <v/>
      </c>
      <c r="N146" s="13" t="str">
        <f>IF(S146="","",IF(INDEX('①名簿入力'!$AB$4:$AB$153,S146)=1,"〇",""))</f>
        <v/>
      </c>
      <c r="O146" s="25" t="str">
        <f>AM146&amp;IF(AND(AM146&lt;&gt;"",AN146&lt;&gt;""),"、","")&amp;AN146&amp;IF(AND(AM146&amp;AN146&lt;&gt;"",AO146&lt;&gt;""),"、","")&amp;AO146</f>
        <v/>
      </c>
      <c r="P146" s="25" t="str">
        <f>IF(AG146=0,"",IF(AK146&amp;AL146="","⚠",LEFT(AK146&amp;AL146,LEN(AK146&amp;AL146)-1)))</f>
        <v/>
      </c>
      <c r="Q146" s="25" t="str">
        <f>IF(S146="","",INDEX('①名簿入力'!$T$4:$T$153,S146)&amp;"")</f>
        <v/>
      </c>
      <c r="S146" s="14" t="str">
        <f>IF(D146="","",IFERROR(MATCH(D146,'①名簿入力'!$A$4:$A$153,0),""))</f>
        <v/>
      </c>
      <c r="T146" s="14" t="str">
        <f>IF(S146="","",IF(INDEX('①名簿入力'!$AG$4:$AG$153,S146)=D146,"",INDEX('①名簿入力'!$AG$4:$AG$153,S146)))</f>
        <v/>
      </c>
      <c r="U146" s="14" t="str">
        <f>IF(S146="","",IF(INDEX('①名簿入力'!$AH$4:$AH$153,S146)=D146,"",INDEX('①名簿入力'!$AH$4:$AH$153,S146)))</f>
        <v/>
      </c>
      <c r="V146" s="14" t="str">
        <f>IF(S146="","",IF(INDEX('①名簿入力'!$AI$4:$AI$153,S146)=D146,"",INDEX('①名簿入力'!$AI$4:$AI$153,S146)))</f>
        <v/>
      </c>
      <c r="W146" s="14" t="str">
        <f>IF(T146="","",IFERROR(IF(INDEX($E$9:$E$158,MATCH(T146,$D$9:$D$158,0))="","",INDEX($E$9:$E$158,MATCH(T146,$D$9:$D$158,0))),""))</f>
        <v/>
      </c>
      <c r="X146" s="14" t="str">
        <f>IF(U146="","",IFERROR(IF(INDEX($E$9:$E$158,MATCH(U146,$D$9:$D$158,0))="","",INDEX($E$9:$E$158,MATCH(U146,$D$9:$D$158,0))),""))</f>
        <v/>
      </c>
      <c r="Y146" s="14" t="str">
        <f>IF(V146="","",IFERROR(IF(INDEX($E$9:$E$158,MATCH(V146,$D$9:$D$158,0))="","",INDEX($E$9:$E$158,MATCH(V146,$D$9:$D$158,0))),""))</f>
        <v/>
      </c>
      <c r="Z146" s="14">
        <f>IF(AND(T146&lt;&gt;"",W146&lt;&gt;"",E146&lt;&gt;""),IF(W146=E146,1,0),0)</f>
        <v>0</v>
      </c>
      <c r="AA146" s="14">
        <f>IF(AND(U146&lt;&gt;"",X146&lt;&gt;"",E146&lt;&gt;""),IF(X146=E146,1,0),0)</f>
        <v>0</v>
      </c>
      <c r="AB146" s="14">
        <f>IF(AND(V146&lt;&gt;"",Y146&lt;&gt;"",E146&lt;&gt;""),IF(Y146=E146,1,0),0)</f>
        <v>0</v>
      </c>
      <c r="AC146" s="14" t="str">
        <f>IF(OR(T146="",E146=""),"",T146&amp;"|"&amp;E146)</f>
        <v/>
      </c>
      <c r="AD146" s="14" t="str">
        <f>IF(OR(U146="",E146=""),"",U146&amp;"|"&amp;E146)</f>
        <v/>
      </c>
      <c r="AE146" s="14" t="str">
        <f>IF(OR(V146="",E146=""),"",V146&amp;"|"&amp;E146)</f>
        <v/>
      </c>
      <c r="AF146" s="14">
        <f>IF(OR(D146="",E146=""),0,COUNTIF($AC$9:$AC$158,D146&amp;"|"&amp;E146)+COUNTIF($AD$9:$AD$158,D146&amp;"|"&amp;E146)+COUNTIF($AE$9:$AE$158,D146&amp;"|"&amp;E146))</f>
        <v>0</v>
      </c>
      <c r="AG146" s="14">
        <f>Z146+AA146+AB146+AF146</f>
        <v>0</v>
      </c>
      <c r="AH146" s="14" t="str">
        <f>IF(OR(D146="",E146=""),"",IFERROR(MATCH(D146&amp;"|"&amp;E146,$AC$9:$AC$158,0),""))</f>
        <v/>
      </c>
      <c r="AI146" s="14" t="str">
        <f>IF(OR(D146="",E146=""),"",IFERROR(MATCH(D146&amp;"|"&amp;E146,$AD$9:$AD$158,0),""))</f>
        <v/>
      </c>
      <c r="AJ146" s="14" t="str">
        <f>IF(OR(D146="",E146=""),"",IFERROR(MATCH(D146&amp;"|"&amp;E146,$AE$9:$AE$158,0),""))</f>
        <v/>
      </c>
      <c r="AK146" s="14" t="str">
        <f>IF(Z146=1,IFERROR(INDEX($F$9:$F$158,MATCH(T146,$D$9:$D$158,0)),"")&amp;"、","")&amp;IF(AA146=1,IFERROR(INDEX($F$9:$F$158,MATCH(U146,$D$9:$D$158,0)),"")&amp;"、","")&amp;IF(AB146=1,IFERROR(INDEX($F$9:$F$158,MATCH(V146,$D$9:$D$158,0)),"")&amp;"、","")</f>
        <v/>
      </c>
      <c r="AL146" s="14" t="str">
        <f>IF(OR(AH146=""),"",IF(OR(INDEX($D$9:$D$158,AH146)=T146,INDEX($D$9:$D$158,AH146)=U146,INDEX($D$9:$D$158,AH146)=V146),"",INDEX($F$9:$F$158,AH146)&amp;"、"))&amp;IF(OR(AI146="",AI146=AH146),"",IF(OR(INDEX($D$9:$D$158,AI146)=T146,INDEX($D$9:$D$158,AI146)=U146,INDEX($D$9:$D$158,AI146)=V146),"",INDEX($F$9:$F$158,AI146)&amp;"、"))&amp;IF(OR(AJ146="",AJ146=AH146,AJ146=AI146),"",IF(OR(INDEX($D$9:$D$158,AJ146)=T146,INDEX($D$9:$D$158,AJ146)=U146,INDEX($D$9:$D$158,AJ146)=V146),"",INDEX($F$9:$F$158,AJ146)&amp;"、"))</f>
        <v/>
      </c>
      <c r="AM146" s="14" t="str">
        <f>IF(T146="","",IFERROR(INDEX('①名簿入力'!$C$4:$C$153,MATCH(T146,'①名簿入力'!$A$4:$A$153,0)),"?")&amp;IF(W146="","","("&amp;W146&amp;"組)"))</f>
        <v/>
      </c>
      <c r="AN146" s="14" t="str">
        <f>IF(U146="","",IFERROR(INDEX('①名簿入力'!$C$4:$C$153,MATCH(U146,'①名簿入力'!$A$4:$A$153,0)),"?")&amp;IF(X146="","","("&amp;X146&amp;"組)"))</f>
        <v/>
      </c>
      <c r="AO146" s="14" t="str">
        <f>IF(V146="","",IFERROR(INDEX('①名簿入力'!$C$4:$C$153,MATCH(V146,'①名簿入力'!$A$4:$A$153,0)),"?")&amp;IF(Y146="","","("&amp;Y146&amp;"組)"))</f>
        <v/>
      </c>
      <c r="AP146" s="14">
        <f>IF(G146="男",1,IF(G146="女",2,3))</f>
        <v>3</v>
      </c>
      <c r="AQ146" s="14" t="str">
        <f>IF(OR(S146="",E146=""),"",IFERROR(IF('③クラス一覧'!$AD$6="番号順",0,AP146*1000000000)+D146,""))</f>
        <v/>
      </c>
      <c r="AR146" s="14" t="str">
        <f>IF(AQ146="","",COUNTIFS($E$9:$E$158,E146,$AQ$9:$AQ$158,"&lt;"&amp;AQ146)+1)</f>
        <v/>
      </c>
      <c r="AS146" s="14" t="str">
        <f>IF(AR146="","",E146&amp;"-"&amp;AR146)</f>
        <v/>
      </c>
      <c r="AT146" s="14" t="str">
        <f>IF(S146="","",IF(INDEX('①名簿入力'!$F$4:$F$153,S146)="","",INDEX('①名簿入力'!$F$4:$F$153,S146)))</f>
        <v/>
      </c>
      <c r="AU146" s="14" t="str">
        <f>IF(S146="","",IF(INDEX('①名簿入力'!$G$4:$G$153,S146)="","",INDEX('①名簿入力'!$G$4:$G$153,S146)))</f>
        <v/>
      </c>
      <c r="AV146" s="14" t="str">
        <f>IF(S146="","",IF(INDEX('①名簿入力'!$H$4:$H$153,S146)="","",INDEX('①名簿入力'!$H$4:$H$153,S146)))</f>
        <v/>
      </c>
      <c r="AW146" s="14" t="str">
        <f>IF(S146="","",IF(INDEX('①名簿入力'!$I$4:$I$153,S146)="","",INDEX('①名簿入力'!$I$4:$I$153,S146)))</f>
        <v/>
      </c>
      <c r="AX146" s="14" t="str">
        <f>IF(S146="","",IF(INDEX('①名簿入力'!$J$4:$J$153,S146)="","",INDEX('①名簿入力'!$J$4:$J$153,S146)))</f>
        <v/>
      </c>
    </row>
    <row r="147">
      <c r="A147" s="23" t="str">
        <f>IF('①名簿入力'!A142="","",'①名簿入力'!A142)</f>
        <v/>
      </c>
      <c r="B147" s="23" t="str">
        <f>IF(A147="","",'①名簿入力'!U142)</f>
        <v/>
      </c>
      <c r="D147" s="8" t="n"/>
      <c r="E147" s="24" t="n"/>
      <c r="F147" s="25" t="str">
        <f>IF(D147="","",IF(S147="","（名簿にない番号）",INDEX('①名簿入力'!$C$4:$C$153,S147)&amp;""))</f>
        <v/>
      </c>
      <c r="G147" s="13" t="str">
        <f>IF(S147="","",INDEX('①名簿入力'!$E$4:$E$153,S147)&amp;"")</f>
        <v/>
      </c>
      <c r="H147" s="13" t="str">
        <f>IF(S147="","",IF(INDEX('①名簿入力'!$B$4:$B$153,S147)="","",INDEX('①名簿入力'!$B$4:$B$153,S147)))</f>
        <v/>
      </c>
      <c r="I147" s="10" t="str">
        <f>IF(S147="","",IF(INDEX('①名簿入力'!$K$4:$K$153,S147)="","",INDEX('①名簿入力'!$K$4:$K$153,S147)))</f>
        <v/>
      </c>
      <c r="J147" s="10" t="str">
        <f>IF(S147="","",IF(INDEX('①名簿入力'!$L$4:$L$153,S147)="","",INDEX('①名簿入力'!$L$4:$L$153,S147)))</f>
        <v/>
      </c>
      <c r="K147" s="13" t="str">
        <f>IF(S147="","",IF(INDEX('①名簿入力'!$Y$4:$Y$153,S147)=1,"〇",""))</f>
        <v/>
      </c>
      <c r="L147" s="13" t="str">
        <f>IF(S147="","",IF(INDEX('①名簿入力'!$Z$4:$Z$153,S147)=1,"〇",""))</f>
        <v/>
      </c>
      <c r="M147" s="13" t="str">
        <f>IF(S147="","",IF(INDEX('①名簿入力'!$AA$4:$AA$153,S147)=1,"〇",""))</f>
        <v/>
      </c>
      <c r="N147" s="13" t="str">
        <f>IF(S147="","",IF(INDEX('①名簿入力'!$AB$4:$AB$153,S147)=1,"〇",""))</f>
        <v/>
      </c>
      <c r="O147" s="25" t="str">
        <f>AM147&amp;IF(AND(AM147&lt;&gt;"",AN147&lt;&gt;""),"、","")&amp;AN147&amp;IF(AND(AM147&amp;AN147&lt;&gt;"",AO147&lt;&gt;""),"、","")&amp;AO147</f>
        <v/>
      </c>
      <c r="P147" s="25" t="str">
        <f>IF(AG147=0,"",IF(AK147&amp;AL147="","⚠",LEFT(AK147&amp;AL147,LEN(AK147&amp;AL147)-1)))</f>
        <v/>
      </c>
      <c r="Q147" s="25" t="str">
        <f>IF(S147="","",INDEX('①名簿入力'!$T$4:$T$153,S147)&amp;"")</f>
        <v/>
      </c>
      <c r="S147" s="14" t="str">
        <f>IF(D147="","",IFERROR(MATCH(D147,'①名簿入力'!$A$4:$A$153,0),""))</f>
        <v/>
      </c>
      <c r="T147" s="14" t="str">
        <f>IF(S147="","",IF(INDEX('①名簿入力'!$AG$4:$AG$153,S147)=D147,"",INDEX('①名簿入力'!$AG$4:$AG$153,S147)))</f>
        <v/>
      </c>
      <c r="U147" s="14" t="str">
        <f>IF(S147="","",IF(INDEX('①名簿入力'!$AH$4:$AH$153,S147)=D147,"",INDEX('①名簿入力'!$AH$4:$AH$153,S147)))</f>
        <v/>
      </c>
      <c r="V147" s="14" t="str">
        <f>IF(S147="","",IF(INDEX('①名簿入力'!$AI$4:$AI$153,S147)=D147,"",INDEX('①名簿入力'!$AI$4:$AI$153,S147)))</f>
        <v/>
      </c>
      <c r="W147" s="14" t="str">
        <f>IF(T147="","",IFERROR(IF(INDEX($E$9:$E$158,MATCH(T147,$D$9:$D$158,0))="","",INDEX($E$9:$E$158,MATCH(T147,$D$9:$D$158,0))),""))</f>
        <v/>
      </c>
      <c r="X147" s="14" t="str">
        <f>IF(U147="","",IFERROR(IF(INDEX($E$9:$E$158,MATCH(U147,$D$9:$D$158,0))="","",INDEX($E$9:$E$158,MATCH(U147,$D$9:$D$158,0))),""))</f>
        <v/>
      </c>
      <c r="Y147" s="14" t="str">
        <f>IF(V147="","",IFERROR(IF(INDEX($E$9:$E$158,MATCH(V147,$D$9:$D$158,0))="","",INDEX($E$9:$E$158,MATCH(V147,$D$9:$D$158,0))),""))</f>
        <v/>
      </c>
      <c r="Z147" s="14">
        <f>IF(AND(T147&lt;&gt;"",W147&lt;&gt;"",E147&lt;&gt;""),IF(W147=E147,1,0),0)</f>
        <v>0</v>
      </c>
      <c r="AA147" s="14">
        <f>IF(AND(U147&lt;&gt;"",X147&lt;&gt;"",E147&lt;&gt;""),IF(X147=E147,1,0),0)</f>
        <v>0</v>
      </c>
      <c r="AB147" s="14">
        <f>IF(AND(V147&lt;&gt;"",Y147&lt;&gt;"",E147&lt;&gt;""),IF(Y147=E147,1,0),0)</f>
        <v>0</v>
      </c>
      <c r="AC147" s="14" t="str">
        <f>IF(OR(T147="",E147=""),"",T147&amp;"|"&amp;E147)</f>
        <v/>
      </c>
      <c r="AD147" s="14" t="str">
        <f>IF(OR(U147="",E147=""),"",U147&amp;"|"&amp;E147)</f>
        <v/>
      </c>
      <c r="AE147" s="14" t="str">
        <f>IF(OR(V147="",E147=""),"",V147&amp;"|"&amp;E147)</f>
        <v/>
      </c>
      <c r="AF147" s="14">
        <f>IF(OR(D147="",E147=""),0,COUNTIF($AC$9:$AC$158,D147&amp;"|"&amp;E147)+COUNTIF($AD$9:$AD$158,D147&amp;"|"&amp;E147)+COUNTIF($AE$9:$AE$158,D147&amp;"|"&amp;E147))</f>
        <v>0</v>
      </c>
      <c r="AG147" s="14">
        <f>Z147+AA147+AB147+AF147</f>
        <v>0</v>
      </c>
      <c r="AH147" s="14" t="str">
        <f>IF(OR(D147="",E147=""),"",IFERROR(MATCH(D147&amp;"|"&amp;E147,$AC$9:$AC$158,0),""))</f>
        <v/>
      </c>
      <c r="AI147" s="14" t="str">
        <f>IF(OR(D147="",E147=""),"",IFERROR(MATCH(D147&amp;"|"&amp;E147,$AD$9:$AD$158,0),""))</f>
        <v/>
      </c>
      <c r="AJ147" s="14" t="str">
        <f>IF(OR(D147="",E147=""),"",IFERROR(MATCH(D147&amp;"|"&amp;E147,$AE$9:$AE$158,0),""))</f>
        <v/>
      </c>
      <c r="AK147" s="14" t="str">
        <f>IF(Z147=1,IFERROR(INDEX($F$9:$F$158,MATCH(T147,$D$9:$D$158,0)),"")&amp;"、","")&amp;IF(AA147=1,IFERROR(INDEX($F$9:$F$158,MATCH(U147,$D$9:$D$158,0)),"")&amp;"、","")&amp;IF(AB147=1,IFERROR(INDEX($F$9:$F$158,MATCH(V147,$D$9:$D$158,0)),"")&amp;"、","")</f>
        <v/>
      </c>
      <c r="AL147" s="14" t="str">
        <f>IF(OR(AH147=""),"",IF(OR(INDEX($D$9:$D$158,AH147)=T147,INDEX($D$9:$D$158,AH147)=U147,INDEX($D$9:$D$158,AH147)=V147),"",INDEX($F$9:$F$158,AH147)&amp;"、"))&amp;IF(OR(AI147="",AI147=AH147),"",IF(OR(INDEX($D$9:$D$158,AI147)=T147,INDEX($D$9:$D$158,AI147)=U147,INDEX($D$9:$D$158,AI147)=V147),"",INDEX($F$9:$F$158,AI147)&amp;"、"))&amp;IF(OR(AJ147="",AJ147=AH147,AJ147=AI147),"",IF(OR(INDEX($D$9:$D$158,AJ147)=T147,INDEX($D$9:$D$158,AJ147)=U147,INDEX($D$9:$D$158,AJ147)=V147),"",INDEX($F$9:$F$158,AJ147)&amp;"、"))</f>
        <v/>
      </c>
      <c r="AM147" s="14" t="str">
        <f>IF(T147="","",IFERROR(INDEX('①名簿入力'!$C$4:$C$153,MATCH(T147,'①名簿入力'!$A$4:$A$153,0)),"?")&amp;IF(W147="","","("&amp;W147&amp;"組)"))</f>
        <v/>
      </c>
      <c r="AN147" s="14" t="str">
        <f>IF(U147="","",IFERROR(INDEX('①名簿入力'!$C$4:$C$153,MATCH(U147,'①名簿入力'!$A$4:$A$153,0)),"?")&amp;IF(X147="","","("&amp;X147&amp;"組)"))</f>
        <v/>
      </c>
      <c r="AO147" s="14" t="str">
        <f>IF(V147="","",IFERROR(INDEX('①名簿入力'!$C$4:$C$153,MATCH(V147,'①名簿入力'!$A$4:$A$153,0)),"?")&amp;IF(Y147="","","("&amp;Y147&amp;"組)"))</f>
        <v/>
      </c>
      <c r="AP147" s="14">
        <f>IF(G147="男",1,IF(G147="女",2,3))</f>
        <v>3</v>
      </c>
      <c r="AQ147" s="14" t="str">
        <f>IF(OR(S147="",E147=""),"",IFERROR(IF('③クラス一覧'!$AD$6="番号順",0,AP147*1000000000)+D147,""))</f>
        <v/>
      </c>
      <c r="AR147" s="14" t="str">
        <f>IF(AQ147="","",COUNTIFS($E$9:$E$158,E147,$AQ$9:$AQ$158,"&lt;"&amp;AQ147)+1)</f>
        <v/>
      </c>
      <c r="AS147" s="14" t="str">
        <f>IF(AR147="","",E147&amp;"-"&amp;AR147)</f>
        <v/>
      </c>
      <c r="AT147" s="14" t="str">
        <f>IF(S147="","",IF(INDEX('①名簿入力'!$F$4:$F$153,S147)="","",INDEX('①名簿入力'!$F$4:$F$153,S147)))</f>
        <v/>
      </c>
      <c r="AU147" s="14" t="str">
        <f>IF(S147="","",IF(INDEX('①名簿入力'!$G$4:$G$153,S147)="","",INDEX('①名簿入力'!$G$4:$G$153,S147)))</f>
        <v/>
      </c>
      <c r="AV147" s="14" t="str">
        <f>IF(S147="","",IF(INDEX('①名簿入力'!$H$4:$H$153,S147)="","",INDEX('①名簿入力'!$H$4:$H$153,S147)))</f>
        <v/>
      </c>
      <c r="AW147" s="14" t="str">
        <f>IF(S147="","",IF(INDEX('①名簿入力'!$I$4:$I$153,S147)="","",INDEX('①名簿入力'!$I$4:$I$153,S147)))</f>
        <v/>
      </c>
      <c r="AX147" s="14" t="str">
        <f>IF(S147="","",IF(INDEX('①名簿入力'!$J$4:$J$153,S147)="","",INDEX('①名簿入力'!$J$4:$J$153,S147)))</f>
        <v/>
      </c>
    </row>
    <row r="148">
      <c r="A148" s="23" t="str">
        <f>IF('①名簿入力'!A143="","",'①名簿入力'!A143)</f>
        <v/>
      </c>
      <c r="B148" s="23" t="str">
        <f>IF(A148="","",'①名簿入力'!U143)</f>
        <v/>
      </c>
      <c r="D148" s="8" t="n"/>
      <c r="E148" s="24" t="n"/>
      <c r="F148" s="25" t="str">
        <f>IF(D148="","",IF(S148="","（名簿にない番号）",INDEX('①名簿入力'!$C$4:$C$153,S148)&amp;""))</f>
        <v/>
      </c>
      <c r="G148" s="13" t="str">
        <f>IF(S148="","",INDEX('①名簿入力'!$E$4:$E$153,S148)&amp;"")</f>
        <v/>
      </c>
      <c r="H148" s="13" t="str">
        <f>IF(S148="","",IF(INDEX('①名簿入力'!$B$4:$B$153,S148)="","",INDEX('①名簿入力'!$B$4:$B$153,S148)))</f>
        <v/>
      </c>
      <c r="I148" s="10" t="str">
        <f>IF(S148="","",IF(INDEX('①名簿入力'!$K$4:$K$153,S148)="","",INDEX('①名簿入力'!$K$4:$K$153,S148)))</f>
        <v/>
      </c>
      <c r="J148" s="10" t="str">
        <f>IF(S148="","",IF(INDEX('①名簿入力'!$L$4:$L$153,S148)="","",INDEX('①名簿入力'!$L$4:$L$153,S148)))</f>
        <v/>
      </c>
      <c r="K148" s="13" t="str">
        <f>IF(S148="","",IF(INDEX('①名簿入力'!$Y$4:$Y$153,S148)=1,"〇",""))</f>
        <v/>
      </c>
      <c r="L148" s="13" t="str">
        <f>IF(S148="","",IF(INDEX('①名簿入力'!$Z$4:$Z$153,S148)=1,"〇",""))</f>
        <v/>
      </c>
      <c r="M148" s="13" t="str">
        <f>IF(S148="","",IF(INDEX('①名簿入力'!$AA$4:$AA$153,S148)=1,"〇",""))</f>
        <v/>
      </c>
      <c r="N148" s="13" t="str">
        <f>IF(S148="","",IF(INDEX('①名簿入力'!$AB$4:$AB$153,S148)=1,"〇",""))</f>
        <v/>
      </c>
      <c r="O148" s="25" t="str">
        <f>AM148&amp;IF(AND(AM148&lt;&gt;"",AN148&lt;&gt;""),"、","")&amp;AN148&amp;IF(AND(AM148&amp;AN148&lt;&gt;"",AO148&lt;&gt;""),"、","")&amp;AO148</f>
        <v/>
      </c>
      <c r="P148" s="25" t="str">
        <f>IF(AG148=0,"",IF(AK148&amp;AL148="","⚠",LEFT(AK148&amp;AL148,LEN(AK148&amp;AL148)-1)))</f>
        <v/>
      </c>
      <c r="Q148" s="25" t="str">
        <f>IF(S148="","",INDEX('①名簿入力'!$T$4:$T$153,S148)&amp;"")</f>
        <v/>
      </c>
      <c r="S148" s="14" t="str">
        <f>IF(D148="","",IFERROR(MATCH(D148,'①名簿入力'!$A$4:$A$153,0),""))</f>
        <v/>
      </c>
      <c r="T148" s="14" t="str">
        <f>IF(S148="","",IF(INDEX('①名簿入力'!$AG$4:$AG$153,S148)=D148,"",INDEX('①名簿入力'!$AG$4:$AG$153,S148)))</f>
        <v/>
      </c>
      <c r="U148" s="14" t="str">
        <f>IF(S148="","",IF(INDEX('①名簿入力'!$AH$4:$AH$153,S148)=D148,"",INDEX('①名簿入力'!$AH$4:$AH$153,S148)))</f>
        <v/>
      </c>
      <c r="V148" s="14" t="str">
        <f>IF(S148="","",IF(INDEX('①名簿入力'!$AI$4:$AI$153,S148)=D148,"",INDEX('①名簿入力'!$AI$4:$AI$153,S148)))</f>
        <v/>
      </c>
      <c r="W148" s="14" t="str">
        <f>IF(T148="","",IFERROR(IF(INDEX($E$9:$E$158,MATCH(T148,$D$9:$D$158,0))="","",INDEX($E$9:$E$158,MATCH(T148,$D$9:$D$158,0))),""))</f>
        <v/>
      </c>
      <c r="X148" s="14" t="str">
        <f>IF(U148="","",IFERROR(IF(INDEX($E$9:$E$158,MATCH(U148,$D$9:$D$158,0))="","",INDEX($E$9:$E$158,MATCH(U148,$D$9:$D$158,0))),""))</f>
        <v/>
      </c>
      <c r="Y148" s="14" t="str">
        <f>IF(V148="","",IFERROR(IF(INDEX($E$9:$E$158,MATCH(V148,$D$9:$D$158,0))="","",INDEX($E$9:$E$158,MATCH(V148,$D$9:$D$158,0))),""))</f>
        <v/>
      </c>
      <c r="Z148" s="14">
        <f>IF(AND(T148&lt;&gt;"",W148&lt;&gt;"",E148&lt;&gt;""),IF(W148=E148,1,0),0)</f>
        <v>0</v>
      </c>
      <c r="AA148" s="14">
        <f>IF(AND(U148&lt;&gt;"",X148&lt;&gt;"",E148&lt;&gt;""),IF(X148=E148,1,0),0)</f>
        <v>0</v>
      </c>
      <c r="AB148" s="14">
        <f>IF(AND(V148&lt;&gt;"",Y148&lt;&gt;"",E148&lt;&gt;""),IF(Y148=E148,1,0),0)</f>
        <v>0</v>
      </c>
      <c r="AC148" s="14" t="str">
        <f>IF(OR(T148="",E148=""),"",T148&amp;"|"&amp;E148)</f>
        <v/>
      </c>
      <c r="AD148" s="14" t="str">
        <f>IF(OR(U148="",E148=""),"",U148&amp;"|"&amp;E148)</f>
        <v/>
      </c>
      <c r="AE148" s="14" t="str">
        <f>IF(OR(V148="",E148=""),"",V148&amp;"|"&amp;E148)</f>
        <v/>
      </c>
      <c r="AF148" s="14">
        <f>IF(OR(D148="",E148=""),0,COUNTIF($AC$9:$AC$158,D148&amp;"|"&amp;E148)+COUNTIF($AD$9:$AD$158,D148&amp;"|"&amp;E148)+COUNTIF($AE$9:$AE$158,D148&amp;"|"&amp;E148))</f>
        <v>0</v>
      </c>
      <c r="AG148" s="14">
        <f>Z148+AA148+AB148+AF148</f>
        <v>0</v>
      </c>
      <c r="AH148" s="14" t="str">
        <f>IF(OR(D148="",E148=""),"",IFERROR(MATCH(D148&amp;"|"&amp;E148,$AC$9:$AC$158,0),""))</f>
        <v/>
      </c>
      <c r="AI148" s="14" t="str">
        <f>IF(OR(D148="",E148=""),"",IFERROR(MATCH(D148&amp;"|"&amp;E148,$AD$9:$AD$158,0),""))</f>
        <v/>
      </c>
      <c r="AJ148" s="14" t="str">
        <f>IF(OR(D148="",E148=""),"",IFERROR(MATCH(D148&amp;"|"&amp;E148,$AE$9:$AE$158,0),""))</f>
        <v/>
      </c>
      <c r="AK148" s="14" t="str">
        <f>IF(Z148=1,IFERROR(INDEX($F$9:$F$158,MATCH(T148,$D$9:$D$158,0)),"")&amp;"、","")&amp;IF(AA148=1,IFERROR(INDEX($F$9:$F$158,MATCH(U148,$D$9:$D$158,0)),"")&amp;"、","")&amp;IF(AB148=1,IFERROR(INDEX($F$9:$F$158,MATCH(V148,$D$9:$D$158,0)),"")&amp;"、","")</f>
        <v/>
      </c>
      <c r="AL148" s="14" t="str">
        <f>IF(OR(AH148=""),"",IF(OR(INDEX($D$9:$D$158,AH148)=T148,INDEX($D$9:$D$158,AH148)=U148,INDEX($D$9:$D$158,AH148)=V148),"",INDEX($F$9:$F$158,AH148)&amp;"、"))&amp;IF(OR(AI148="",AI148=AH148),"",IF(OR(INDEX($D$9:$D$158,AI148)=T148,INDEX($D$9:$D$158,AI148)=U148,INDEX($D$9:$D$158,AI148)=V148),"",INDEX($F$9:$F$158,AI148)&amp;"、"))&amp;IF(OR(AJ148="",AJ148=AH148,AJ148=AI148),"",IF(OR(INDEX($D$9:$D$158,AJ148)=T148,INDEX($D$9:$D$158,AJ148)=U148,INDEX($D$9:$D$158,AJ148)=V148),"",INDEX($F$9:$F$158,AJ148)&amp;"、"))</f>
        <v/>
      </c>
      <c r="AM148" s="14" t="str">
        <f>IF(T148="","",IFERROR(INDEX('①名簿入力'!$C$4:$C$153,MATCH(T148,'①名簿入力'!$A$4:$A$153,0)),"?")&amp;IF(W148="","","("&amp;W148&amp;"組)"))</f>
        <v/>
      </c>
      <c r="AN148" s="14" t="str">
        <f>IF(U148="","",IFERROR(INDEX('①名簿入力'!$C$4:$C$153,MATCH(U148,'①名簿入力'!$A$4:$A$153,0)),"?")&amp;IF(X148="","","("&amp;X148&amp;"組)"))</f>
        <v/>
      </c>
      <c r="AO148" s="14" t="str">
        <f>IF(V148="","",IFERROR(INDEX('①名簿入力'!$C$4:$C$153,MATCH(V148,'①名簿入力'!$A$4:$A$153,0)),"?")&amp;IF(Y148="","","("&amp;Y148&amp;"組)"))</f>
        <v/>
      </c>
      <c r="AP148" s="14">
        <f>IF(G148="男",1,IF(G148="女",2,3))</f>
        <v>3</v>
      </c>
      <c r="AQ148" s="14" t="str">
        <f>IF(OR(S148="",E148=""),"",IFERROR(IF('③クラス一覧'!$AD$6="番号順",0,AP148*1000000000)+D148,""))</f>
        <v/>
      </c>
      <c r="AR148" s="14" t="str">
        <f>IF(AQ148="","",COUNTIFS($E$9:$E$158,E148,$AQ$9:$AQ$158,"&lt;"&amp;AQ148)+1)</f>
        <v/>
      </c>
      <c r="AS148" s="14" t="str">
        <f>IF(AR148="","",E148&amp;"-"&amp;AR148)</f>
        <v/>
      </c>
      <c r="AT148" s="14" t="str">
        <f>IF(S148="","",IF(INDEX('①名簿入力'!$F$4:$F$153,S148)="","",INDEX('①名簿入力'!$F$4:$F$153,S148)))</f>
        <v/>
      </c>
      <c r="AU148" s="14" t="str">
        <f>IF(S148="","",IF(INDEX('①名簿入力'!$G$4:$G$153,S148)="","",INDEX('①名簿入力'!$G$4:$G$153,S148)))</f>
        <v/>
      </c>
      <c r="AV148" s="14" t="str">
        <f>IF(S148="","",IF(INDEX('①名簿入力'!$H$4:$H$153,S148)="","",INDEX('①名簿入力'!$H$4:$H$153,S148)))</f>
        <v/>
      </c>
      <c r="AW148" s="14" t="str">
        <f>IF(S148="","",IF(INDEX('①名簿入力'!$I$4:$I$153,S148)="","",INDEX('①名簿入力'!$I$4:$I$153,S148)))</f>
        <v/>
      </c>
      <c r="AX148" s="14" t="str">
        <f>IF(S148="","",IF(INDEX('①名簿入力'!$J$4:$J$153,S148)="","",INDEX('①名簿入力'!$J$4:$J$153,S148)))</f>
        <v/>
      </c>
    </row>
    <row r="149">
      <c r="A149" s="23" t="str">
        <f>IF('①名簿入力'!A144="","",'①名簿入力'!A144)</f>
        <v/>
      </c>
      <c r="B149" s="23" t="str">
        <f>IF(A149="","",'①名簿入力'!U144)</f>
        <v/>
      </c>
      <c r="D149" s="8" t="n"/>
      <c r="E149" s="24" t="n"/>
      <c r="F149" s="25" t="str">
        <f>IF(D149="","",IF(S149="","（名簿にない番号）",INDEX('①名簿入力'!$C$4:$C$153,S149)&amp;""))</f>
        <v/>
      </c>
      <c r="G149" s="13" t="str">
        <f>IF(S149="","",INDEX('①名簿入力'!$E$4:$E$153,S149)&amp;"")</f>
        <v/>
      </c>
      <c r="H149" s="13" t="str">
        <f>IF(S149="","",IF(INDEX('①名簿入力'!$B$4:$B$153,S149)="","",INDEX('①名簿入力'!$B$4:$B$153,S149)))</f>
        <v/>
      </c>
      <c r="I149" s="10" t="str">
        <f>IF(S149="","",IF(INDEX('①名簿入力'!$K$4:$K$153,S149)="","",INDEX('①名簿入力'!$K$4:$K$153,S149)))</f>
        <v/>
      </c>
      <c r="J149" s="10" t="str">
        <f>IF(S149="","",IF(INDEX('①名簿入力'!$L$4:$L$153,S149)="","",INDEX('①名簿入力'!$L$4:$L$153,S149)))</f>
        <v/>
      </c>
      <c r="K149" s="13" t="str">
        <f>IF(S149="","",IF(INDEX('①名簿入力'!$Y$4:$Y$153,S149)=1,"〇",""))</f>
        <v/>
      </c>
      <c r="L149" s="13" t="str">
        <f>IF(S149="","",IF(INDEX('①名簿入力'!$Z$4:$Z$153,S149)=1,"〇",""))</f>
        <v/>
      </c>
      <c r="M149" s="13" t="str">
        <f>IF(S149="","",IF(INDEX('①名簿入力'!$AA$4:$AA$153,S149)=1,"〇",""))</f>
        <v/>
      </c>
      <c r="N149" s="13" t="str">
        <f>IF(S149="","",IF(INDEX('①名簿入力'!$AB$4:$AB$153,S149)=1,"〇",""))</f>
        <v/>
      </c>
      <c r="O149" s="25" t="str">
        <f>AM149&amp;IF(AND(AM149&lt;&gt;"",AN149&lt;&gt;""),"、","")&amp;AN149&amp;IF(AND(AM149&amp;AN149&lt;&gt;"",AO149&lt;&gt;""),"、","")&amp;AO149</f>
        <v/>
      </c>
      <c r="P149" s="25" t="str">
        <f>IF(AG149=0,"",IF(AK149&amp;AL149="","⚠",LEFT(AK149&amp;AL149,LEN(AK149&amp;AL149)-1)))</f>
        <v/>
      </c>
      <c r="Q149" s="25" t="str">
        <f>IF(S149="","",INDEX('①名簿入力'!$T$4:$T$153,S149)&amp;"")</f>
        <v/>
      </c>
      <c r="S149" s="14" t="str">
        <f>IF(D149="","",IFERROR(MATCH(D149,'①名簿入力'!$A$4:$A$153,0),""))</f>
        <v/>
      </c>
      <c r="T149" s="14" t="str">
        <f>IF(S149="","",IF(INDEX('①名簿入力'!$AG$4:$AG$153,S149)=D149,"",INDEX('①名簿入力'!$AG$4:$AG$153,S149)))</f>
        <v/>
      </c>
      <c r="U149" s="14" t="str">
        <f>IF(S149="","",IF(INDEX('①名簿入力'!$AH$4:$AH$153,S149)=D149,"",INDEX('①名簿入力'!$AH$4:$AH$153,S149)))</f>
        <v/>
      </c>
      <c r="V149" s="14" t="str">
        <f>IF(S149="","",IF(INDEX('①名簿入力'!$AI$4:$AI$153,S149)=D149,"",INDEX('①名簿入力'!$AI$4:$AI$153,S149)))</f>
        <v/>
      </c>
      <c r="W149" s="14" t="str">
        <f>IF(T149="","",IFERROR(IF(INDEX($E$9:$E$158,MATCH(T149,$D$9:$D$158,0))="","",INDEX($E$9:$E$158,MATCH(T149,$D$9:$D$158,0))),""))</f>
        <v/>
      </c>
      <c r="X149" s="14" t="str">
        <f>IF(U149="","",IFERROR(IF(INDEX($E$9:$E$158,MATCH(U149,$D$9:$D$158,0))="","",INDEX($E$9:$E$158,MATCH(U149,$D$9:$D$158,0))),""))</f>
        <v/>
      </c>
      <c r="Y149" s="14" t="str">
        <f>IF(V149="","",IFERROR(IF(INDEX($E$9:$E$158,MATCH(V149,$D$9:$D$158,0))="","",INDEX($E$9:$E$158,MATCH(V149,$D$9:$D$158,0))),""))</f>
        <v/>
      </c>
      <c r="Z149" s="14">
        <f>IF(AND(T149&lt;&gt;"",W149&lt;&gt;"",E149&lt;&gt;""),IF(W149=E149,1,0),0)</f>
        <v>0</v>
      </c>
      <c r="AA149" s="14">
        <f>IF(AND(U149&lt;&gt;"",X149&lt;&gt;"",E149&lt;&gt;""),IF(X149=E149,1,0),0)</f>
        <v>0</v>
      </c>
      <c r="AB149" s="14">
        <f>IF(AND(V149&lt;&gt;"",Y149&lt;&gt;"",E149&lt;&gt;""),IF(Y149=E149,1,0),0)</f>
        <v>0</v>
      </c>
      <c r="AC149" s="14" t="str">
        <f>IF(OR(T149="",E149=""),"",T149&amp;"|"&amp;E149)</f>
        <v/>
      </c>
      <c r="AD149" s="14" t="str">
        <f>IF(OR(U149="",E149=""),"",U149&amp;"|"&amp;E149)</f>
        <v/>
      </c>
      <c r="AE149" s="14" t="str">
        <f>IF(OR(V149="",E149=""),"",V149&amp;"|"&amp;E149)</f>
        <v/>
      </c>
      <c r="AF149" s="14">
        <f>IF(OR(D149="",E149=""),0,COUNTIF($AC$9:$AC$158,D149&amp;"|"&amp;E149)+COUNTIF($AD$9:$AD$158,D149&amp;"|"&amp;E149)+COUNTIF($AE$9:$AE$158,D149&amp;"|"&amp;E149))</f>
        <v>0</v>
      </c>
      <c r="AG149" s="14">
        <f>Z149+AA149+AB149+AF149</f>
        <v>0</v>
      </c>
      <c r="AH149" s="14" t="str">
        <f>IF(OR(D149="",E149=""),"",IFERROR(MATCH(D149&amp;"|"&amp;E149,$AC$9:$AC$158,0),""))</f>
        <v/>
      </c>
      <c r="AI149" s="14" t="str">
        <f>IF(OR(D149="",E149=""),"",IFERROR(MATCH(D149&amp;"|"&amp;E149,$AD$9:$AD$158,0),""))</f>
        <v/>
      </c>
      <c r="AJ149" s="14" t="str">
        <f>IF(OR(D149="",E149=""),"",IFERROR(MATCH(D149&amp;"|"&amp;E149,$AE$9:$AE$158,0),""))</f>
        <v/>
      </c>
      <c r="AK149" s="14" t="str">
        <f>IF(Z149=1,IFERROR(INDEX($F$9:$F$158,MATCH(T149,$D$9:$D$158,0)),"")&amp;"、","")&amp;IF(AA149=1,IFERROR(INDEX($F$9:$F$158,MATCH(U149,$D$9:$D$158,0)),"")&amp;"、","")&amp;IF(AB149=1,IFERROR(INDEX($F$9:$F$158,MATCH(V149,$D$9:$D$158,0)),"")&amp;"、","")</f>
        <v/>
      </c>
      <c r="AL149" s="14" t="str">
        <f>IF(OR(AH149=""),"",IF(OR(INDEX($D$9:$D$158,AH149)=T149,INDEX($D$9:$D$158,AH149)=U149,INDEX($D$9:$D$158,AH149)=V149),"",INDEX($F$9:$F$158,AH149)&amp;"、"))&amp;IF(OR(AI149="",AI149=AH149),"",IF(OR(INDEX($D$9:$D$158,AI149)=T149,INDEX($D$9:$D$158,AI149)=U149,INDEX($D$9:$D$158,AI149)=V149),"",INDEX($F$9:$F$158,AI149)&amp;"、"))&amp;IF(OR(AJ149="",AJ149=AH149,AJ149=AI149),"",IF(OR(INDEX($D$9:$D$158,AJ149)=T149,INDEX($D$9:$D$158,AJ149)=U149,INDEX($D$9:$D$158,AJ149)=V149),"",INDEX($F$9:$F$158,AJ149)&amp;"、"))</f>
        <v/>
      </c>
      <c r="AM149" s="14" t="str">
        <f>IF(T149="","",IFERROR(INDEX('①名簿入力'!$C$4:$C$153,MATCH(T149,'①名簿入力'!$A$4:$A$153,0)),"?")&amp;IF(W149="","","("&amp;W149&amp;"組)"))</f>
        <v/>
      </c>
      <c r="AN149" s="14" t="str">
        <f>IF(U149="","",IFERROR(INDEX('①名簿入力'!$C$4:$C$153,MATCH(U149,'①名簿入力'!$A$4:$A$153,0)),"?")&amp;IF(X149="","","("&amp;X149&amp;"組)"))</f>
        <v/>
      </c>
      <c r="AO149" s="14" t="str">
        <f>IF(V149="","",IFERROR(INDEX('①名簿入力'!$C$4:$C$153,MATCH(V149,'①名簿入力'!$A$4:$A$153,0)),"?")&amp;IF(Y149="","","("&amp;Y149&amp;"組)"))</f>
        <v/>
      </c>
      <c r="AP149" s="14">
        <f>IF(G149="男",1,IF(G149="女",2,3))</f>
        <v>3</v>
      </c>
      <c r="AQ149" s="14" t="str">
        <f>IF(OR(S149="",E149=""),"",IFERROR(IF('③クラス一覧'!$AD$6="番号順",0,AP149*1000000000)+D149,""))</f>
        <v/>
      </c>
      <c r="AR149" s="14" t="str">
        <f>IF(AQ149="","",COUNTIFS($E$9:$E$158,E149,$AQ$9:$AQ$158,"&lt;"&amp;AQ149)+1)</f>
        <v/>
      </c>
      <c r="AS149" s="14" t="str">
        <f>IF(AR149="","",E149&amp;"-"&amp;AR149)</f>
        <v/>
      </c>
      <c r="AT149" s="14" t="str">
        <f>IF(S149="","",IF(INDEX('①名簿入力'!$F$4:$F$153,S149)="","",INDEX('①名簿入力'!$F$4:$F$153,S149)))</f>
        <v/>
      </c>
      <c r="AU149" s="14" t="str">
        <f>IF(S149="","",IF(INDEX('①名簿入力'!$G$4:$G$153,S149)="","",INDEX('①名簿入力'!$G$4:$G$153,S149)))</f>
        <v/>
      </c>
      <c r="AV149" s="14" t="str">
        <f>IF(S149="","",IF(INDEX('①名簿入力'!$H$4:$H$153,S149)="","",INDEX('①名簿入力'!$H$4:$H$153,S149)))</f>
        <v/>
      </c>
      <c r="AW149" s="14" t="str">
        <f>IF(S149="","",IF(INDEX('①名簿入力'!$I$4:$I$153,S149)="","",INDEX('①名簿入力'!$I$4:$I$153,S149)))</f>
        <v/>
      </c>
      <c r="AX149" s="14" t="str">
        <f>IF(S149="","",IF(INDEX('①名簿入力'!$J$4:$J$153,S149)="","",INDEX('①名簿入力'!$J$4:$J$153,S149)))</f>
        <v/>
      </c>
    </row>
    <row r="150">
      <c r="A150" s="23" t="str">
        <f>IF('①名簿入力'!A145="","",'①名簿入力'!A145)</f>
        <v/>
      </c>
      <c r="B150" s="23" t="str">
        <f>IF(A150="","",'①名簿入力'!U145)</f>
        <v/>
      </c>
      <c r="D150" s="8" t="n"/>
      <c r="E150" s="24" t="n"/>
      <c r="F150" s="25" t="str">
        <f>IF(D150="","",IF(S150="","（名簿にない番号）",INDEX('①名簿入力'!$C$4:$C$153,S150)&amp;""))</f>
        <v/>
      </c>
      <c r="G150" s="13" t="str">
        <f>IF(S150="","",INDEX('①名簿入力'!$E$4:$E$153,S150)&amp;"")</f>
        <v/>
      </c>
      <c r="H150" s="13" t="str">
        <f>IF(S150="","",IF(INDEX('①名簿入力'!$B$4:$B$153,S150)="","",INDEX('①名簿入力'!$B$4:$B$153,S150)))</f>
        <v/>
      </c>
      <c r="I150" s="10" t="str">
        <f>IF(S150="","",IF(INDEX('①名簿入力'!$K$4:$K$153,S150)="","",INDEX('①名簿入力'!$K$4:$K$153,S150)))</f>
        <v/>
      </c>
      <c r="J150" s="10" t="str">
        <f>IF(S150="","",IF(INDEX('①名簿入力'!$L$4:$L$153,S150)="","",INDEX('①名簿入力'!$L$4:$L$153,S150)))</f>
        <v/>
      </c>
      <c r="K150" s="13" t="str">
        <f>IF(S150="","",IF(INDEX('①名簿入力'!$Y$4:$Y$153,S150)=1,"〇",""))</f>
        <v/>
      </c>
      <c r="L150" s="13" t="str">
        <f>IF(S150="","",IF(INDEX('①名簿入力'!$Z$4:$Z$153,S150)=1,"〇",""))</f>
        <v/>
      </c>
      <c r="M150" s="13" t="str">
        <f>IF(S150="","",IF(INDEX('①名簿入力'!$AA$4:$AA$153,S150)=1,"〇",""))</f>
        <v/>
      </c>
      <c r="N150" s="13" t="str">
        <f>IF(S150="","",IF(INDEX('①名簿入力'!$AB$4:$AB$153,S150)=1,"〇",""))</f>
        <v/>
      </c>
      <c r="O150" s="25" t="str">
        <f>AM150&amp;IF(AND(AM150&lt;&gt;"",AN150&lt;&gt;""),"、","")&amp;AN150&amp;IF(AND(AM150&amp;AN150&lt;&gt;"",AO150&lt;&gt;""),"、","")&amp;AO150</f>
        <v/>
      </c>
      <c r="P150" s="25" t="str">
        <f>IF(AG150=0,"",IF(AK150&amp;AL150="","⚠",LEFT(AK150&amp;AL150,LEN(AK150&amp;AL150)-1)))</f>
        <v/>
      </c>
      <c r="Q150" s="25" t="str">
        <f>IF(S150="","",INDEX('①名簿入力'!$T$4:$T$153,S150)&amp;"")</f>
        <v/>
      </c>
      <c r="S150" s="14" t="str">
        <f>IF(D150="","",IFERROR(MATCH(D150,'①名簿入力'!$A$4:$A$153,0),""))</f>
        <v/>
      </c>
      <c r="T150" s="14" t="str">
        <f>IF(S150="","",IF(INDEX('①名簿入力'!$AG$4:$AG$153,S150)=D150,"",INDEX('①名簿入力'!$AG$4:$AG$153,S150)))</f>
        <v/>
      </c>
      <c r="U150" s="14" t="str">
        <f>IF(S150="","",IF(INDEX('①名簿入力'!$AH$4:$AH$153,S150)=D150,"",INDEX('①名簿入力'!$AH$4:$AH$153,S150)))</f>
        <v/>
      </c>
      <c r="V150" s="14" t="str">
        <f>IF(S150="","",IF(INDEX('①名簿入力'!$AI$4:$AI$153,S150)=D150,"",INDEX('①名簿入力'!$AI$4:$AI$153,S150)))</f>
        <v/>
      </c>
      <c r="W150" s="14" t="str">
        <f>IF(T150="","",IFERROR(IF(INDEX($E$9:$E$158,MATCH(T150,$D$9:$D$158,0))="","",INDEX($E$9:$E$158,MATCH(T150,$D$9:$D$158,0))),""))</f>
        <v/>
      </c>
      <c r="X150" s="14" t="str">
        <f>IF(U150="","",IFERROR(IF(INDEX($E$9:$E$158,MATCH(U150,$D$9:$D$158,0))="","",INDEX($E$9:$E$158,MATCH(U150,$D$9:$D$158,0))),""))</f>
        <v/>
      </c>
      <c r="Y150" s="14" t="str">
        <f>IF(V150="","",IFERROR(IF(INDEX($E$9:$E$158,MATCH(V150,$D$9:$D$158,0))="","",INDEX($E$9:$E$158,MATCH(V150,$D$9:$D$158,0))),""))</f>
        <v/>
      </c>
      <c r="Z150" s="14">
        <f>IF(AND(T150&lt;&gt;"",W150&lt;&gt;"",E150&lt;&gt;""),IF(W150=E150,1,0),0)</f>
        <v>0</v>
      </c>
      <c r="AA150" s="14">
        <f>IF(AND(U150&lt;&gt;"",X150&lt;&gt;"",E150&lt;&gt;""),IF(X150=E150,1,0),0)</f>
        <v>0</v>
      </c>
      <c r="AB150" s="14">
        <f>IF(AND(V150&lt;&gt;"",Y150&lt;&gt;"",E150&lt;&gt;""),IF(Y150=E150,1,0),0)</f>
        <v>0</v>
      </c>
      <c r="AC150" s="14" t="str">
        <f>IF(OR(T150="",E150=""),"",T150&amp;"|"&amp;E150)</f>
        <v/>
      </c>
      <c r="AD150" s="14" t="str">
        <f>IF(OR(U150="",E150=""),"",U150&amp;"|"&amp;E150)</f>
        <v/>
      </c>
      <c r="AE150" s="14" t="str">
        <f>IF(OR(V150="",E150=""),"",V150&amp;"|"&amp;E150)</f>
        <v/>
      </c>
      <c r="AF150" s="14">
        <f>IF(OR(D150="",E150=""),0,COUNTIF($AC$9:$AC$158,D150&amp;"|"&amp;E150)+COUNTIF($AD$9:$AD$158,D150&amp;"|"&amp;E150)+COUNTIF($AE$9:$AE$158,D150&amp;"|"&amp;E150))</f>
        <v>0</v>
      </c>
      <c r="AG150" s="14">
        <f>Z150+AA150+AB150+AF150</f>
        <v>0</v>
      </c>
      <c r="AH150" s="14" t="str">
        <f>IF(OR(D150="",E150=""),"",IFERROR(MATCH(D150&amp;"|"&amp;E150,$AC$9:$AC$158,0),""))</f>
        <v/>
      </c>
      <c r="AI150" s="14" t="str">
        <f>IF(OR(D150="",E150=""),"",IFERROR(MATCH(D150&amp;"|"&amp;E150,$AD$9:$AD$158,0),""))</f>
        <v/>
      </c>
      <c r="AJ150" s="14" t="str">
        <f>IF(OR(D150="",E150=""),"",IFERROR(MATCH(D150&amp;"|"&amp;E150,$AE$9:$AE$158,0),""))</f>
        <v/>
      </c>
      <c r="AK150" s="14" t="str">
        <f>IF(Z150=1,IFERROR(INDEX($F$9:$F$158,MATCH(T150,$D$9:$D$158,0)),"")&amp;"、","")&amp;IF(AA150=1,IFERROR(INDEX($F$9:$F$158,MATCH(U150,$D$9:$D$158,0)),"")&amp;"、","")&amp;IF(AB150=1,IFERROR(INDEX($F$9:$F$158,MATCH(V150,$D$9:$D$158,0)),"")&amp;"、","")</f>
        <v/>
      </c>
      <c r="AL150" s="14" t="str">
        <f>IF(OR(AH150=""),"",IF(OR(INDEX($D$9:$D$158,AH150)=T150,INDEX($D$9:$D$158,AH150)=U150,INDEX($D$9:$D$158,AH150)=V150),"",INDEX($F$9:$F$158,AH150)&amp;"、"))&amp;IF(OR(AI150="",AI150=AH150),"",IF(OR(INDEX($D$9:$D$158,AI150)=T150,INDEX($D$9:$D$158,AI150)=U150,INDEX($D$9:$D$158,AI150)=V150),"",INDEX($F$9:$F$158,AI150)&amp;"、"))&amp;IF(OR(AJ150="",AJ150=AH150,AJ150=AI150),"",IF(OR(INDEX($D$9:$D$158,AJ150)=T150,INDEX($D$9:$D$158,AJ150)=U150,INDEX($D$9:$D$158,AJ150)=V150),"",INDEX($F$9:$F$158,AJ150)&amp;"、"))</f>
        <v/>
      </c>
      <c r="AM150" s="14" t="str">
        <f>IF(T150="","",IFERROR(INDEX('①名簿入力'!$C$4:$C$153,MATCH(T150,'①名簿入力'!$A$4:$A$153,0)),"?")&amp;IF(W150="","","("&amp;W150&amp;"組)"))</f>
        <v/>
      </c>
      <c r="AN150" s="14" t="str">
        <f>IF(U150="","",IFERROR(INDEX('①名簿入力'!$C$4:$C$153,MATCH(U150,'①名簿入力'!$A$4:$A$153,0)),"?")&amp;IF(X150="","","("&amp;X150&amp;"組)"))</f>
        <v/>
      </c>
      <c r="AO150" s="14" t="str">
        <f>IF(V150="","",IFERROR(INDEX('①名簿入力'!$C$4:$C$153,MATCH(V150,'①名簿入力'!$A$4:$A$153,0)),"?")&amp;IF(Y150="","","("&amp;Y150&amp;"組)"))</f>
        <v/>
      </c>
      <c r="AP150" s="14">
        <f>IF(G150="男",1,IF(G150="女",2,3))</f>
        <v>3</v>
      </c>
      <c r="AQ150" s="14" t="str">
        <f>IF(OR(S150="",E150=""),"",IFERROR(IF('③クラス一覧'!$AD$6="番号順",0,AP150*1000000000)+D150,""))</f>
        <v/>
      </c>
      <c r="AR150" s="14" t="str">
        <f>IF(AQ150="","",COUNTIFS($E$9:$E$158,E150,$AQ$9:$AQ$158,"&lt;"&amp;AQ150)+1)</f>
        <v/>
      </c>
      <c r="AS150" s="14" t="str">
        <f>IF(AR150="","",E150&amp;"-"&amp;AR150)</f>
        <v/>
      </c>
      <c r="AT150" s="14" t="str">
        <f>IF(S150="","",IF(INDEX('①名簿入力'!$F$4:$F$153,S150)="","",INDEX('①名簿入力'!$F$4:$F$153,S150)))</f>
        <v/>
      </c>
      <c r="AU150" s="14" t="str">
        <f>IF(S150="","",IF(INDEX('①名簿入力'!$G$4:$G$153,S150)="","",INDEX('①名簿入力'!$G$4:$G$153,S150)))</f>
        <v/>
      </c>
      <c r="AV150" s="14" t="str">
        <f>IF(S150="","",IF(INDEX('①名簿入力'!$H$4:$H$153,S150)="","",INDEX('①名簿入力'!$H$4:$H$153,S150)))</f>
        <v/>
      </c>
      <c r="AW150" s="14" t="str">
        <f>IF(S150="","",IF(INDEX('①名簿入力'!$I$4:$I$153,S150)="","",INDEX('①名簿入力'!$I$4:$I$153,S150)))</f>
        <v/>
      </c>
      <c r="AX150" s="14" t="str">
        <f>IF(S150="","",IF(INDEX('①名簿入力'!$J$4:$J$153,S150)="","",INDEX('①名簿入力'!$J$4:$J$153,S150)))</f>
        <v/>
      </c>
    </row>
    <row r="151">
      <c r="A151" s="23" t="str">
        <f>IF('①名簿入力'!A146="","",'①名簿入力'!A146)</f>
        <v/>
      </c>
      <c r="B151" s="23" t="str">
        <f>IF(A151="","",'①名簿入力'!U146)</f>
        <v/>
      </c>
      <c r="D151" s="8" t="n"/>
      <c r="E151" s="24" t="n"/>
      <c r="F151" s="25" t="str">
        <f>IF(D151="","",IF(S151="","（名簿にない番号）",INDEX('①名簿入力'!$C$4:$C$153,S151)&amp;""))</f>
        <v/>
      </c>
      <c r="G151" s="13" t="str">
        <f>IF(S151="","",INDEX('①名簿入力'!$E$4:$E$153,S151)&amp;"")</f>
        <v/>
      </c>
      <c r="H151" s="13" t="str">
        <f>IF(S151="","",IF(INDEX('①名簿入力'!$B$4:$B$153,S151)="","",INDEX('①名簿入力'!$B$4:$B$153,S151)))</f>
        <v/>
      </c>
      <c r="I151" s="10" t="str">
        <f>IF(S151="","",IF(INDEX('①名簿入力'!$K$4:$K$153,S151)="","",INDEX('①名簿入力'!$K$4:$K$153,S151)))</f>
        <v/>
      </c>
      <c r="J151" s="10" t="str">
        <f>IF(S151="","",IF(INDEX('①名簿入力'!$L$4:$L$153,S151)="","",INDEX('①名簿入力'!$L$4:$L$153,S151)))</f>
        <v/>
      </c>
      <c r="K151" s="13" t="str">
        <f>IF(S151="","",IF(INDEX('①名簿入力'!$Y$4:$Y$153,S151)=1,"〇",""))</f>
        <v/>
      </c>
      <c r="L151" s="13" t="str">
        <f>IF(S151="","",IF(INDEX('①名簿入力'!$Z$4:$Z$153,S151)=1,"〇",""))</f>
        <v/>
      </c>
      <c r="M151" s="13" t="str">
        <f>IF(S151="","",IF(INDEX('①名簿入力'!$AA$4:$AA$153,S151)=1,"〇",""))</f>
        <v/>
      </c>
      <c r="N151" s="13" t="str">
        <f>IF(S151="","",IF(INDEX('①名簿入力'!$AB$4:$AB$153,S151)=1,"〇",""))</f>
        <v/>
      </c>
      <c r="O151" s="25" t="str">
        <f>AM151&amp;IF(AND(AM151&lt;&gt;"",AN151&lt;&gt;""),"、","")&amp;AN151&amp;IF(AND(AM151&amp;AN151&lt;&gt;"",AO151&lt;&gt;""),"、","")&amp;AO151</f>
        <v/>
      </c>
      <c r="P151" s="25" t="str">
        <f>IF(AG151=0,"",IF(AK151&amp;AL151="","⚠",LEFT(AK151&amp;AL151,LEN(AK151&amp;AL151)-1)))</f>
        <v/>
      </c>
      <c r="Q151" s="25" t="str">
        <f>IF(S151="","",INDEX('①名簿入力'!$T$4:$T$153,S151)&amp;"")</f>
        <v/>
      </c>
      <c r="S151" s="14" t="str">
        <f>IF(D151="","",IFERROR(MATCH(D151,'①名簿入力'!$A$4:$A$153,0),""))</f>
        <v/>
      </c>
      <c r="T151" s="14" t="str">
        <f>IF(S151="","",IF(INDEX('①名簿入力'!$AG$4:$AG$153,S151)=D151,"",INDEX('①名簿入力'!$AG$4:$AG$153,S151)))</f>
        <v/>
      </c>
      <c r="U151" s="14" t="str">
        <f>IF(S151="","",IF(INDEX('①名簿入力'!$AH$4:$AH$153,S151)=D151,"",INDEX('①名簿入力'!$AH$4:$AH$153,S151)))</f>
        <v/>
      </c>
      <c r="V151" s="14" t="str">
        <f>IF(S151="","",IF(INDEX('①名簿入力'!$AI$4:$AI$153,S151)=D151,"",INDEX('①名簿入力'!$AI$4:$AI$153,S151)))</f>
        <v/>
      </c>
      <c r="W151" s="14" t="str">
        <f>IF(T151="","",IFERROR(IF(INDEX($E$9:$E$158,MATCH(T151,$D$9:$D$158,0))="","",INDEX($E$9:$E$158,MATCH(T151,$D$9:$D$158,0))),""))</f>
        <v/>
      </c>
      <c r="X151" s="14" t="str">
        <f>IF(U151="","",IFERROR(IF(INDEX($E$9:$E$158,MATCH(U151,$D$9:$D$158,0))="","",INDEX($E$9:$E$158,MATCH(U151,$D$9:$D$158,0))),""))</f>
        <v/>
      </c>
      <c r="Y151" s="14" t="str">
        <f>IF(V151="","",IFERROR(IF(INDEX($E$9:$E$158,MATCH(V151,$D$9:$D$158,0))="","",INDEX($E$9:$E$158,MATCH(V151,$D$9:$D$158,0))),""))</f>
        <v/>
      </c>
      <c r="Z151" s="14">
        <f>IF(AND(T151&lt;&gt;"",W151&lt;&gt;"",E151&lt;&gt;""),IF(W151=E151,1,0),0)</f>
        <v>0</v>
      </c>
      <c r="AA151" s="14">
        <f>IF(AND(U151&lt;&gt;"",X151&lt;&gt;"",E151&lt;&gt;""),IF(X151=E151,1,0),0)</f>
        <v>0</v>
      </c>
      <c r="AB151" s="14">
        <f>IF(AND(V151&lt;&gt;"",Y151&lt;&gt;"",E151&lt;&gt;""),IF(Y151=E151,1,0),0)</f>
        <v>0</v>
      </c>
      <c r="AC151" s="14" t="str">
        <f>IF(OR(T151="",E151=""),"",T151&amp;"|"&amp;E151)</f>
        <v/>
      </c>
      <c r="AD151" s="14" t="str">
        <f>IF(OR(U151="",E151=""),"",U151&amp;"|"&amp;E151)</f>
        <v/>
      </c>
      <c r="AE151" s="14" t="str">
        <f>IF(OR(V151="",E151=""),"",V151&amp;"|"&amp;E151)</f>
        <v/>
      </c>
      <c r="AF151" s="14">
        <f>IF(OR(D151="",E151=""),0,COUNTIF($AC$9:$AC$158,D151&amp;"|"&amp;E151)+COUNTIF($AD$9:$AD$158,D151&amp;"|"&amp;E151)+COUNTIF($AE$9:$AE$158,D151&amp;"|"&amp;E151))</f>
        <v>0</v>
      </c>
      <c r="AG151" s="14">
        <f>Z151+AA151+AB151+AF151</f>
        <v>0</v>
      </c>
      <c r="AH151" s="14" t="str">
        <f>IF(OR(D151="",E151=""),"",IFERROR(MATCH(D151&amp;"|"&amp;E151,$AC$9:$AC$158,0),""))</f>
        <v/>
      </c>
      <c r="AI151" s="14" t="str">
        <f>IF(OR(D151="",E151=""),"",IFERROR(MATCH(D151&amp;"|"&amp;E151,$AD$9:$AD$158,0),""))</f>
        <v/>
      </c>
      <c r="AJ151" s="14" t="str">
        <f>IF(OR(D151="",E151=""),"",IFERROR(MATCH(D151&amp;"|"&amp;E151,$AE$9:$AE$158,0),""))</f>
        <v/>
      </c>
      <c r="AK151" s="14" t="str">
        <f>IF(Z151=1,IFERROR(INDEX($F$9:$F$158,MATCH(T151,$D$9:$D$158,0)),"")&amp;"、","")&amp;IF(AA151=1,IFERROR(INDEX($F$9:$F$158,MATCH(U151,$D$9:$D$158,0)),"")&amp;"、","")&amp;IF(AB151=1,IFERROR(INDEX($F$9:$F$158,MATCH(V151,$D$9:$D$158,0)),"")&amp;"、","")</f>
        <v/>
      </c>
      <c r="AL151" s="14" t="str">
        <f>IF(OR(AH151=""),"",IF(OR(INDEX($D$9:$D$158,AH151)=T151,INDEX($D$9:$D$158,AH151)=U151,INDEX($D$9:$D$158,AH151)=V151),"",INDEX($F$9:$F$158,AH151)&amp;"、"))&amp;IF(OR(AI151="",AI151=AH151),"",IF(OR(INDEX($D$9:$D$158,AI151)=T151,INDEX($D$9:$D$158,AI151)=U151,INDEX($D$9:$D$158,AI151)=V151),"",INDEX($F$9:$F$158,AI151)&amp;"、"))&amp;IF(OR(AJ151="",AJ151=AH151,AJ151=AI151),"",IF(OR(INDEX($D$9:$D$158,AJ151)=T151,INDEX($D$9:$D$158,AJ151)=U151,INDEX($D$9:$D$158,AJ151)=V151),"",INDEX($F$9:$F$158,AJ151)&amp;"、"))</f>
        <v/>
      </c>
      <c r="AM151" s="14" t="str">
        <f>IF(T151="","",IFERROR(INDEX('①名簿入力'!$C$4:$C$153,MATCH(T151,'①名簿入力'!$A$4:$A$153,0)),"?")&amp;IF(W151="","","("&amp;W151&amp;"組)"))</f>
        <v/>
      </c>
      <c r="AN151" s="14" t="str">
        <f>IF(U151="","",IFERROR(INDEX('①名簿入力'!$C$4:$C$153,MATCH(U151,'①名簿入力'!$A$4:$A$153,0)),"?")&amp;IF(X151="","","("&amp;X151&amp;"組)"))</f>
        <v/>
      </c>
      <c r="AO151" s="14" t="str">
        <f>IF(V151="","",IFERROR(INDEX('①名簿入力'!$C$4:$C$153,MATCH(V151,'①名簿入力'!$A$4:$A$153,0)),"?")&amp;IF(Y151="","","("&amp;Y151&amp;"組)"))</f>
        <v/>
      </c>
      <c r="AP151" s="14">
        <f>IF(G151="男",1,IF(G151="女",2,3))</f>
        <v>3</v>
      </c>
      <c r="AQ151" s="14" t="str">
        <f>IF(OR(S151="",E151=""),"",IFERROR(IF('③クラス一覧'!$AD$6="番号順",0,AP151*1000000000)+D151,""))</f>
        <v/>
      </c>
      <c r="AR151" s="14" t="str">
        <f>IF(AQ151="","",COUNTIFS($E$9:$E$158,E151,$AQ$9:$AQ$158,"&lt;"&amp;AQ151)+1)</f>
        <v/>
      </c>
      <c r="AS151" s="14" t="str">
        <f>IF(AR151="","",E151&amp;"-"&amp;AR151)</f>
        <v/>
      </c>
      <c r="AT151" s="14" t="str">
        <f>IF(S151="","",IF(INDEX('①名簿入力'!$F$4:$F$153,S151)="","",INDEX('①名簿入力'!$F$4:$F$153,S151)))</f>
        <v/>
      </c>
      <c r="AU151" s="14" t="str">
        <f>IF(S151="","",IF(INDEX('①名簿入力'!$G$4:$G$153,S151)="","",INDEX('①名簿入力'!$G$4:$G$153,S151)))</f>
        <v/>
      </c>
      <c r="AV151" s="14" t="str">
        <f>IF(S151="","",IF(INDEX('①名簿入力'!$H$4:$H$153,S151)="","",INDEX('①名簿入力'!$H$4:$H$153,S151)))</f>
        <v/>
      </c>
      <c r="AW151" s="14" t="str">
        <f>IF(S151="","",IF(INDEX('①名簿入力'!$I$4:$I$153,S151)="","",INDEX('①名簿入力'!$I$4:$I$153,S151)))</f>
        <v/>
      </c>
      <c r="AX151" s="14" t="str">
        <f>IF(S151="","",IF(INDEX('①名簿入力'!$J$4:$J$153,S151)="","",INDEX('①名簿入力'!$J$4:$J$153,S151)))</f>
        <v/>
      </c>
    </row>
    <row r="152">
      <c r="A152" s="23" t="str">
        <f>IF('①名簿入力'!A147="","",'①名簿入力'!A147)</f>
        <v/>
      </c>
      <c r="B152" s="23" t="str">
        <f>IF(A152="","",'①名簿入力'!U147)</f>
        <v/>
      </c>
      <c r="D152" s="8" t="n"/>
      <c r="E152" s="24" t="n"/>
      <c r="F152" s="25" t="str">
        <f>IF(D152="","",IF(S152="","（名簿にない番号）",INDEX('①名簿入力'!$C$4:$C$153,S152)&amp;""))</f>
        <v/>
      </c>
      <c r="G152" s="13" t="str">
        <f>IF(S152="","",INDEX('①名簿入力'!$E$4:$E$153,S152)&amp;"")</f>
        <v/>
      </c>
      <c r="H152" s="13" t="str">
        <f>IF(S152="","",IF(INDEX('①名簿入力'!$B$4:$B$153,S152)="","",INDEX('①名簿入力'!$B$4:$B$153,S152)))</f>
        <v/>
      </c>
      <c r="I152" s="10" t="str">
        <f>IF(S152="","",IF(INDEX('①名簿入力'!$K$4:$K$153,S152)="","",INDEX('①名簿入力'!$K$4:$K$153,S152)))</f>
        <v/>
      </c>
      <c r="J152" s="10" t="str">
        <f>IF(S152="","",IF(INDEX('①名簿入力'!$L$4:$L$153,S152)="","",INDEX('①名簿入力'!$L$4:$L$153,S152)))</f>
        <v/>
      </c>
      <c r="K152" s="13" t="str">
        <f>IF(S152="","",IF(INDEX('①名簿入力'!$Y$4:$Y$153,S152)=1,"〇",""))</f>
        <v/>
      </c>
      <c r="L152" s="13" t="str">
        <f>IF(S152="","",IF(INDEX('①名簿入力'!$Z$4:$Z$153,S152)=1,"〇",""))</f>
        <v/>
      </c>
      <c r="M152" s="13" t="str">
        <f>IF(S152="","",IF(INDEX('①名簿入力'!$AA$4:$AA$153,S152)=1,"〇",""))</f>
        <v/>
      </c>
      <c r="N152" s="13" t="str">
        <f>IF(S152="","",IF(INDEX('①名簿入力'!$AB$4:$AB$153,S152)=1,"〇",""))</f>
        <v/>
      </c>
      <c r="O152" s="25" t="str">
        <f>AM152&amp;IF(AND(AM152&lt;&gt;"",AN152&lt;&gt;""),"、","")&amp;AN152&amp;IF(AND(AM152&amp;AN152&lt;&gt;"",AO152&lt;&gt;""),"、","")&amp;AO152</f>
        <v/>
      </c>
      <c r="P152" s="25" t="str">
        <f>IF(AG152=0,"",IF(AK152&amp;AL152="","⚠",LEFT(AK152&amp;AL152,LEN(AK152&amp;AL152)-1)))</f>
        <v/>
      </c>
      <c r="Q152" s="25" t="str">
        <f>IF(S152="","",INDEX('①名簿入力'!$T$4:$T$153,S152)&amp;"")</f>
        <v/>
      </c>
      <c r="S152" s="14" t="str">
        <f>IF(D152="","",IFERROR(MATCH(D152,'①名簿入力'!$A$4:$A$153,0),""))</f>
        <v/>
      </c>
      <c r="T152" s="14" t="str">
        <f>IF(S152="","",IF(INDEX('①名簿入力'!$AG$4:$AG$153,S152)=D152,"",INDEX('①名簿入力'!$AG$4:$AG$153,S152)))</f>
        <v/>
      </c>
      <c r="U152" s="14" t="str">
        <f>IF(S152="","",IF(INDEX('①名簿入力'!$AH$4:$AH$153,S152)=D152,"",INDEX('①名簿入力'!$AH$4:$AH$153,S152)))</f>
        <v/>
      </c>
      <c r="V152" s="14" t="str">
        <f>IF(S152="","",IF(INDEX('①名簿入力'!$AI$4:$AI$153,S152)=D152,"",INDEX('①名簿入力'!$AI$4:$AI$153,S152)))</f>
        <v/>
      </c>
      <c r="W152" s="14" t="str">
        <f>IF(T152="","",IFERROR(IF(INDEX($E$9:$E$158,MATCH(T152,$D$9:$D$158,0))="","",INDEX($E$9:$E$158,MATCH(T152,$D$9:$D$158,0))),""))</f>
        <v/>
      </c>
      <c r="X152" s="14" t="str">
        <f>IF(U152="","",IFERROR(IF(INDEX($E$9:$E$158,MATCH(U152,$D$9:$D$158,0))="","",INDEX($E$9:$E$158,MATCH(U152,$D$9:$D$158,0))),""))</f>
        <v/>
      </c>
      <c r="Y152" s="14" t="str">
        <f>IF(V152="","",IFERROR(IF(INDEX($E$9:$E$158,MATCH(V152,$D$9:$D$158,0))="","",INDEX($E$9:$E$158,MATCH(V152,$D$9:$D$158,0))),""))</f>
        <v/>
      </c>
      <c r="Z152" s="14">
        <f>IF(AND(T152&lt;&gt;"",W152&lt;&gt;"",E152&lt;&gt;""),IF(W152=E152,1,0),0)</f>
        <v>0</v>
      </c>
      <c r="AA152" s="14">
        <f>IF(AND(U152&lt;&gt;"",X152&lt;&gt;"",E152&lt;&gt;""),IF(X152=E152,1,0),0)</f>
        <v>0</v>
      </c>
      <c r="AB152" s="14">
        <f>IF(AND(V152&lt;&gt;"",Y152&lt;&gt;"",E152&lt;&gt;""),IF(Y152=E152,1,0),0)</f>
        <v>0</v>
      </c>
      <c r="AC152" s="14" t="str">
        <f>IF(OR(T152="",E152=""),"",T152&amp;"|"&amp;E152)</f>
        <v/>
      </c>
      <c r="AD152" s="14" t="str">
        <f>IF(OR(U152="",E152=""),"",U152&amp;"|"&amp;E152)</f>
        <v/>
      </c>
      <c r="AE152" s="14" t="str">
        <f>IF(OR(V152="",E152=""),"",V152&amp;"|"&amp;E152)</f>
        <v/>
      </c>
      <c r="AF152" s="14">
        <f>IF(OR(D152="",E152=""),0,COUNTIF($AC$9:$AC$158,D152&amp;"|"&amp;E152)+COUNTIF($AD$9:$AD$158,D152&amp;"|"&amp;E152)+COUNTIF($AE$9:$AE$158,D152&amp;"|"&amp;E152))</f>
        <v>0</v>
      </c>
      <c r="AG152" s="14">
        <f>Z152+AA152+AB152+AF152</f>
        <v>0</v>
      </c>
      <c r="AH152" s="14" t="str">
        <f>IF(OR(D152="",E152=""),"",IFERROR(MATCH(D152&amp;"|"&amp;E152,$AC$9:$AC$158,0),""))</f>
        <v/>
      </c>
      <c r="AI152" s="14" t="str">
        <f>IF(OR(D152="",E152=""),"",IFERROR(MATCH(D152&amp;"|"&amp;E152,$AD$9:$AD$158,0),""))</f>
        <v/>
      </c>
      <c r="AJ152" s="14" t="str">
        <f>IF(OR(D152="",E152=""),"",IFERROR(MATCH(D152&amp;"|"&amp;E152,$AE$9:$AE$158,0),""))</f>
        <v/>
      </c>
      <c r="AK152" s="14" t="str">
        <f>IF(Z152=1,IFERROR(INDEX($F$9:$F$158,MATCH(T152,$D$9:$D$158,0)),"")&amp;"、","")&amp;IF(AA152=1,IFERROR(INDEX($F$9:$F$158,MATCH(U152,$D$9:$D$158,0)),"")&amp;"、","")&amp;IF(AB152=1,IFERROR(INDEX($F$9:$F$158,MATCH(V152,$D$9:$D$158,0)),"")&amp;"、","")</f>
        <v/>
      </c>
      <c r="AL152" s="14" t="str">
        <f>IF(OR(AH152=""),"",IF(OR(INDEX($D$9:$D$158,AH152)=T152,INDEX($D$9:$D$158,AH152)=U152,INDEX($D$9:$D$158,AH152)=V152),"",INDEX($F$9:$F$158,AH152)&amp;"、"))&amp;IF(OR(AI152="",AI152=AH152),"",IF(OR(INDEX($D$9:$D$158,AI152)=T152,INDEX($D$9:$D$158,AI152)=U152,INDEX($D$9:$D$158,AI152)=V152),"",INDEX($F$9:$F$158,AI152)&amp;"、"))&amp;IF(OR(AJ152="",AJ152=AH152,AJ152=AI152),"",IF(OR(INDEX($D$9:$D$158,AJ152)=T152,INDEX($D$9:$D$158,AJ152)=U152,INDEX($D$9:$D$158,AJ152)=V152),"",INDEX($F$9:$F$158,AJ152)&amp;"、"))</f>
        <v/>
      </c>
      <c r="AM152" s="14" t="str">
        <f>IF(T152="","",IFERROR(INDEX('①名簿入力'!$C$4:$C$153,MATCH(T152,'①名簿入力'!$A$4:$A$153,0)),"?")&amp;IF(W152="","","("&amp;W152&amp;"組)"))</f>
        <v/>
      </c>
      <c r="AN152" s="14" t="str">
        <f>IF(U152="","",IFERROR(INDEX('①名簿入力'!$C$4:$C$153,MATCH(U152,'①名簿入力'!$A$4:$A$153,0)),"?")&amp;IF(X152="","","("&amp;X152&amp;"組)"))</f>
        <v/>
      </c>
      <c r="AO152" s="14" t="str">
        <f>IF(V152="","",IFERROR(INDEX('①名簿入力'!$C$4:$C$153,MATCH(V152,'①名簿入力'!$A$4:$A$153,0)),"?")&amp;IF(Y152="","","("&amp;Y152&amp;"組)"))</f>
        <v/>
      </c>
      <c r="AP152" s="14">
        <f>IF(G152="男",1,IF(G152="女",2,3))</f>
        <v>3</v>
      </c>
      <c r="AQ152" s="14" t="str">
        <f>IF(OR(S152="",E152=""),"",IFERROR(IF('③クラス一覧'!$AD$6="番号順",0,AP152*1000000000)+D152,""))</f>
        <v/>
      </c>
      <c r="AR152" s="14" t="str">
        <f>IF(AQ152="","",COUNTIFS($E$9:$E$158,E152,$AQ$9:$AQ$158,"&lt;"&amp;AQ152)+1)</f>
        <v/>
      </c>
      <c r="AS152" s="14" t="str">
        <f>IF(AR152="","",E152&amp;"-"&amp;AR152)</f>
        <v/>
      </c>
      <c r="AT152" s="14" t="str">
        <f>IF(S152="","",IF(INDEX('①名簿入力'!$F$4:$F$153,S152)="","",INDEX('①名簿入力'!$F$4:$F$153,S152)))</f>
        <v/>
      </c>
      <c r="AU152" s="14" t="str">
        <f>IF(S152="","",IF(INDEX('①名簿入力'!$G$4:$G$153,S152)="","",INDEX('①名簿入力'!$G$4:$G$153,S152)))</f>
        <v/>
      </c>
      <c r="AV152" s="14" t="str">
        <f>IF(S152="","",IF(INDEX('①名簿入力'!$H$4:$H$153,S152)="","",INDEX('①名簿入力'!$H$4:$H$153,S152)))</f>
        <v/>
      </c>
      <c r="AW152" s="14" t="str">
        <f>IF(S152="","",IF(INDEX('①名簿入力'!$I$4:$I$153,S152)="","",INDEX('①名簿入力'!$I$4:$I$153,S152)))</f>
        <v/>
      </c>
      <c r="AX152" s="14" t="str">
        <f>IF(S152="","",IF(INDEX('①名簿入力'!$J$4:$J$153,S152)="","",INDEX('①名簿入力'!$J$4:$J$153,S152)))</f>
        <v/>
      </c>
    </row>
    <row r="153">
      <c r="A153" s="23" t="str">
        <f>IF('①名簿入力'!A148="","",'①名簿入力'!A148)</f>
        <v/>
      </c>
      <c r="B153" s="23" t="str">
        <f>IF(A153="","",'①名簿入力'!U148)</f>
        <v/>
      </c>
      <c r="D153" s="8" t="n"/>
      <c r="E153" s="24" t="n"/>
      <c r="F153" s="25" t="str">
        <f>IF(D153="","",IF(S153="","（名簿にない番号）",INDEX('①名簿入力'!$C$4:$C$153,S153)&amp;""))</f>
        <v/>
      </c>
      <c r="G153" s="13" t="str">
        <f>IF(S153="","",INDEX('①名簿入力'!$E$4:$E$153,S153)&amp;"")</f>
        <v/>
      </c>
      <c r="H153" s="13" t="str">
        <f>IF(S153="","",IF(INDEX('①名簿入力'!$B$4:$B$153,S153)="","",INDEX('①名簿入力'!$B$4:$B$153,S153)))</f>
        <v/>
      </c>
      <c r="I153" s="10" t="str">
        <f>IF(S153="","",IF(INDEX('①名簿入力'!$K$4:$K$153,S153)="","",INDEX('①名簿入力'!$K$4:$K$153,S153)))</f>
        <v/>
      </c>
      <c r="J153" s="10" t="str">
        <f>IF(S153="","",IF(INDEX('①名簿入力'!$L$4:$L$153,S153)="","",INDEX('①名簿入力'!$L$4:$L$153,S153)))</f>
        <v/>
      </c>
      <c r="K153" s="13" t="str">
        <f>IF(S153="","",IF(INDEX('①名簿入力'!$Y$4:$Y$153,S153)=1,"〇",""))</f>
        <v/>
      </c>
      <c r="L153" s="13" t="str">
        <f>IF(S153="","",IF(INDEX('①名簿入力'!$Z$4:$Z$153,S153)=1,"〇",""))</f>
        <v/>
      </c>
      <c r="M153" s="13" t="str">
        <f>IF(S153="","",IF(INDEX('①名簿入力'!$AA$4:$AA$153,S153)=1,"〇",""))</f>
        <v/>
      </c>
      <c r="N153" s="13" t="str">
        <f>IF(S153="","",IF(INDEX('①名簿入力'!$AB$4:$AB$153,S153)=1,"〇",""))</f>
        <v/>
      </c>
      <c r="O153" s="25" t="str">
        <f>AM153&amp;IF(AND(AM153&lt;&gt;"",AN153&lt;&gt;""),"、","")&amp;AN153&amp;IF(AND(AM153&amp;AN153&lt;&gt;"",AO153&lt;&gt;""),"、","")&amp;AO153</f>
        <v/>
      </c>
      <c r="P153" s="25" t="str">
        <f>IF(AG153=0,"",IF(AK153&amp;AL153="","⚠",LEFT(AK153&amp;AL153,LEN(AK153&amp;AL153)-1)))</f>
        <v/>
      </c>
      <c r="Q153" s="25" t="str">
        <f>IF(S153="","",INDEX('①名簿入力'!$T$4:$T$153,S153)&amp;"")</f>
        <v/>
      </c>
      <c r="S153" s="14" t="str">
        <f>IF(D153="","",IFERROR(MATCH(D153,'①名簿入力'!$A$4:$A$153,0),""))</f>
        <v/>
      </c>
      <c r="T153" s="14" t="str">
        <f>IF(S153="","",IF(INDEX('①名簿入力'!$AG$4:$AG$153,S153)=D153,"",INDEX('①名簿入力'!$AG$4:$AG$153,S153)))</f>
        <v/>
      </c>
      <c r="U153" s="14" t="str">
        <f>IF(S153="","",IF(INDEX('①名簿入力'!$AH$4:$AH$153,S153)=D153,"",INDEX('①名簿入力'!$AH$4:$AH$153,S153)))</f>
        <v/>
      </c>
      <c r="V153" s="14" t="str">
        <f>IF(S153="","",IF(INDEX('①名簿入力'!$AI$4:$AI$153,S153)=D153,"",INDEX('①名簿入力'!$AI$4:$AI$153,S153)))</f>
        <v/>
      </c>
      <c r="W153" s="14" t="str">
        <f>IF(T153="","",IFERROR(IF(INDEX($E$9:$E$158,MATCH(T153,$D$9:$D$158,0))="","",INDEX($E$9:$E$158,MATCH(T153,$D$9:$D$158,0))),""))</f>
        <v/>
      </c>
      <c r="X153" s="14" t="str">
        <f>IF(U153="","",IFERROR(IF(INDEX($E$9:$E$158,MATCH(U153,$D$9:$D$158,0))="","",INDEX($E$9:$E$158,MATCH(U153,$D$9:$D$158,0))),""))</f>
        <v/>
      </c>
      <c r="Y153" s="14" t="str">
        <f>IF(V153="","",IFERROR(IF(INDEX($E$9:$E$158,MATCH(V153,$D$9:$D$158,0))="","",INDEX($E$9:$E$158,MATCH(V153,$D$9:$D$158,0))),""))</f>
        <v/>
      </c>
      <c r="Z153" s="14">
        <f>IF(AND(T153&lt;&gt;"",W153&lt;&gt;"",E153&lt;&gt;""),IF(W153=E153,1,0),0)</f>
        <v>0</v>
      </c>
      <c r="AA153" s="14">
        <f>IF(AND(U153&lt;&gt;"",X153&lt;&gt;"",E153&lt;&gt;""),IF(X153=E153,1,0),0)</f>
        <v>0</v>
      </c>
      <c r="AB153" s="14">
        <f>IF(AND(V153&lt;&gt;"",Y153&lt;&gt;"",E153&lt;&gt;""),IF(Y153=E153,1,0),0)</f>
        <v>0</v>
      </c>
      <c r="AC153" s="14" t="str">
        <f>IF(OR(T153="",E153=""),"",T153&amp;"|"&amp;E153)</f>
        <v/>
      </c>
      <c r="AD153" s="14" t="str">
        <f>IF(OR(U153="",E153=""),"",U153&amp;"|"&amp;E153)</f>
        <v/>
      </c>
      <c r="AE153" s="14" t="str">
        <f>IF(OR(V153="",E153=""),"",V153&amp;"|"&amp;E153)</f>
        <v/>
      </c>
      <c r="AF153" s="14">
        <f>IF(OR(D153="",E153=""),0,COUNTIF($AC$9:$AC$158,D153&amp;"|"&amp;E153)+COUNTIF($AD$9:$AD$158,D153&amp;"|"&amp;E153)+COUNTIF($AE$9:$AE$158,D153&amp;"|"&amp;E153))</f>
        <v>0</v>
      </c>
      <c r="AG153" s="14">
        <f>Z153+AA153+AB153+AF153</f>
        <v>0</v>
      </c>
      <c r="AH153" s="14" t="str">
        <f>IF(OR(D153="",E153=""),"",IFERROR(MATCH(D153&amp;"|"&amp;E153,$AC$9:$AC$158,0),""))</f>
        <v/>
      </c>
      <c r="AI153" s="14" t="str">
        <f>IF(OR(D153="",E153=""),"",IFERROR(MATCH(D153&amp;"|"&amp;E153,$AD$9:$AD$158,0),""))</f>
        <v/>
      </c>
      <c r="AJ153" s="14" t="str">
        <f>IF(OR(D153="",E153=""),"",IFERROR(MATCH(D153&amp;"|"&amp;E153,$AE$9:$AE$158,0),""))</f>
        <v/>
      </c>
      <c r="AK153" s="14" t="str">
        <f>IF(Z153=1,IFERROR(INDEX($F$9:$F$158,MATCH(T153,$D$9:$D$158,0)),"")&amp;"、","")&amp;IF(AA153=1,IFERROR(INDEX($F$9:$F$158,MATCH(U153,$D$9:$D$158,0)),"")&amp;"、","")&amp;IF(AB153=1,IFERROR(INDEX($F$9:$F$158,MATCH(V153,$D$9:$D$158,0)),"")&amp;"、","")</f>
        <v/>
      </c>
      <c r="AL153" s="14" t="str">
        <f>IF(OR(AH153=""),"",IF(OR(INDEX($D$9:$D$158,AH153)=T153,INDEX($D$9:$D$158,AH153)=U153,INDEX($D$9:$D$158,AH153)=V153),"",INDEX($F$9:$F$158,AH153)&amp;"、"))&amp;IF(OR(AI153="",AI153=AH153),"",IF(OR(INDEX($D$9:$D$158,AI153)=T153,INDEX($D$9:$D$158,AI153)=U153,INDEX($D$9:$D$158,AI153)=V153),"",INDEX($F$9:$F$158,AI153)&amp;"、"))&amp;IF(OR(AJ153="",AJ153=AH153,AJ153=AI153),"",IF(OR(INDEX($D$9:$D$158,AJ153)=T153,INDEX($D$9:$D$158,AJ153)=U153,INDEX($D$9:$D$158,AJ153)=V153),"",INDEX($F$9:$F$158,AJ153)&amp;"、"))</f>
        <v/>
      </c>
      <c r="AM153" s="14" t="str">
        <f>IF(T153="","",IFERROR(INDEX('①名簿入力'!$C$4:$C$153,MATCH(T153,'①名簿入力'!$A$4:$A$153,0)),"?")&amp;IF(W153="","","("&amp;W153&amp;"組)"))</f>
        <v/>
      </c>
      <c r="AN153" s="14" t="str">
        <f>IF(U153="","",IFERROR(INDEX('①名簿入力'!$C$4:$C$153,MATCH(U153,'①名簿入力'!$A$4:$A$153,0)),"?")&amp;IF(X153="","","("&amp;X153&amp;"組)"))</f>
        <v/>
      </c>
      <c r="AO153" s="14" t="str">
        <f>IF(V153="","",IFERROR(INDEX('①名簿入力'!$C$4:$C$153,MATCH(V153,'①名簿入力'!$A$4:$A$153,0)),"?")&amp;IF(Y153="","","("&amp;Y153&amp;"組)"))</f>
        <v/>
      </c>
      <c r="AP153" s="14">
        <f>IF(G153="男",1,IF(G153="女",2,3))</f>
        <v>3</v>
      </c>
      <c r="AQ153" s="14" t="str">
        <f>IF(OR(S153="",E153=""),"",IFERROR(IF('③クラス一覧'!$AD$6="番号順",0,AP153*1000000000)+D153,""))</f>
        <v/>
      </c>
      <c r="AR153" s="14" t="str">
        <f>IF(AQ153="","",COUNTIFS($E$9:$E$158,E153,$AQ$9:$AQ$158,"&lt;"&amp;AQ153)+1)</f>
        <v/>
      </c>
      <c r="AS153" s="14" t="str">
        <f>IF(AR153="","",E153&amp;"-"&amp;AR153)</f>
        <v/>
      </c>
      <c r="AT153" s="14" t="str">
        <f>IF(S153="","",IF(INDEX('①名簿入力'!$F$4:$F$153,S153)="","",INDEX('①名簿入力'!$F$4:$F$153,S153)))</f>
        <v/>
      </c>
      <c r="AU153" s="14" t="str">
        <f>IF(S153="","",IF(INDEX('①名簿入力'!$G$4:$G$153,S153)="","",INDEX('①名簿入力'!$G$4:$G$153,S153)))</f>
        <v/>
      </c>
      <c r="AV153" s="14" t="str">
        <f>IF(S153="","",IF(INDEX('①名簿入力'!$H$4:$H$153,S153)="","",INDEX('①名簿入力'!$H$4:$H$153,S153)))</f>
        <v/>
      </c>
      <c r="AW153" s="14" t="str">
        <f>IF(S153="","",IF(INDEX('①名簿入力'!$I$4:$I$153,S153)="","",INDEX('①名簿入力'!$I$4:$I$153,S153)))</f>
        <v/>
      </c>
      <c r="AX153" s="14" t="str">
        <f>IF(S153="","",IF(INDEX('①名簿入力'!$J$4:$J$153,S153)="","",INDEX('①名簿入力'!$J$4:$J$153,S153)))</f>
        <v/>
      </c>
    </row>
    <row r="154">
      <c r="A154" s="23" t="str">
        <f>IF('①名簿入力'!A149="","",'①名簿入力'!A149)</f>
        <v/>
      </c>
      <c r="B154" s="23" t="str">
        <f>IF(A154="","",'①名簿入力'!U149)</f>
        <v/>
      </c>
      <c r="D154" s="8" t="n"/>
      <c r="E154" s="24" t="n"/>
      <c r="F154" s="25" t="str">
        <f>IF(D154="","",IF(S154="","（名簿にない番号）",INDEX('①名簿入力'!$C$4:$C$153,S154)&amp;""))</f>
        <v/>
      </c>
      <c r="G154" s="13" t="str">
        <f>IF(S154="","",INDEX('①名簿入力'!$E$4:$E$153,S154)&amp;"")</f>
        <v/>
      </c>
      <c r="H154" s="13" t="str">
        <f>IF(S154="","",IF(INDEX('①名簿入力'!$B$4:$B$153,S154)="","",INDEX('①名簿入力'!$B$4:$B$153,S154)))</f>
        <v/>
      </c>
      <c r="I154" s="10" t="str">
        <f>IF(S154="","",IF(INDEX('①名簿入力'!$K$4:$K$153,S154)="","",INDEX('①名簿入力'!$K$4:$K$153,S154)))</f>
        <v/>
      </c>
      <c r="J154" s="10" t="str">
        <f>IF(S154="","",IF(INDEX('①名簿入力'!$L$4:$L$153,S154)="","",INDEX('①名簿入力'!$L$4:$L$153,S154)))</f>
        <v/>
      </c>
      <c r="K154" s="13" t="str">
        <f>IF(S154="","",IF(INDEX('①名簿入力'!$Y$4:$Y$153,S154)=1,"〇",""))</f>
        <v/>
      </c>
      <c r="L154" s="13" t="str">
        <f>IF(S154="","",IF(INDEX('①名簿入力'!$Z$4:$Z$153,S154)=1,"〇",""))</f>
        <v/>
      </c>
      <c r="M154" s="13" t="str">
        <f>IF(S154="","",IF(INDEX('①名簿入力'!$AA$4:$AA$153,S154)=1,"〇",""))</f>
        <v/>
      </c>
      <c r="N154" s="13" t="str">
        <f>IF(S154="","",IF(INDEX('①名簿入力'!$AB$4:$AB$153,S154)=1,"〇",""))</f>
        <v/>
      </c>
      <c r="O154" s="25" t="str">
        <f>AM154&amp;IF(AND(AM154&lt;&gt;"",AN154&lt;&gt;""),"、","")&amp;AN154&amp;IF(AND(AM154&amp;AN154&lt;&gt;"",AO154&lt;&gt;""),"、","")&amp;AO154</f>
        <v/>
      </c>
      <c r="P154" s="25" t="str">
        <f>IF(AG154=0,"",IF(AK154&amp;AL154="","⚠",LEFT(AK154&amp;AL154,LEN(AK154&amp;AL154)-1)))</f>
        <v/>
      </c>
      <c r="Q154" s="25" t="str">
        <f>IF(S154="","",INDEX('①名簿入力'!$T$4:$T$153,S154)&amp;"")</f>
        <v/>
      </c>
      <c r="S154" s="14" t="str">
        <f>IF(D154="","",IFERROR(MATCH(D154,'①名簿入力'!$A$4:$A$153,0),""))</f>
        <v/>
      </c>
      <c r="T154" s="14" t="str">
        <f>IF(S154="","",IF(INDEX('①名簿入力'!$AG$4:$AG$153,S154)=D154,"",INDEX('①名簿入力'!$AG$4:$AG$153,S154)))</f>
        <v/>
      </c>
      <c r="U154" s="14" t="str">
        <f>IF(S154="","",IF(INDEX('①名簿入力'!$AH$4:$AH$153,S154)=D154,"",INDEX('①名簿入力'!$AH$4:$AH$153,S154)))</f>
        <v/>
      </c>
      <c r="V154" s="14" t="str">
        <f>IF(S154="","",IF(INDEX('①名簿入力'!$AI$4:$AI$153,S154)=D154,"",INDEX('①名簿入力'!$AI$4:$AI$153,S154)))</f>
        <v/>
      </c>
      <c r="W154" s="14" t="str">
        <f>IF(T154="","",IFERROR(IF(INDEX($E$9:$E$158,MATCH(T154,$D$9:$D$158,0))="","",INDEX($E$9:$E$158,MATCH(T154,$D$9:$D$158,0))),""))</f>
        <v/>
      </c>
      <c r="X154" s="14" t="str">
        <f>IF(U154="","",IFERROR(IF(INDEX($E$9:$E$158,MATCH(U154,$D$9:$D$158,0))="","",INDEX($E$9:$E$158,MATCH(U154,$D$9:$D$158,0))),""))</f>
        <v/>
      </c>
      <c r="Y154" s="14" t="str">
        <f>IF(V154="","",IFERROR(IF(INDEX($E$9:$E$158,MATCH(V154,$D$9:$D$158,0))="","",INDEX($E$9:$E$158,MATCH(V154,$D$9:$D$158,0))),""))</f>
        <v/>
      </c>
      <c r="Z154" s="14">
        <f>IF(AND(T154&lt;&gt;"",W154&lt;&gt;"",E154&lt;&gt;""),IF(W154=E154,1,0),0)</f>
        <v>0</v>
      </c>
      <c r="AA154" s="14">
        <f>IF(AND(U154&lt;&gt;"",X154&lt;&gt;"",E154&lt;&gt;""),IF(X154=E154,1,0),0)</f>
        <v>0</v>
      </c>
      <c r="AB154" s="14">
        <f>IF(AND(V154&lt;&gt;"",Y154&lt;&gt;"",E154&lt;&gt;""),IF(Y154=E154,1,0),0)</f>
        <v>0</v>
      </c>
      <c r="AC154" s="14" t="str">
        <f>IF(OR(T154="",E154=""),"",T154&amp;"|"&amp;E154)</f>
        <v/>
      </c>
      <c r="AD154" s="14" t="str">
        <f>IF(OR(U154="",E154=""),"",U154&amp;"|"&amp;E154)</f>
        <v/>
      </c>
      <c r="AE154" s="14" t="str">
        <f>IF(OR(V154="",E154=""),"",V154&amp;"|"&amp;E154)</f>
        <v/>
      </c>
      <c r="AF154" s="14">
        <f>IF(OR(D154="",E154=""),0,COUNTIF($AC$9:$AC$158,D154&amp;"|"&amp;E154)+COUNTIF($AD$9:$AD$158,D154&amp;"|"&amp;E154)+COUNTIF($AE$9:$AE$158,D154&amp;"|"&amp;E154))</f>
        <v>0</v>
      </c>
      <c r="AG154" s="14">
        <f>Z154+AA154+AB154+AF154</f>
        <v>0</v>
      </c>
      <c r="AH154" s="14" t="str">
        <f>IF(OR(D154="",E154=""),"",IFERROR(MATCH(D154&amp;"|"&amp;E154,$AC$9:$AC$158,0),""))</f>
        <v/>
      </c>
      <c r="AI154" s="14" t="str">
        <f>IF(OR(D154="",E154=""),"",IFERROR(MATCH(D154&amp;"|"&amp;E154,$AD$9:$AD$158,0),""))</f>
        <v/>
      </c>
      <c r="AJ154" s="14" t="str">
        <f>IF(OR(D154="",E154=""),"",IFERROR(MATCH(D154&amp;"|"&amp;E154,$AE$9:$AE$158,0),""))</f>
        <v/>
      </c>
      <c r="AK154" s="14" t="str">
        <f>IF(Z154=1,IFERROR(INDEX($F$9:$F$158,MATCH(T154,$D$9:$D$158,0)),"")&amp;"、","")&amp;IF(AA154=1,IFERROR(INDEX($F$9:$F$158,MATCH(U154,$D$9:$D$158,0)),"")&amp;"、","")&amp;IF(AB154=1,IFERROR(INDEX($F$9:$F$158,MATCH(V154,$D$9:$D$158,0)),"")&amp;"、","")</f>
        <v/>
      </c>
      <c r="AL154" s="14" t="str">
        <f>IF(OR(AH154=""),"",IF(OR(INDEX($D$9:$D$158,AH154)=T154,INDEX($D$9:$D$158,AH154)=U154,INDEX($D$9:$D$158,AH154)=V154),"",INDEX($F$9:$F$158,AH154)&amp;"、"))&amp;IF(OR(AI154="",AI154=AH154),"",IF(OR(INDEX($D$9:$D$158,AI154)=T154,INDEX($D$9:$D$158,AI154)=U154,INDEX($D$9:$D$158,AI154)=V154),"",INDEX($F$9:$F$158,AI154)&amp;"、"))&amp;IF(OR(AJ154="",AJ154=AH154,AJ154=AI154),"",IF(OR(INDEX($D$9:$D$158,AJ154)=T154,INDEX($D$9:$D$158,AJ154)=U154,INDEX($D$9:$D$158,AJ154)=V154),"",INDEX($F$9:$F$158,AJ154)&amp;"、"))</f>
        <v/>
      </c>
      <c r="AM154" s="14" t="str">
        <f>IF(T154="","",IFERROR(INDEX('①名簿入力'!$C$4:$C$153,MATCH(T154,'①名簿入力'!$A$4:$A$153,0)),"?")&amp;IF(W154="","","("&amp;W154&amp;"組)"))</f>
        <v/>
      </c>
      <c r="AN154" s="14" t="str">
        <f>IF(U154="","",IFERROR(INDEX('①名簿入力'!$C$4:$C$153,MATCH(U154,'①名簿入力'!$A$4:$A$153,0)),"?")&amp;IF(X154="","","("&amp;X154&amp;"組)"))</f>
        <v/>
      </c>
      <c r="AO154" s="14" t="str">
        <f>IF(V154="","",IFERROR(INDEX('①名簿入力'!$C$4:$C$153,MATCH(V154,'①名簿入力'!$A$4:$A$153,0)),"?")&amp;IF(Y154="","","("&amp;Y154&amp;"組)"))</f>
        <v/>
      </c>
      <c r="AP154" s="14">
        <f>IF(G154="男",1,IF(G154="女",2,3))</f>
        <v>3</v>
      </c>
      <c r="AQ154" s="14" t="str">
        <f>IF(OR(S154="",E154=""),"",IFERROR(IF('③クラス一覧'!$AD$6="番号順",0,AP154*1000000000)+D154,""))</f>
        <v/>
      </c>
      <c r="AR154" s="14" t="str">
        <f>IF(AQ154="","",COUNTIFS($E$9:$E$158,E154,$AQ$9:$AQ$158,"&lt;"&amp;AQ154)+1)</f>
        <v/>
      </c>
      <c r="AS154" s="14" t="str">
        <f>IF(AR154="","",E154&amp;"-"&amp;AR154)</f>
        <v/>
      </c>
      <c r="AT154" s="14" t="str">
        <f>IF(S154="","",IF(INDEX('①名簿入力'!$F$4:$F$153,S154)="","",INDEX('①名簿入力'!$F$4:$F$153,S154)))</f>
        <v/>
      </c>
      <c r="AU154" s="14" t="str">
        <f>IF(S154="","",IF(INDEX('①名簿入力'!$G$4:$G$153,S154)="","",INDEX('①名簿入力'!$G$4:$G$153,S154)))</f>
        <v/>
      </c>
      <c r="AV154" s="14" t="str">
        <f>IF(S154="","",IF(INDEX('①名簿入力'!$H$4:$H$153,S154)="","",INDEX('①名簿入力'!$H$4:$H$153,S154)))</f>
        <v/>
      </c>
      <c r="AW154" s="14" t="str">
        <f>IF(S154="","",IF(INDEX('①名簿入力'!$I$4:$I$153,S154)="","",INDEX('①名簿入力'!$I$4:$I$153,S154)))</f>
        <v/>
      </c>
      <c r="AX154" s="14" t="str">
        <f>IF(S154="","",IF(INDEX('①名簿入力'!$J$4:$J$153,S154)="","",INDEX('①名簿入力'!$J$4:$J$153,S154)))</f>
        <v/>
      </c>
    </row>
    <row r="155">
      <c r="A155" s="23" t="str">
        <f>IF('①名簿入力'!A150="","",'①名簿入力'!A150)</f>
        <v/>
      </c>
      <c r="B155" s="23" t="str">
        <f>IF(A155="","",'①名簿入力'!U150)</f>
        <v/>
      </c>
      <c r="D155" s="8" t="n"/>
      <c r="E155" s="24" t="n"/>
      <c r="F155" s="25" t="str">
        <f>IF(D155="","",IF(S155="","（名簿にない番号）",INDEX('①名簿入力'!$C$4:$C$153,S155)&amp;""))</f>
        <v/>
      </c>
      <c r="G155" s="13" t="str">
        <f>IF(S155="","",INDEX('①名簿入力'!$E$4:$E$153,S155)&amp;"")</f>
        <v/>
      </c>
      <c r="H155" s="13" t="str">
        <f>IF(S155="","",IF(INDEX('①名簿入力'!$B$4:$B$153,S155)="","",INDEX('①名簿入力'!$B$4:$B$153,S155)))</f>
        <v/>
      </c>
      <c r="I155" s="10" t="str">
        <f>IF(S155="","",IF(INDEX('①名簿入力'!$K$4:$K$153,S155)="","",INDEX('①名簿入力'!$K$4:$K$153,S155)))</f>
        <v/>
      </c>
      <c r="J155" s="10" t="str">
        <f>IF(S155="","",IF(INDEX('①名簿入力'!$L$4:$L$153,S155)="","",INDEX('①名簿入力'!$L$4:$L$153,S155)))</f>
        <v/>
      </c>
      <c r="K155" s="13" t="str">
        <f>IF(S155="","",IF(INDEX('①名簿入力'!$Y$4:$Y$153,S155)=1,"〇",""))</f>
        <v/>
      </c>
      <c r="L155" s="13" t="str">
        <f>IF(S155="","",IF(INDEX('①名簿入力'!$Z$4:$Z$153,S155)=1,"〇",""))</f>
        <v/>
      </c>
      <c r="M155" s="13" t="str">
        <f>IF(S155="","",IF(INDEX('①名簿入力'!$AA$4:$AA$153,S155)=1,"〇",""))</f>
        <v/>
      </c>
      <c r="N155" s="13" t="str">
        <f>IF(S155="","",IF(INDEX('①名簿入力'!$AB$4:$AB$153,S155)=1,"〇",""))</f>
        <v/>
      </c>
      <c r="O155" s="25" t="str">
        <f>AM155&amp;IF(AND(AM155&lt;&gt;"",AN155&lt;&gt;""),"、","")&amp;AN155&amp;IF(AND(AM155&amp;AN155&lt;&gt;"",AO155&lt;&gt;""),"、","")&amp;AO155</f>
        <v/>
      </c>
      <c r="P155" s="25" t="str">
        <f>IF(AG155=0,"",IF(AK155&amp;AL155="","⚠",LEFT(AK155&amp;AL155,LEN(AK155&amp;AL155)-1)))</f>
        <v/>
      </c>
      <c r="Q155" s="25" t="str">
        <f>IF(S155="","",INDEX('①名簿入力'!$T$4:$T$153,S155)&amp;"")</f>
        <v/>
      </c>
      <c r="S155" s="14" t="str">
        <f>IF(D155="","",IFERROR(MATCH(D155,'①名簿入力'!$A$4:$A$153,0),""))</f>
        <v/>
      </c>
      <c r="T155" s="14" t="str">
        <f>IF(S155="","",IF(INDEX('①名簿入力'!$AG$4:$AG$153,S155)=D155,"",INDEX('①名簿入力'!$AG$4:$AG$153,S155)))</f>
        <v/>
      </c>
      <c r="U155" s="14" t="str">
        <f>IF(S155="","",IF(INDEX('①名簿入力'!$AH$4:$AH$153,S155)=D155,"",INDEX('①名簿入力'!$AH$4:$AH$153,S155)))</f>
        <v/>
      </c>
      <c r="V155" s="14" t="str">
        <f>IF(S155="","",IF(INDEX('①名簿入力'!$AI$4:$AI$153,S155)=D155,"",INDEX('①名簿入力'!$AI$4:$AI$153,S155)))</f>
        <v/>
      </c>
      <c r="W155" s="14" t="str">
        <f>IF(T155="","",IFERROR(IF(INDEX($E$9:$E$158,MATCH(T155,$D$9:$D$158,0))="","",INDEX($E$9:$E$158,MATCH(T155,$D$9:$D$158,0))),""))</f>
        <v/>
      </c>
      <c r="X155" s="14" t="str">
        <f>IF(U155="","",IFERROR(IF(INDEX($E$9:$E$158,MATCH(U155,$D$9:$D$158,0))="","",INDEX($E$9:$E$158,MATCH(U155,$D$9:$D$158,0))),""))</f>
        <v/>
      </c>
      <c r="Y155" s="14" t="str">
        <f>IF(V155="","",IFERROR(IF(INDEX($E$9:$E$158,MATCH(V155,$D$9:$D$158,0))="","",INDEX($E$9:$E$158,MATCH(V155,$D$9:$D$158,0))),""))</f>
        <v/>
      </c>
      <c r="Z155" s="14">
        <f>IF(AND(T155&lt;&gt;"",W155&lt;&gt;"",E155&lt;&gt;""),IF(W155=E155,1,0),0)</f>
        <v>0</v>
      </c>
      <c r="AA155" s="14">
        <f>IF(AND(U155&lt;&gt;"",X155&lt;&gt;"",E155&lt;&gt;""),IF(X155=E155,1,0),0)</f>
        <v>0</v>
      </c>
      <c r="AB155" s="14">
        <f>IF(AND(V155&lt;&gt;"",Y155&lt;&gt;"",E155&lt;&gt;""),IF(Y155=E155,1,0),0)</f>
        <v>0</v>
      </c>
      <c r="AC155" s="14" t="str">
        <f>IF(OR(T155="",E155=""),"",T155&amp;"|"&amp;E155)</f>
        <v/>
      </c>
      <c r="AD155" s="14" t="str">
        <f>IF(OR(U155="",E155=""),"",U155&amp;"|"&amp;E155)</f>
        <v/>
      </c>
      <c r="AE155" s="14" t="str">
        <f>IF(OR(V155="",E155=""),"",V155&amp;"|"&amp;E155)</f>
        <v/>
      </c>
      <c r="AF155" s="14">
        <f>IF(OR(D155="",E155=""),0,COUNTIF($AC$9:$AC$158,D155&amp;"|"&amp;E155)+COUNTIF($AD$9:$AD$158,D155&amp;"|"&amp;E155)+COUNTIF($AE$9:$AE$158,D155&amp;"|"&amp;E155))</f>
        <v>0</v>
      </c>
      <c r="AG155" s="14">
        <f>Z155+AA155+AB155+AF155</f>
        <v>0</v>
      </c>
      <c r="AH155" s="14" t="str">
        <f>IF(OR(D155="",E155=""),"",IFERROR(MATCH(D155&amp;"|"&amp;E155,$AC$9:$AC$158,0),""))</f>
        <v/>
      </c>
      <c r="AI155" s="14" t="str">
        <f>IF(OR(D155="",E155=""),"",IFERROR(MATCH(D155&amp;"|"&amp;E155,$AD$9:$AD$158,0),""))</f>
        <v/>
      </c>
      <c r="AJ155" s="14" t="str">
        <f>IF(OR(D155="",E155=""),"",IFERROR(MATCH(D155&amp;"|"&amp;E155,$AE$9:$AE$158,0),""))</f>
        <v/>
      </c>
      <c r="AK155" s="14" t="str">
        <f>IF(Z155=1,IFERROR(INDEX($F$9:$F$158,MATCH(T155,$D$9:$D$158,0)),"")&amp;"、","")&amp;IF(AA155=1,IFERROR(INDEX($F$9:$F$158,MATCH(U155,$D$9:$D$158,0)),"")&amp;"、","")&amp;IF(AB155=1,IFERROR(INDEX($F$9:$F$158,MATCH(V155,$D$9:$D$158,0)),"")&amp;"、","")</f>
        <v/>
      </c>
      <c r="AL155" s="14" t="str">
        <f>IF(OR(AH155=""),"",IF(OR(INDEX($D$9:$D$158,AH155)=T155,INDEX($D$9:$D$158,AH155)=U155,INDEX($D$9:$D$158,AH155)=V155),"",INDEX($F$9:$F$158,AH155)&amp;"、"))&amp;IF(OR(AI155="",AI155=AH155),"",IF(OR(INDEX($D$9:$D$158,AI155)=T155,INDEX($D$9:$D$158,AI155)=U155,INDEX($D$9:$D$158,AI155)=V155),"",INDEX($F$9:$F$158,AI155)&amp;"、"))&amp;IF(OR(AJ155="",AJ155=AH155,AJ155=AI155),"",IF(OR(INDEX($D$9:$D$158,AJ155)=T155,INDEX($D$9:$D$158,AJ155)=U155,INDEX($D$9:$D$158,AJ155)=V155),"",INDEX($F$9:$F$158,AJ155)&amp;"、"))</f>
        <v/>
      </c>
      <c r="AM155" s="14" t="str">
        <f>IF(T155="","",IFERROR(INDEX('①名簿入力'!$C$4:$C$153,MATCH(T155,'①名簿入力'!$A$4:$A$153,0)),"?")&amp;IF(W155="","","("&amp;W155&amp;"組)"))</f>
        <v/>
      </c>
      <c r="AN155" s="14" t="str">
        <f>IF(U155="","",IFERROR(INDEX('①名簿入力'!$C$4:$C$153,MATCH(U155,'①名簿入力'!$A$4:$A$153,0)),"?")&amp;IF(X155="","","("&amp;X155&amp;"組)"))</f>
        <v/>
      </c>
      <c r="AO155" s="14" t="str">
        <f>IF(V155="","",IFERROR(INDEX('①名簿入力'!$C$4:$C$153,MATCH(V155,'①名簿入力'!$A$4:$A$153,0)),"?")&amp;IF(Y155="","","("&amp;Y155&amp;"組)"))</f>
        <v/>
      </c>
      <c r="AP155" s="14">
        <f>IF(G155="男",1,IF(G155="女",2,3))</f>
        <v>3</v>
      </c>
      <c r="AQ155" s="14" t="str">
        <f>IF(OR(S155="",E155=""),"",IFERROR(IF('③クラス一覧'!$AD$6="番号順",0,AP155*1000000000)+D155,""))</f>
        <v/>
      </c>
      <c r="AR155" s="14" t="str">
        <f>IF(AQ155="","",COUNTIFS($E$9:$E$158,E155,$AQ$9:$AQ$158,"&lt;"&amp;AQ155)+1)</f>
        <v/>
      </c>
      <c r="AS155" s="14" t="str">
        <f>IF(AR155="","",E155&amp;"-"&amp;AR155)</f>
        <v/>
      </c>
      <c r="AT155" s="14" t="str">
        <f>IF(S155="","",IF(INDEX('①名簿入力'!$F$4:$F$153,S155)="","",INDEX('①名簿入力'!$F$4:$F$153,S155)))</f>
        <v/>
      </c>
      <c r="AU155" s="14" t="str">
        <f>IF(S155="","",IF(INDEX('①名簿入力'!$G$4:$G$153,S155)="","",INDEX('①名簿入力'!$G$4:$G$153,S155)))</f>
        <v/>
      </c>
      <c r="AV155" s="14" t="str">
        <f>IF(S155="","",IF(INDEX('①名簿入力'!$H$4:$H$153,S155)="","",INDEX('①名簿入力'!$H$4:$H$153,S155)))</f>
        <v/>
      </c>
      <c r="AW155" s="14" t="str">
        <f>IF(S155="","",IF(INDEX('①名簿入力'!$I$4:$I$153,S155)="","",INDEX('①名簿入力'!$I$4:$I$153,S155)))</f>
        <v/>
      </c>
      <c r="AX155" s="14" t="str">
        <f>IF(S155="","",IF(INDEX('①名簿入力'!$J$4:$J$153,S155)="","",INDEX('①名簿入力'!$J$4:$J$153,S155)))</f>
        <v/>
      </c>
    </row>
    <row r="156">
      <c r="A156" s="23" t="str">
        <f>IF('①名簿入力'!A151="","",'①名簿入力'!A151)</f>
        <v/>
      </c>
      <c r="B156" s="23" t="str">
        <f>IF(A156="","",'①名簿入力'!U151)</f>
        <v/>
      </c>
      <c r="D156" s="8" t="n"/>
      <c r="E156" s="24" t="n"/>
      <c r="F156" s="25" t="str">
        <f>IF(D156="","",IF(S156="","（名簿にない番号）",INDEX('①名簿入力'!$C$4:$C$153,S156)&amp;""))</f>
        <v/>
      </c>
      <c r="G156" s="13" t="str">
        <f>IF(S156="","",INDEX('①名簿入力'!$E$4:$E$153,S156)&amp;"")</f>
        <v/>
      </c>
      <c r="H156" s="13" t="str">
        <f>IF(S156="","",IF(INDEX('①名簿入力'!$B$4:$B$153,S156)="","",INDEX('①名簿入力'!$B$4:$B$153,S156)))</f>
        <v/>
      </c>
      <c r="I156" s="10" t="str">
        <f>IF(S156="","",IF(INDEX('①名簿入力'!$K$4:$K$153,S156)="","",INDEX('①名簿入力'!$K$4:$K$153,S156)))</f>
        <v/>
      </c>
      <c r="J156" s="10" t="str">
        <f>IF(S156="","",IF(INDEX('①名簿入力'!$L$4:$L$153,S156)="","",INDEX('①名簿入力'!$L$4:$L$153,S156)))</f>
        <v/>
      </c>
      <c r="K156" s="13" t="str">
        <f>IF(S156="","",IF(INDEX('①名簿入力'!$Y$4:$Y$153,S156)=1,"〇",""))</f>
        <v/>
      </c>
      <c r="L156" s="13" t="str">
        <f>IF(S156="","",IF(INDEX('①名簿入力'!$Z$4:$Z$153,S156)=1,"〇",""))</f>
        <v/>
      </c>
      <c r="M156" s="13" t="str">
        <f>IF(S156="","",IF(INDEX('①名簿入力'!$AA$4:$AA$153,S156)=1,"〇",""))</f>
        <v/>
      </c>
      <c r="N156" s="13" t="str">
        <f>IF(S156="","",IF(INDEX('①名簿入力'!$AB$4:$AB$153,S156)=1,"〇",""))</f>
        <v/>
      </c>
      <c r="O156" s="25" t="str">
        <f>AM156&amp;IF(AND(AM156&lt;&gt;"",AN156&lt;&gt;""),"、","")&amp;AN156&amp;IF(AND(AM156&amp;AN156&lt;&gt;"",AO156&lt;&gt;""),"、","")&amp;AO156</f>
        <v/>
      </c>
      <c r="P156" s="25" t="str">
        <f>IF(AG156=0,"",IF(AK156&amp;AL156="","⚠",LEFT(AK156&amp;AL156,LEN(AK156&amp;AL156)-1)))</f>
        <v/>
      </c>
      <c r="Q156" s="25" t="str">
        <f>IF(S156="","",INDEX('①名簿入力'!$T$4:$T$153,S156)&amp;"")</f>
        <v/>
      </c>
      <c r="S156" s="14" t="str">
        <f>IF(D156="","",IFERROR(MATCH(D156,'①名簿入力'!$A$4:$A$153,0),""))</f>
        <v/>
      </c>
      <c r="T156" s="14" t="str">
        <f>IF(S156="","",IF(INDEX('①名簿入力'!$AG$4:$AG$153,S156)=D156,"",INDEX('①名簿入力'!$AG$4:$AG$153,S156)))</f>
        <v/>
      </c>
      <c r="U156" s="14" t="str">
        <f>IF(S156="","",IF(INDEX('①名簿入力'!$AH$4:$AH$153,S156)=D156,"",INDEX('①名簿入力'!$AH$4:$AH$153,S156)))</f>
        <v/>
      </c>
      <c r="V156" s="14" t="str">
        <f>IF(S156="","",IF(INDEX('①名簿入力'!$AI$4:$AI$153,S156)=D156,"",INDEX('①名簿入力'!$AI$4:$AI$153,S156)))</f>
        <v/>
      </c>
      <c r="W156" s="14" t="str">
        <f>IF(T156="","",IFERROR(IF(INDEX($E$9:$E$158,MATCH(T156,$D$9:$D$158,0))="","",INDEX($E$9:$E$158,MATCH(T156,$D$9:$D$158,0))),""))</f>
        <v/>
      </c>
      <c r="X156" s="14" t="str">
        <f>IF(U156="","",IFERROR(IF(INDEX($E$9:$E$158,MATCH(U156,$D$9:$D$158,0))="","",INDEX($E$9:$E$158,MATCH(U156,$D$9:$D$158,0))),""))</f>
        <v/>
      </c>
      <c r="Y156" s="14" t="str">
        <f>IF(V156="","",IFERROR(IF(INDEX($E$9:$E$158,MATCH(V156,$D$9:$D$158,0))="","",INDEX($E$9:$E$158,MATCH(V156,$D$9:$D$158,0))),""))</f>
        <v/>
      </c>
      <c r="Z156" s="14">
        <f>IF(AND(T156&lt;&gt;"",W156&lt;&gt;"",E156&lt;&gt;""),IF(W156=E156,1,0),0)</f>
        <v>0</v>
      </c>
      <c r="AA156" s="14">
        <f>IF(AND(U156&lt;&gt;"",X156&lt;&gt;"",E156&lt;&gt;""),IF(X156=E156,1,0),0)</f>
        <v>0</v>
      </c>
      <c r="AB156" s="14">
        <f>IF(AND(V156&lt;&gt;"",Y156&lt;&gt;"",E156&lt;&gt;""),IF(Y156=E156,1,0),0)</f>
        <v>0</v>
      </c>
      <c r="AC156" s="14" t="str">
        <f>IF(OR(T156="",E156=""),"",T156&amp;"|"&amp;E156)</f>
        <v/>
      </c>
      <c r="AD156" s="14" t="str">
        <f>IF(OR(U156="",E156=""),"",U156&amp;"|"&amp;E156)</f>
        <v/>
      </c>
      <c r="AE156" s="14" t="str">
        <f>IF(OR(V156="",E156=""),"",V156&amp;"|"&amp;E156)</f>
        <v/>
      </c>
      <c r="AF156" s="14">
        <f>IF(OR(D156="",E156=""),0,COUNTIF($AC$9:$AC$158,D156&amp;"|"&amp;E156)+COUNTIF($AD$9:$AD$158,D156&amp;"|"&amp;E156)+COUNTIF($AE$9:$AE$158,D156&amp;"|"&amp;E156))</f>
        <v>0</v>
      </c>
      <c r="AG156" s="14">
        <f>Z156+AA156+AB156+AF156</f>
        <v>0</v>
      </c>
      <c r="AH156" s="14" t="str">
        <f>IF(OR(D156="",E156=""),"",IFERROR(MATCH(D156&amp;"|"&amp;E156,$AC$9:$AC$158,0),""))</f>
        <v/>
      </c>
      <c r="AI156" s="14" t="str">
        <f>IF(OR(D156="",E156=""),"",IFERROR(MATCH(D156&amp;"|"&amp;E156,$AD$9:$AD$158,0),""))</f>
        <v/>
      </c>
      <c r="AJ156" s="14" t="str">
        <f>IF(OR(D156="",E156=""),"",IFERROR(MATCH(D156&amp;"|"&amp;E156,$AE$9:$AE$158,0),""))</f>
        <v/>
      </c>
      <c r="AK156" s="14" t="str">
        <f>IF(Z156=1,IFERROR(INDEX($F$9:$F$158,MATCH(T156,$D$9:$D$158,0)),"")&amp;"、","")&amp;IF(AA156=1,IFERROR(INDEX($F$9:$F$158,MATCH(U156,$D$9:$D$158,0)),"")&amp;"、","")&amp;IF(AB156=1,IFERROR(INDEX($F$9:$F$158,MATCH(V156,$D$9:$D$158,0)),"")&amp;"、","")</f>
        <v/>
      </c>
      <c r="AL156" s="14" t="str">
        <f>IF(OR(AH156=""),"",IF(OR(INDEX($D$9:$D$158,AH156)=T156,INDEX($D$9:$D$158,AH156)=U156,INDEX($D$9:$D$158,AH156)=V156),"",INDEX($F$9:$F$158,AH156)&amp;"、"))&amp;IF(OR(AI156="",AI156=AH156),"",IF(OR(INDEX($D$9:$D$158,AI156)=T156,INDEX($D$9:$D$158,AI156)=U156,INDEX($D$9:$D$158,AI156)=V156),"",INDEX($F$9:$F$158,AI156)&amp;"、"))&amp;IF(OR(AJ156="",AJ156=AH156,AJ156=AI156),"",IF(OR(INDEX($D$9:$D$158,AJ156)=T156,INDEX($D$9:$D$158,AJ156)=U156,INDEX($D$9:$D$158,AJ156)=V156),"",INDEX($F$9:$F$158,AJ156)&amp;"、"))</f>
        <v/>
      </c>
      <c r="AM156" s="14" t="str">
        <f>IF(T156="","",IFERROR(INDEX('①名簿入力'!$C$4:$C$153,MATCH(T156,'①名簿入力'!$A$4:$A$153,0)),"?")&amp;IF(W156="","","("&amp;W156&amp;"組)"))</f>
        <v/>
      </c>
      <c r="AN156" s="14" t="str">
        <f>IF(U156="","",IFERROR(INDEX('①名簿入力'!$C$4:$C$153,MATCH(U156,'①名簿入力'!$A$4:$A$153,0)),"?")&amp;IF(X156="","","("&amp;X156&amp;"組)"))</f>
        <v/>
      </c>
      <c r="AO156" s="14" t="str">
        <f>IF(V156="","",IFERROR(INDEX('①名簿入力'!$C$4:$C$153,MATCH(V156,'①名簿入力'!$A$4:$A$153,0)),"?")&amp;IF(Y156="","","("&amp;Y156&amp;"組)"))</f>
        <v/>
      </c>
      <c r="AP156" s="14">
        <f>IF(G156="男",1,IF(G156="女",2,3))</f>
        <v>3</v>
      </c>
      <c r="AQ156" s="14" t="str">
        <f>IF(OR(S156="",E156=""),"",IFERROR(IF('③クラス一覧'!$AD$6="番号順",0,AP156*1000000000)+D156,""))</f>
        <v/>
      </c>
      <c r="AR156" s="14" t="str">
        <f>IF(AQ156="","",COUNTIFS($E$9:$E$158,E156,$AQ$9:$AQ$158,"&lt;"&amp;AQ156)+1)</f>
        <v/>
      </c>
      <c r="AS156" s="14" t="str">
        <f>IF(AR156="","",E156&amp;"-"&amp;AR156)</f>
        <v/>
      </c>
      <c r="AT156" s="14" t="str">
        <f>IF(S156="","",IF(INDEX('①名簿入力'!$F$4:$F$153,S156)="","",INDEX('①名簿入力'!$F$4:$F$153,S156)))</f>
        <v/>
      </c>
      <c r="AU156" s="14" t="str">
        <f>IF(S156="","",IF(INDEX('①名簿入力'!$G$4:$G$153,S156)="","",INDEX('①名簿入力'!$G$4:$G$153,S156)))</f>
        <v/>
      </c>
      <c r="AV156" s="14" t="str">
        <f>IF(S156="","",IF(INDEX('①名簿入力'!$H$4:$H$153,S156)="","",INDEX('①名簿入力'!$H$4:$H$153,S156)))</f>
        <v/>
      </c>
      <c r="AW156" s="14" t="str">
        <f>IF(S156="","",IF(INDEX('①名簿入力'!$I$4:$I$153,S156)="","",INDEX('①名簿入力'!$I$4:$I$153,S156)))</f>
        <v/>
      </c>
      <c r="AX156" s="14" t="str">
        <f>IF(S156="","",IF(INDEX('①名簿入力'!$J$4:$J$153,S156)="","",INDEX('①名簿入力'!$J$4:$J$153,S156)))</f>
        <v/>
      </c>
    </row>
    <row r="157">
      <c r="A157" s="23" t="str">
        <f>IF('①名簿入力'!A152="","",'①名簿入力'!A152)</f>
        <v/>
      </c>
      <c r="B157" s="23" t="str">
        <f>IF(A157="","",'①名簿入力'!U152)</f>
        <v/>
      </c>
      <c r="D157" s="8" t="n"/>
      <c r="E157" s="24" t="n"/>
      <c r="F157" s="25" t="str">
        <f>IF(D157="","",IF(S157="","（名簿にない番号）",INDEX('①名簿入力'!$C$4:$C$153,S157)&amp;""))</f>
        <v/>
      </c>
      <c r="G157" s="13" t="str">
        <f>IF(S157="","",INDEX('①名簿入力'!$E$4:$E$153,S157)&amp;"")</f>
        <v/>
      </c>
      <c r="H157" s="13" t="str">
        <f>IF(S157="","",IF(INDEX('①名簿入力'!$B$4:$B$153,S157)="","",INDEX('①名簿入力'!$B$4:$B$153,S157)))</f>
        <v/>
      </c>
      <c r="I157" s="10" t="str">
        <f>IF(S157="","",IF(INDEX('①名簿入力'!$K$4:$K$153,S157)="","",INDEX('①名簿入力'!$K$4:$K$153,S157)))</f>
        <v/>
      </c>
      <c r="J157" s="10" t="str">
        <f>IF(S157="","",IF(INDEX('①名簿入力'!$L$4:$L$153,S157)="","",INDEX('①名簿入力'!$L$4:$L$153,S157)))</f>
        <v/>
      </c>
      <c r="K157" s="13" t="str">
        <f>IF(S157="","",IF(INDEX('①名簿入力'!$Y$4:$Y$153,S157)=1,"〇",""))</f>
        <v/>
      </c>
      <c r="L157" s="13" t="str">
        <f>IF(S157="","",IF(INDEX('①名簿入力'!$Z$4:$Z$153,S157)=1,"〇",""))</f>
        <v/>
      </c>
      <c r="M157" s="13" t="str">
        <f>IF(S157="","",IF(INDEX('①名簿入力'!$AA$4:$AA$153,S157)=1,"〇",""))</f>
        <v/>
      </c>
      <c r="N157" s="13" t="str">
        <f>IF(S157="","",IF(INDEX('①名簿入力'!$AB$4:$AB$153,S157)=1,"〇",""))</f>
        <v/>
      </c>
      <c r="O157" s="25" t="str">
        <f>AM157&amp;IF(AND(AM157&lt;&gt;"",AN157&lt;&gt;""),"、","")&amp;AN157&amp;IF(AND(AM157&amp;AN157&lt;&gt;"",AO157&lt;&gt;""),"、","")&amp;AO157</f>
        <v/>
      </c>
      <c r="P157" s="25" t="str">
        <f>IF(AG157=0,"",IF(AK157&amp;AL157="","⚠",LEFT(AK157&amp;AL157,LEN(AK157&amp;AL157)-1)))</f>
        <v/>
      </c>
      <c r="Q157" s="25" t="str">
        <f>IF(S157="","",INDEX('①名簿入力'!$T$4:$T$153,S157)&amp;"")</f>
        <v/>
      </c>
      <c r="S157" s="14" t="str">
        <f>IF(D157="","",IFERROR(MATCH(D157,'①名簿入力'!$A$4:$A$153,0),""))</f>
        <v/>
      </c>
      <c r="T157" s="14" t="str">
        <f>IF(S157="","",IF(INDEX('①名簿入力'!$AG$4:$AG$153,S157)=D157,"",INDEX('①名簿入力'!$AG$4:$AG$153,S157)))</f>
        <v/>
      </c>
      <c r="U157" s="14" t="str">
        <f>IF(S157="","",IF(INDEX('①名簿入力'!$AH$4:$AH$153,S157)=D157,"",INDEX('①名簿入力'!$AH$4:$AH$153,S157)))</f>
        <v/>
      </c>
      <c r="V157" s="14" t="str">
        <f>IF(S157="","",IF(INDEX('①名簿入力'!$AI$4:$AI$153,S157)=D157,"",INDEX('①名簿入力'!$AI$4:$AI$153,S157)))</f>
        <v/>
      </c>
      <c r="W157" s="14" t="str">
        <f>IF(T157="","",IFERROR(IF(INDEX($E$9:$E$158,MATCH(T157,$D$9:$D$158,0))="","",INDEX($E$9:$E$158,MATCH(T157,$D$9:$D$158,0))),""))</f>
        <v/>
      </c>
      <c r="X157" s="14" t="str">
        <f>IF(U157="","",IFERROR(IF(INDEX($E$9:$E$158,MATCH(U157,$D$9:$D$158,0))="","",INDEX($E$9:$E$158,MATCH(U157,$D$9:$D$158,0))),""))</f>
        <v/>
      </c>
      <c r="Y157" s="14" t="str">
        <f>IF(V157="","",IFERROR(IF(INDEX($E$9:$E$158,MATCH(V157,$D$9:$D$158,0))="","",INDEX($E$9:$E$158,MATCH(V157,$D$9:$D$158,0))),""))</f>
        <v/>
      </c>
      <c r="Z157" s="14">
        <f>IF(AND(T157&lt;&gt;"",W157&lt;&gt;"",E157&lt;&gt;""),IF(W157=E157,1,0),0)</f>
        <v>0</v>
      </c>
      <c r="AA157" s="14">
        <f>IF(AND(U157&lt;&gt;"",X157&lt;&gt;"",E157&lt;&gt;""),IF(X157=E157,1,0),0)</f>
        <v>0</v>
      </c>
      <c r="AB157" s="14">
        <f>IF(AND(V157&lt;&gt;"",Y157&lt;&gt;"",E157&lt;&gt;""),IF(Y157=E157,1,0),0)</f>
        <v>0</v>
      </c>
      <c r="AC157" s="14" t="str">
        <f>IF(OR(T157="",E157=""),"",T157&amp;"|"&amp;E157)</f>
        <v/>
      </c>
      <c r="AD157" s="14" t="str">
        <f>IF(OR(U157="",E157=""),"",U157&amp;"|"&amp;E157)</f>
        <v/>
      </c>
      <c r="AE157" s="14" t="str">
        <f>IF(OR(V157="",E157=""),"",V157&amp;"|"&amp;E157)</f>
        <v/>
      </c>
      <c r="AF157" s="14">
        <f>IF(OR(D157="",E157=""),0,COUNTIF($AC$9:$AC$158,D157&amp;"|"&amp;E157)+COUNTIF($AD$9:$AD$158,D157&amp;"|"&amp;E157)+COUNTIF($AE$9:$AE$158,D157&amp;"|"&amp;E157))</f>
        <v>0</v>
      </c>
      <c r="AG157" s="14">
        <f>Z157+AA157+AB157+AF157</f>
        <v>0</v>
      </c>
      <c r="AH157" s="14" t="str">
        <f>IF(OR(D157="",E157=""),"",IFERROR(MATCH(D157&amp;"|"&amp;E157,$AC$9:$AC$158,0),""))</f>
        <v/>
      </c>
      <c r="AI157" s="14" t="str">
        <f>IF(OR(D157="",E157=""),"",IFERROR(MATCH(D157&amp;"|"&amp;E157,$AD$9:$AD$158,0),""))</f>
        <v/>
      </c>
      <c r="AJ157" s="14" t="str">
        <f>IF(OR(D157="",E157=""),"",IFERROR(MATCH(D157&amp;"|"&amp;E157,$AE$9:$AE$158,0),""))</f>
        <v/>
      </c>
      <c r="AK157" s="14" t="str">
        <f>IF(Z157=1,IFERROR(INDEX($F$9:$F$158,MATCH(T157,$D$9:$D$158,0)),"")&amp;"、","")&amp;IF(AA157=1,IFERROR(INDEX($F$9:$F$158,MATCH(U157,$D$9:$D$158,0)),"")&amp;"、","")&amp;IF(AB157=1,IFERROR(INDEX($F$9:$F$158,MATCH(V157,$D$9:$D$158,0)),"")&amp;"、","")</f>
        <v/>
      </c>
      <c r="AL157" s="14" t="str">
        <f>IF(OR(AH157=""),"",IF(OR(INDEX($D$9:$D$158,AH157)=T157,INDEX($D$9:$D$158,AH157)=U157,INDEX($D$9:$D$158,AH157)=V157),"",INDEX($F$9:$F$158,AH157)&amp;"、"))&amp;IF(OR(AI157="",AI157=AH157),"",IF(OR(INDEX($D$9:$D$158,AI157)=T157,INDEX($D$9:$D$158,AI157)=U157,INDEX($D$9:$D$158,AI157)=V157),"",INDEX($F$9:$F$158,AI157)&amp;"、"))&amp;IF(OR(AJ157="",AJ157=AH157,AJ157=AI157),"",IF(OR(INDEX($D$9:$D$158,AJ157)=T157,INDEX($D$9:$D$158,AJ157)=U157,INDEX($D$9:$D$158,AJ157)=V157),"",INDEX($F$9:$F$158,AJ157)&amp;"、"))</f>
        <v/>
      </c>
      <c r="AM157" s="14" t="str">
        <f>IF(T157="","",IFERROR(INDEX('①名簿入力'!$C$4:$C$153,MATCH(T157,'①名簿入力'!$A$4:$A$153,0)),"?")&amp;IF(W157="","","("&amp;W157&amp;"組)"))</f>
        <v/>
      </c>
      <c r="AN157" s="14" t="str">
        <f>IF(U157="","",IFERROR(INDEX('①名簿入力'!$C$4:$C$153,MATCH(U157,'①名簿入力'!$A$4:$A$153,0)),"?")&amp;IF(X157="","","("&amp;X157&amp;"組)"))</f>
        <v/>
      </c>
      <c r="AO157" s="14" t="str">
        <f>IF(V157="","",IFERROR(INDEX('①名簿入力'!$C$4:$C$153,MATCH(V157,'①名簿入力'!$A$4:$A$153,0)),"?")&amp;IF(Y157="","","("&amp;Y157&amp;"組)"))</f>
        <v/>
      </c>
      <c r="AP157" s="14">
        <f>IF(G157="男",1,IF(G157="女",2,3))</f>
        <v>3</v>
      </c>
      <c r="AQ157" s="14" t="str">
        <f>IF(OR(S157="",E157=""),"",IFERROR(IF('③クラス一覧'!$AD$6="番号順",0,AP157*1000000000)+D157,""))</f>
        <v/>
      </c>
      <c r="AR157" s="14" t="str">
        <f>IF(AQ157="","",COUNTIFS($E$9:$E$158,E157,$AQ$9:$AQ$158,"&lt;"&amp;AQ157)+1)</f>
        <v/>
      </c>
      <c r="AS157" s="14" t="str">
        <f>IF(AR157="","",E157&amp;"-"&amp;AR157)</f>
        <v/>
      </c>
      <c r="AT157" s="14" t="str">
        <f>IF(S157="","",IF(INDEX('①名簿入力'!$F$4:$F$153,S157)="","",INDEX('①名簿入力'!$F$4:$F$153,S157)))</f>
        <v/>
      </c>
      <c r="AU157" s="14" t="str">
        <f>IF(S157="","",IF(INDEX('①名簿入力'!$G$4:$G$153,S157)="","",INDEX('①名簿入力'!$G$4:$G$153,S157)))</f>
        <v/>
      </c>
      <c r="AV157" s="14" t="str">
        <f>IF(S157="","",IF(INDEX('①名簿入力'!$H$4:$H$153,S157)="","",INDEX('①名簿入力'!$H$4:$H$153,S157)))</f>
        <v/>
      </c>
      <c r="AW157" s="14" t="str">
        <f>IF(S157="","",IF(INDEX('①名簿入力'!$I$4:$I$153,S157)="","",INDEX('①名簿入力'!$I$4:$I$153,S157)))</f>
        <v/>
      </c>
      <c r="AX157" s="14" t="str">
        <f>IF(S157="","",IF(INDEX('①名簿入力'!$J$4:$J$153,S157)="","",INDEX('①名簿入力'!$J$4:$J$153,S157)))</f>
        <v/>
      </c>
    </row>
    <row r="158">
      <c r="A158" s="23" t="str">
        <f>IF('①名簿入力'!A153="","",'①名簿入力'!A153)</f>
        <v/>
      </c>
      <c r="B158" s="23" t="str">
        <f>IF(A158="","",'①名簿入力'!U153)</f>
        <v/>
      </c>
      <c r="D158" s="8" t="n"/>
      <c r="E158" s="24" t="n"/>
      <c r="F158" s="25" t="str">
        <f>IF(D158="","",IF(S158="","（名簿にない番号）",INDEX('①名簿入力'!$C$4:$C$153,S158)&amp;""))</f>
        <v/>
      </c>
      <c r="G158" s="13" t="str">
        <f>IF(S158="","",INDEX('①名簿入力'!$E$4:$E$153,S158)&amp;"")</f>
        <v/>
      </c>
      <c r="H158" s="13" t="str">
        <f>IF(S158="","",IF(INDEX('①名簿入力'!$B$4:$B$153,S158)="","",INDEX('①名簿入力'!$B$4:$B$153,S158)))</f>
        <v/>
      </c>
      <c r="I158" s="10" t="str">
        <f>IF(S158="","",IF(INDEX('①名簿入力'!$K$4:$K$153,S158)="","",INDEX('①名簿入力'!$K$4:$K$153,S158)))</f>
        <v/>
      </c>
      <c r="J158" s="10" t="str">
        <f>IF(S158="","",IF(INDEX('①名簿入力'!$L$4:$L$153,S158)="","",INDEX('①名簿入力'!$L$4:$L$153,S158)))</f>
        <v/>
      </c>
      <c r="K158" s="13" t="str">
        <f>IF(S158="","",IF(INDEX('①名簿入力'!$Y$4:$Y$153,S158)=1,"〇",""))</f>
        <v/>
      </c>
      <c r="L158" s="13" t="str">
        <f>IF(S158="","",IF(INDEX('①名簿入力'!$Z$4:$Z$153,S158)=1,"〇",""))</f>
        <v/>
      </c>
      <c r="M158" s="13" t="str">
        <f>IF(S158="","",IF(INDEX('①名簿入力'!$AA$4:$AA$153,S158)=1,"〇",""))</f>
        <v/>
      </c>
      <c r="N158" s="13" t="str">
        <f>IF(S158="","",IF(INDEX('①名簿入力'!$AB$4:$AB$153,S158)=1,"〇",""))</f>
        <v/>
      </c>
      <c r="O158" s="25" t="str">
        <f>AM158&amp;IF(AND(AM158&lt;&gt;"",AN158&lt;&gt;""),"、","")&amp;AN158&amp;IF(AND(AM158&amp;AN158&lt;&gt;"",AO158&lt;&gt;""),"、","")&amp;AO158</f>
        <v/>
      </c>
      <c r="P158" s="25" t="str">
        <f>IF(AG158=0,"",IF(AK158&amp;AL158="","⚠",LEFT(AK158&amp;AL158,LEN(AK158&amp;AL158)-1)))</f>
        <v/>
      </c>
      <c r="Q158" s="25" t="str">
        <f>IF(S158="","",INDEX('①名簿入力'!$T$4:$T$153,S158)&amp;"")</f>
        <v/>
      </c>
      <c r="S158" s="14" t="str">
        <f>IF(D158="","",IFERROR(MATCH(D158,'①名簿入力'!$A$4:$A$153,0),""))</f>
        <v/>
      </c>
      <c r="T158" s="14" t="str">
        <f>IF(S158="","",IF(INDEX('①名簿入力'!$AG$4:$AG$153,S158)=D158,"",INDEX('①名簿入力'!$AG$4:$AG$153,S158)))</f>
        <v/>
      </c>
      <c r="U158" s="14" t="str">
        <f>IF(S158="","",IF(INDEX('①名簿入力'!$AH$4:$AH$153,S158)=D158,"",INDEX('①名簿入力'!$AH$4:$AH$153,S158)))</f>
        <v/>
      </c>
      <c r="V158" s="14" t="str">
        <f>IF(S158="","",IF(INDEX('①名簿入力'!$AI$4:$AI$153,S158)=D158,"",INDEX('①名簿入力'!$AI$4:$AI$153,S158)))</f>
        <v/>
      </c>
      <c r="W158" s="14" t="str">
        <f>IF(T158="","",IFERROR(IF(INDEX($E$9:$E$158,MATCH(T158,$D$9:$D$158,0))="","",INDEX($E$9:$E$158,MATCH(T158,$D$9:$D$158,0))),""))</f>
        <v/>
      </c>
      <c r="X158" s="14" t="str">
        <f>IF(U158="","",IFERROR(IF(INDEX($E$9:$E$158,MATCH(U158,$D$9:$D$158,0))="","",INDEX($E$9:$E$158,MATCH(U158,$D$9:$D$158,0))),""))</f>
        <v/>
      </c>
      <c r="Y158" s="14" t="str">
        <f>IF(V158="","",IFERROR(IF(INDEX($E$9:$E$158,MATCH(V158,$D$9:$D$158,0))="","",INDEX($E$9:$E$158,MATCH(V158,$D$9:$D$158,0))),""))</f>
        <v/>
      </c>
      <c r="Z158" s="14">
        <f>IF(AND(T158&lt;&gt;"",W158&lt;&gt;"",E158&lt;&gt;""),IF(W158=E158,1,0),0)</f>
        <v>0</v>
      </c>
      <c r="AA158" s="14">
        <f>IF(AND(U158&lt;&gt;"",X158&lt;&gt;"",E158&lt;&gt;""),IF(X158=E158,1,0),0)</f>
        <v>0</v>
      </c>
      <c r="AB158" s="14">
        <f>IF(AND(V158&lt;&gt;"",Y158&lt;&gt;"",E158&lt;&gt;""),IF(Y158=E158,1,0),0)</f>
        <v>0</v>
      </c>
      <c r="AC158" s="14" t="str">
        <f>IF(OR(T158="",E158=""),"",T158&amp;"|"&amp;E158)</f>
        <v/>
      </c>
      <c r="AD158" s="14" t="str">
        <f>IF(OR(U158="",E158=""),"",U158&amp;"|"&amp;E158)</f>
        <v/>
      </c>
      <c r="AE158" s="14" t="str">
        <f>IF(OR(V158="",E158=""),"",V158&amp;"|"&amp;E158)</f>
        <v/>
      </c>
      <c r="AF158" s="14">
        <f>IF(OR(D158="",E158=""),0,COUNTIF($AC$9:$AC$158,D158&amp;"|"&amp;E158)+COUNTIF($AD$9:$AD$158,D158&amp;"|"&amp;E158)+COUNTIF($AE$9:$AE$158,D158&amp;"|"&amp;E158))</f>
        <v>0</v>
      </c>
      <c r="AG158" s="14">
        <f>Z158+AA158+AB158+AF158</f>
        <v>0</v>
      </c>
      <c r="AH158" s="14" t="str">
        <f>IF(OR(D158="",E158=""),"",IFERROR(MATCH(D158&amp;"|"&amp;E158,$AC$9:$AC$158,0),""))</f>
        <v/>
      </c>
      <c r="AI158" s="14" t="str">
        <f>IF(OR(D158="",E158=""),"",IFERROR(MATCH(D158&amp;"|"&amp;E158,$AD$9:$AD$158,0),""))</f>
        <v/>
      </c>
      <c r="AJ158" s="14" t="str">
        <f>IF(OR(D158="",E158=""),"",IFERROR(MATCH(D158&amp;"|"&amp;E158,$AE$9:$AE$158,0),""))</f>
        <v/>
      </c>
      <c r="AK158" s="14" t="str">
        <f>IF(Z158=1,IFERROR(INDEX($F$9:$F$158,MATCH(T158,$D$9:$D$158,0)),"")&amp;"、","")&amp;IF(AA158=1,IFERROR(INDEX($F$9:$F$158,MATCH(U158,$D$9:$D$158,0)),"")&amp;"、","")&amp;IF(AB158=1,IFERROR(INDEX($F$9:$F$158,MATCH(V158,$D$9:$D$158,0)),"")&amp;"、","")</f>
        <v/>
      </c>
      <c r="AL158" s="14" t="str">
        <f>IF(OR(AH158=""),"",IF(OR(INDEX($D$9:$D$158,AH158)=T158,INDEX($D$9:$D$158,AH158)=U158,INDEX($D$9:$D$158,AH158)=V158),"",INDEX($F$9:$F$158,AH158)&amp;"、"))&amp;IF(OR(AI158="",AI158=AH158),"",IF(OR(INDEX($D$9:$D$158,AI158)=T158,INDEX($D$9:$D$158,AI158)=U158,INDEX($D$9:$D$158,AI158)=V158),"",INDEX($F$9:$F$158,AI158)&amp;"、"))&amp;IF(OR(AJ158="",AJ158=AH158,AJ158=AI158),"",IF(OR(INDEX($D$9:$D$158,AJ158)=T158,INDEX($D$9:$D$158,AJ158)=U158,INDEX($D$9:$D$158,AJ158)=V158),"",INDEX($F$9:$F$158,AJ158)&amp;"、"))</f>
        <v/>
      </c>
      <c r="AM158" s="14" t="str">
        <f>IF(T158="","",IFERROR(INDEX('①名簿入力'!$C$4:$C$153,MATCH(T158,'①名簿入力'!$A$4:$A$153,0)),"?")&amp;IF(W158="","","("&amp;W158&amp;"組)"))</f>
        <v/>
      </c>
      <c r="AN158" s="14" t="str">
        <f>IF(U158="","",IFERROR(INDEX('①名簿入力'!$C$4:$C$153,MATCH(U158,'①名簿入力'!$A$4:$A$153,0)),"?")&amp;IF(X158="","","("&amp;X158&amp;"組)"))</f>
        <v/>
      </c>
      <c r="AO158" s="14" t="str">
        <f>IF(V158="","",IFERROR(INDEX('①名簿入力'!$C$4:$C$153,MATCH(V158,'①名簿入力'!$A$4:$A$153,0)),"?")&amp;IF(Y158="","","("&amp;Y158&amp;"組)"))</f>
        <v/>
      </c>
      <c r="AP158" s="14">
        <f>IF(G158="男",1,IF(G158="女",2,3))</f>
        <v>3</v>
      </c>
      <c r="AQ158" s="14" t="str">
        <f>IF(OR(S158="",E158=""),"",IFERROR(IF('③クラス一覧'!$AD$6="番号順",0,AP158*1000000000)+D158,""))</f>
        <v/>
      </c>
      <c r="AR158" s="14" t="str">
        <f>IF(AQ158="","",COUNTIFS($E$9:$E$158,E158,$AQ$9:$AQ$158,"&lt;"&amp;AQ158)+1)</f>
        <v/>
      </c>
      <c r="AS158" s="14" t="str">
        <f>IF(AR158="","",E158&amp;"-"&amp;AR158)</f>
        <v/>
      </c>
      <c r="AT158" s="14" t="str">
        <f>IF(S158="","",IF(INDEX('①名簿入力'!$F$4:$F$153,S158)="","",INDEX('①名簿入力'!$F$4:$F$153,S158)))</f>
        <v/>
      </c>
      <c r="AU158" s="14" t="str">
        <f>IF(S158="","",IF(INDEX('①名簿入力'!$G$4:$G$153,S158)="","",INDEX('①名簿入力'!$G$4:$G$153,S158)))</f>
        <v/>
      </c>
      <c r="AV158" s="14" t="str">
        <f>IF(S158="","",IF(INDEX('①名簿入力'!$H$4:$H$153,S158)="","",INDEX('①名簿入力'!$H$4:$H$153,S158)))</f>
        <v/>
      </c>
      <c r="AW158" s="14" t="str">
        <f>IF(S158="","",IF(INDEX('①名簿入力'!$I$4:$I$153,S158)="","",INDEX('①名簿入力'!$I$4:$I$153,S158)))</f>
        <v/>
      </c>
      <c r="AX158" s="14" t="str">
        <f>IF(S158="","",IF(INDEX('①名簿入力'!$J$4:$J$153,S158)="","",INDEX('①名簿入力'!$J$4:$J$153,S158)))</f>
        <v/>
      </c>
    </row>
  </sheetData>
  <mergeCells count="3">
    <mergeCell ref="D7:Q7"/>
    <mergeCell ref="A4:Q4"/>
    <mergeCell ref="A7:B7"/>
  </mergeCells>
  <conditionalFormatting sqref="B9:B158">
    <cfRule type="cellIs" priority="1" operator="equal" dxfId="2">
      <formula>1</formula>
    </cfRule>
    <cfRule type="cellIs" priority="3" operator="equal" dxfId="3">
      <formula>2</formula>
    </cfRule>
    <cfRule type="cellIs" priority="5" operator="equal" dxfId="4">
      <formula>3</formula>
    </cfRule>
  </conditionalFormatting>
  <conditionalFormatting sqref="E9:E158">
    <cfRule type="cellIs" priority="2" operator="equal" dxfId="2">
      <formula>1</formula>
    </cfRule>
    <cfRule type="cellIs" priority="4" operator="equal" dxfId="3">
      <formula>2</formula>
    </cfRule>
    <cfRule type="cellIs" priority="6" operator="equal" dxfId="4">
      <formula>3</formula>
    </cfRule>
    <cfRule type="expression" priority="9" dxfId="1">
      <formula>AND($D9&lt;&gt;"",NOT(OR($E9=1,$E9=2,$E9=3)))</formula>
    </cfRule>
  </conditionalFormatting>
  <conditionalFormatting sqref="D9:D158">
    <cfRule type="expression" priority="7" dxfId="0">
      <formula>AND($D9&lt;&gt;"",COUNTIF($D$9:$D$158,$D9)&gt;1)</formula>
    </cfRule>
  </conditionalFormatting>
  <conditionalFormatting sqref="D9:F158">
    <cfRule type="expression" priority="8" dxfId="1">
      <formula>AND($D9&lt;&gt;"",$S9="")</formula>
    </cfRule>
  </conditionalFormatting>
  <conditionalFormatting sqref="F9:Q158">
    <cfRule type="expression" priority="10" dxfId="11">
      <formula>$AG9&gt;0</formula>
    </cfRule>
  </conditionalFormatting>
  <conditionalFormatting sqref="K9:K158">
    <cfRule type="cellIs" priority="11" operator="equal" dxfId="6">
      <formula>"〇"</formula>
    </cfRule>
  </conditionalFormatting>
  <conditionalFormatting sqref="L9:L158">
    <cfRule type="cellIs" priority="12" operator="equal" dxfId="7">
      <formula>"〇"</formula>
    </cfRule>
  </conditionalFormatting>
  <conditionalFormatting sqref="M9:M158">
    <cfRule type="cellIs" priority="13" operator="equal" dxfId="8">
      <formula>"〇"</formula>
    </cfRule>
  </conditionalFormatting>
  <conditionalFormatting sqref="N9:N158">
    <cfRule type="cellIs" priority="14" operator="equal" dxfId="9">
      <formula>"〇"</formula>
    </cfRule>
  </conditionalFormatting>
  <conditionalFormatting sqref="G9:G158">
    <cfRule type="cellIs" priority="15" operator="equal" dxfId="10">
      <formula>"男"</formula>
    </cfRule>
    <cfRule type="cellIs" priority="16" operator="equal" dxfId="5">
      <formula>"女"</formula>
    </cfRule>
  </conditionalFormatting>
  <conditionalFormatting sqref="A4">
    <cfRule type="expression" priority="17" dxfId="5">
      <formula>'設定'!$C$45&gt;0</formula>
    </cfRule>
  </conditionalFormatting>
  <dataValidations count="1">
    <dataValidation sqref="E9:E158" showDropDown="0" showInputMessage="0" showErrorMessage="0" allowBlank="1" errorTitle="組" error="組は 1・2・3 のどれかを入れてください。" type="list">
      <formula1>"1,2,3"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1:AQ66"/>
  <sheetViews>
    <sheetView zoomScale="85" workbookViewId="0">
      <selection activeCell="A1" sqref="A1"/>
    </sheetView>
  </sheetViews>
  <sheetFormatPr baseColWidth="8" defaultRowHeight="15"/>
  <cols>
    <col width="1.5" customWidth="1" min="1" max="1"/>
    <col width="4" customWidth="1" min="2" max="2"/>
    <col width="7" customWidth="1" min="3" max="3"/>
    <col width="13" customWidth="1" min="4" max="4"/>
    <col width="3.6" customWidth="1" min="5" max="5"/>
    <col width="4" customWidth="1" min="6" max="6"/>
    <col width="6" customWidth="1" min="7" max="7"/>
    <col width="5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13" customWidth="1" min="13" max="13"/>
    <col width="2" customWidth="1" min="14" max="14"/>
    <col width="4" customWidth="1" min="15" max="15"/>
    <col width="7" customWidth="1" min="16" max="16"/>
    <col width="13" customWidth="1" min="17" max="17"/>
    <col width="3.6" customWidth="1" min="18" max="18"/>
    <col width="4" customWidth="1" min="19" max="19"/>
    <col width="6" customWidth="1" min="20" max="20"/>
    <col width="5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13" customWidth="1" min="26" max="26"/>
    <col width="2" customWidth="1" min="27" max="27"/>
    <col width="4" customWidth="1" min="28" max="28"/>
    <col width="7" customWidth="1" min="29" max="29"/>
    <col width="13" customWidth="1" min="30" max="30"/>
    <col width="3.6" customWidth="1" min="31" max="31"/>
    <col width="4" customWidth="1" min="32" max="32"/>
    <col width="6" customWidth="1" min="33" max="33"/>
    <col width="5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13" customWidth="1" min="39" max="39"/>
    <col width="2" customWidth="1" min="40" max="40"/>
    <col hidden="1" outlineLevel="1" width="13" customWidth="1" min="41" max="43"/>
  </cols>
  <sheetData>
    <row r="1">
      <c r="B1" s="26" t="inlineStr">
        <is>
          <t>③ クラス一覧（3クラスを並べて確認・入れ替え）</t>
        </is>
      </c>
    </row>
    <row r="2">
      <c r="B2" s="27" t="inlineStr">
        <is>
          <t>赤い行＝分けたい人と同じ組　／　オレンジ＝3クラスの差が目安（設定シート）より大きい　／　黄色＝直前に動かした人　／　ピ＝ピアノ　ム＝ムードメーカー　注＝注意　休＝休みがち　／　青い棒＝5教科平均</t>
        </is>
      </c>
      <c r="AO2" t="inlineStr">
        <is>
          <t>直前に動かした番号</t>
        </is>
      </c>
    </row>
    <row r="3">
      <c r="B3" s="28" t="str">
        <f>"名簿 "&amp;'設定'!$C$39&amp;"人　／　編成済み "&amp;'設定'!$C$40&amp;"人　／　未割当 "&amp;'設定'!$C$41&amp;"人"&amp;IF('設定'!$C$45&gt;0,"　／　⚠ 番号や組の入力に問題が "&amp;'設定'!$C$45&amp;" 件（①②の色のついたセルを確認）","")</f>
        <v>名簿 105人　／　編成済み 105人　／　未割当 0人</v>
      </c>
    </row>
    <row r="4">
      <c r="B4" s="29" t="inlineStr">
        <is>
          <t>■ 番号で入れ替え（マクロ）</t>
        </is>
      </c>
      <c r="O4" s="29" t="inlineStr">
        <is>
          <t>■ 1人だけ移動（マクロ）</t>
        </is>
      </c>
      <c r="AB4" s="29" t="inlineStr">
        <is>
          <t>■ 選んで入れ替え：1人目をクリック → Ctrl＋クリックで2人目 → ボタン</t>
        </is>
      </c>
    </row>
    <row r="5" ht="20" customHeight="1">
      <c r="B5" s="30" t="inlineStr">
        <is>
          <t>番号</t>
        </is>
      </c>
      <c r="C5" s="31" t="n"/>
      <c r="D5" s="32" t="str">
        <f>IF(C5="","",IFERROR(INDEX('②クラス編成'!$F$9:$F$158,MATCH(C5,'②クラス編成'!$D$9:$D$158,0))&amp;"（"&amp;INDEX('②クラス編成'!$E$9:$E$158,MATCH(C5,'②クラス編成'!$D$9:$D$158,0))&amp;"組）","②にない番号"))</f>
        <v/>
      </c>
      <c r="H5" s="33" t="inlineStr">
        <is>
          <t>⇔</t>
        </is>
      </c>
      <c r="O5" s="30" t="inlineStr">
        <is>
          <t>番号</t>
        </is>
      </c>
      <c r="P5" s="31" t="n"/>
      <c r="Q5" s="32" t="str">
        <f>IF(P5="","",IFERROR(INDEX('②クラス編成'!$F$9:$F$158,MATCH(P5,'②クラス編成'!$D$9:$D$158,0))&amp;"（"&amp;INDEX('②クラス編成'!$E$9:$E$158,MATCH(P5,'②クラス編成'!$D$9:$D$158,0))&amp;"組）","②にない番号"))</f>
        <v/>
      </c>
    </row>
    <row r="6" ht="20" customHeight="1">
      <c r="B6" s="30" t="inlineStr">
        <is>
          <t>番号</t>
        </is>
      </c>
      <c r="C6" s="31" t="n"/>
      <c r="D6" s="32" t="str">
        <f>IF(C6="","",IFERROR(INDEX('②クラス編成'!$F$9:$F$158,MATCH(C6,'②クラス編成'!$D$9:$D$158,0))&amp;"（"&amp;INDEX('②クラス編成'!$E$9:$E$158,MATCH(C6,'②クラス編成'!$D$9:$D$158,0))&amp;"組）","②にない番号"))</f>
        <v/>
      </c>
      <c r="O6" s="30" t="inlineStr">
        <is>
          <t>移動先</t>
        </is>
      </c>
      <c r="P6" s="31" t="n"/>
      <c r="Q6" s="34" t="inlineStr">
        <is>
          <t>組へ</t>
        </is>
      </c>
      <c r="AB6" s="34" t="inlineStr">
        <is>
          <t>並び順</t>
        </is>
      </c>
      <c r="AD6" s="35" t="inlineStr">
        <is>
          <t>男女別</t>
        </is>
      </c>
      <c r="AE6" s="14" t="inlineStr">
        <is>
          <t>（男女別／番号順）</t>
        </is>
      </c>
    </row>
    <row r="7">
      <c r="B7" s="29" t="inlineStr">
        <is>
          <t>直前の操作：</t>
        </is>
      </c>
      <c r="D7" s="36" t="n"/>
    </row>
    <row r="9" ht="24" customHeight="1">
      <c r="B9" s="37" t="str">
        <f>"1組　（"&amp;D10&amp;"人）"</f>
        <v>1組　（35人）</v>
      </c>
      <c r="O9" s="38" t="str">
        <f>"2組　（"&amp;Q10&amp;"人）"</f>
        <v>2組　（35人）</v>
      </c>
      <c r="AB9" s="39" t="str">
        <f>"3組　（"&amp;AD10&amp;"人）"</f>
        <v>3組　（35人）</v>
      </c>
    </row>
    <row r="10">
      <c r="B10" s="40" t="inlineStr">
        <is>
          <t>人数</t>
        </is>
      </c>
      <c r="C10" s="40" t="n"/>
      <c r="D10" s="41">
        <f>COUNTIFS('②クラス編成'!$E$9:$E$158,1,'②クラス編成'!$S$9:$S$158,"&gt;=1")</f>
        <v>35</v>
      </c>
      <c r="E10" s="40" t="inlineStr">
        <is>
          <t>男子</t>
        </is>
      </c>
      <c r="F10" s="40" t="n"/>
      <c r="G10" s="40" t="n"/>
      <c r="H10" s="41">
        <f>COUNTIFS('②クラス編成'!$E$9:$E$158,1,'②クラス編成'!$S$9:$S$158,"&gt;=1",'②クラス編成'!$G$9:$G$158,"男")</f>
        <v>18</v>
      </c>
      <c r="I10" s="40" t="inlineStr">
        <is>
          <t>女子</t>
        </is>
      </c>
      <c r="J10" s="40" t="n"/>
      <c r="K10" s="40" t="n"/>
      <c r="L10" s="40" t="n"/>
      <c r="M10" s="41">
        <f>COUNTIFS('②クラス編成'!$E$9:$E$158,1,'②クラス編成'!$S$9:$S$158,"&gt;=1",'②クラス編成'!$G$9:$G$158,"女")</f>
        <v>17</v>
      </c>
      <c r="O10" s="42" t="inlineStr">
        <is>
          <t>人数</t>
        </is>
      </c>
      <c r="P10" s="42" t="n"/>
      <c r="Q10" s="43">
        <f>COUNTIFS('②クラス編成'!$E$9:$E$158,2,'②クラス編成'!$S$9:$S$158,"&gt;=1")</f>
        <v>35</v>
      </c>
      <c r="R10" s="42" t="inlineStr">
        <is>
          <t>男子</t>
        </is>
      </c>
      <c r="S10" s="42" t="n"/>
      <c r="T10" s="42" t="n"/>
      <c r="U10" s="43">
        <f>COUNTIFS('②クラス編成'!$E$9:$E$158,2,'②クラス編成'!$S$9:$S$158,"&gt;=1",'②クラス編成'!$G$9:$G$158,"男")</f>
        <v>18</v>
      </c>
      <c r="V10" s="42" t="inlineStr">
        <is>
          <t>女子</t>
        </is>
      </c>
      <c r="W10" s="42" t="n"/>
      <c r="X10" s="42" t="n"/>
      <c r="Y10" s="42" t="n"/>
      <c r="Z10" s="43">
        <f>COUNTIFS('②クラス編成'!$E$9:$E$158,2,'②クラス編成'!$S$9:$S$158,"&gt;=1",'②クラス編成'!$G$9:$G$158,"女")</f>
        <v>17</v>
      </c>
      <c r="AB10" s="44" t="inlineStr">
        <is>
          <t>人数</t>
        </is>
      </c>
      <c r="AC10" s="44" t="n"/>
      <c r="AD10" s="45">
        <f>COUNTIFS('②クラス編成'!$E$9:$E$158,3,'②クラス編成'!$S$9:$S$158,"&gt;=1")</f>
        <v>35</v>
      </c>
      <c r="AE10" s="44" t="inlineStr">
        <is>
          <t>男子</t>
        </is>
      </c>
      <c r="AF10" s="44" t="n"/>
      <c r="AG10" s="44" t="n"/>
      <c r="AH10" s="45">
        <f>COUNTIFS('②クラス編成'!$E$9:$E$158,3,'②クラス編成'!$S$9:$S$158,"&gt;=1",'②クラス編成'!$G$9:$G$158,"男")</f>
        <v>18</v>
      </c>
      <c r="AI10" s="44" t="inlineStr">
        <is>
          <t>女子</t>
        </is>
      </c>
      <c r="AJ10" s="44" t="n"/>
      <c r="AK10" s="44" t="n"/>
      <c r="AL10" s="44" t="n"/>
      <c r="AM10" s="45">
        <f>COUNTIFS('②クラス編成'!$E$9:$E$158,3,'②クラス編成'!$S$9:$S$158,"&gt;=1",'②クラス編成'!$G$9:$G$158,"女")</f>
        <v>17</v>
      </c>
    </row>
    <row r="11">
      <c r="B11" s="40" t="inlineStr">
        <is>
          <t>5教科平均</t>
        </is>
      </c>
      <c r="C11" s="40" t="n"/>
      <c r="D11" s="46">
        <f>IFERROR(ROUND(AVERAGEIFS('②クラス編成'!$I$9:$I$158,'②クラス編成'!$E$9:$E$158,1),1),"-")</f>
        <v>62.3</v>
      </c>
      <c r="E11" s="40" t="inlineStr">
        <is>
          <t>50m男子</t>
        </is>
      </c>
      <c r="F11" s="40" t="n"/>
      <c r="G11" s="40" t="n"/>
      <c r="H11" s="47">
        <f>IFERROR(ROUND(AVERAGEIFS('②クラス編成'!$J$9:$J$158,'②クラス編成'!$E$9:$E$158,1,'②クラス編成'!$G$9:$G$158,"男"),2),"-")</f>
        <v>7.68</v>
      </c>
      <c r="I11" s="40" t="inlineStr">
        <is>
          <t>50m女子</t>
        </is>
      </c>
      <c r="J11" s="40" t="n"/>
      <c r="K11" s="40" t="n"/>
      <c r="L11" s="40" t="n"/>
      <c r="M11" s="47">
        <f>IFERROR(ROUND(AVERAGEIFS('②クラス編成'!$J$9:$J$158,'②クラス編成'!$E$9:$E$158,1,'②クラス編成'!$G$9:$G$158,"女"),2),"-")</f>
        <v>8.94</v>
      </c>
      <c r="O11" s="42" t="inlineStr">
        <is>
          <t>5教科平均</t>
        </is>
      </c>
      <c r="P11" s="42" t="n"/>
      <c r="Q11" s="48">
        <f>IFERROR(ROUND(AVERAGEIFS('②クラス編成'!$I$9:$I$158,'②クラス編成'!$E$9:$E$158,2),1),"-")</f>
        <v>62.7</v>
      </c>
      <c r="R11" s="42" t="inlineStr">
        <is>
          <t>50m男子</t>
        </is>
      </c>
      <c r="S11" s="42" t="n"/>
      <c r="T11" s="42" t="n"/>
      <c r="U11" s="49">
        <f>IFERROR(ROUND(AVERAGEIFS('②クラス編成'!$J$9:$J$158,'②クラス編成'!$E$9:$E$158,2,'②クラス編成'!$G$9:$G$158,"男"),2),"-")</f>
        <v>7.67</v>
      </c>
      <c r="V11" s="42" t="inlineStr">
        <is>
          <t>50m女子</t>
        </is>
      </c>
      <c r="W11" s="42" t="n"/>
      <c r="X11" s="42" t="n"/>
      <c r="Y11" s="42" t="n"/>
      <c r="Z11" s="49">
        <f>IFERROR(ROUND(AVERAGEIFS('②クラス編成'!$J$9:$J$158,'②クラス編成'!$E$9:$E$158,2,'②クラス編成'!$G$9:$G$158,"女"),2),"-")</f>
        <v>8.82</v>
      </c>
      <c r="AB11" s="44" t="inlineStr">
        <is>
          <t>5教科平均</t>
        </is>
      </c>
      <c r="AC11" s="44" t="n"/>
      <c r="AD11" s="50">
        <f>IFERROR(ROUND(AVERAGEIFS('②クラス編成'!$I$9:$I$158,'②クラス編成'!$E$9:$E$158,3),1),"-")</f>
        <v>62.5</v>
      </c>
      <c r="AE11" s="44" t="inlineStr">
        <is>
          <t>50m男子</t>
        </is>
      </c>
      <c r="AF11" s="44" t="n"/>
      <c r="AG11" s="44" t="n"/>
      <c r="AH11" s="51">
        <f>IFERROR(ROUND(AVERAGEIFS('②クラス編成'!$J$9:$J$158,'②クラス編成'!$E$9:$E$158,3,'②クラス編成'!$G$9:$G$158,"男"),2),"-")</f>
        <v>7.72</v>
      </c>
      <c r="AI11" s="44" t="inlineStr">
        <is>
          <t>50m女子</t>
        </is>
      </c>
      <c r="AJ11" s="44" t="n"/>
      <c r="AK11" s="44" t="n"/>
      <c r="AL11" s="44" t="n"/>
      <c r="AM11" s="51">
        <f>IFERROR(ROUND(AVERAGEIFS('②クラス編成'!$J$9:$J$158,'②クラス編成'!$E$9:$E$158,3,'②クラス編成'!$G$9:$G$158,"女"),2),"-")</f>
        <v>8.83</v>
      </c>
    </row>
    <row r="12">
      <c r="B12" s="40" t="inlineStr">
        <is>
          <t>成績上位</t>
        </is>
      </c>
      <c r="C12" s="40" t="n"/>
      <c r="D12" s="41">
        <f>IF('設定'!$C$35="","-",COUNTIFS('②クラス編成'!$E$9:$E$158,1,'②クラス編成'!$I$9:$I$158,"&gt;="&amp;'設定'!$C$35))</f>
        <v>7</v>
      </c>
      <c r="E12" s="40" t="inlineStr">
        <is>
          <t>成績下位</t>
        </is>
      </c>
      <c r="F12" s="40" t="n"/>
      <c r="G12" s="40" t="n"/>
      <c r="H12" s="41">
        <f>IF('設定'!$C$36="","-",COUNTIFS('②クラス編成'!$E$9:$E$158,1,'②クラス編成'!$I$9:$I$158,"&lt;="&amp;'設定'!$C$36))</f>
        <v>7</v>
      </c>
      <c r="I12" s="40" t="inlineStr">
        <is>
          <t>重なり(人)</t>
        </is>
      </c>
      <c r="J12" s="40" t="n"/>
      <c r="K12" s="40" t="n"/>
      <c r="L12" s="40" t="n"/>
      <c r="M12" s="41">
        <f>COUNTIFS('②クラス編成'!$E$9:$E$158,1,'②クラス編成'!$AG$9:$AG$158,"&gt;0")</f>
        <v>6</v>
      </c>
      <c r="O12" s="42" t="inlineStr">
        <is>
          <t>成績上位</t>
        </is>
      </c>
      <c r="P12" s="42" t="n"/>
      <c r="Q12" s="43">
        <f>IF('設定'!$C$35="","-",COUNTIFS('②クラス編成'!$E$9:$E$158,2,'②クラス編成'!$I$9:$I$158,"&gt;="&amp;'設定'!$C$35))</f>
        <v>8</v>
      </c>
      <c r="R12" s="42" t="inlineStr">
        <is>
          <t>成績下位</t>
        </is>
      </c>
      <c r="S12" s="42" t="n"/>
      <c r="T12" s="42" t="n"/>
      <c r="U12" s="43">
        <f>IF('設定'!$C$36="","-",COUNTIFS('②クラス編成'!$E$9:$E$158,2,'②クラス編成'!$I$9:$I$158,"&lt;="&amp;'設定'!$C$36))</f>
        <v>7</v>
      </c>
      <c r="V12" s="42" t="inlineStr">
        <is>
          <t>重なり(人)</t>
        </is>
      </c>
      <c r="W12" s="42" t="n"/>
      <c r="X12" s="42" t="n"/>
      <c r="Y12" s="42" t="n"/>
      <c r="Z12" s="43">
        <f>COUNTIFS('②クラス編成'!$E$9:$E$158,2,'②クラス編成'!$AG$9:$AG$158,"&gt;0")</f>
        <v>0</v>
      </c>
      <c r="AB12" s="44" t="inlineStr">
        <is>
          <t>成績上位</t>
        </is>
      </c>
      <c r="AC12" s="44" t="n"/>
      <c r="AD12" s="45">
        <f>IF('設定'!$C$35="","-",COUNTIFS('②クラス編成'!$E$9:$E$158,3,'②クラス編成'!$I$9:$I$158,"&gt;="&amp;'設定'!$C$35))</f>
        <v>7</v>
      </c>
      <c r="AE12" s="44" t="inlineStr">
        <is>
          <t>成績下位</t>
        </is>
      </c>
      <c r="AF12" s="44" t="n"/>
      <c r="AG12" s="44" t="n"/>
      <c r="AH12" s="45">
        <f>IF('設定'!$C$36="","-",COUNTIFS('②クラス編成'!$E$9:$E$158,3,'②クラス編成'!$I$9:$I$158,"&lt;="&amp;'設定'!$C$36))</f>
        <v>7</v>
      </c>
      <c r="AI12" s="44" t="inlineStr">
        <is>
          <t>重なり(人)</t>
        </is>
      </c>
      <c r="AJ12" s="44" t="n"/>
      <c r="AK12" s="44" t="n"/>
      <c r="AL12" s="44" t="n"/>
      <c r="AM12" s="45">
        <f>COUNTIFS('②クラス編成'!$E$9:$E$158,3,'②クラス編成'!$AG$9:$AG$158,"&gt;0")</f>
        <v>0</v>
      </c>
    </row>
    <row r="13">
      <c r="B13" s="40" t="inlineStr">
        <is>
          <t>ピアノ</t>
        </is>
      </c>
      <c r="C13" s="40" t="n"/>
      <c r="D13" s="41">
        <f>COUNTIFS('②クラス編成'!$E$9:$E$158,1,'②クラス編成'!$K$9:$K$158,"〇")</f>
        <v>2</v>
      </c>
      <c r="E13" s="40" t="inlineStr">
        <is>
          <t>ムード</t>
        </is>
      </c>
      <c r="F13" s="40" t="n"/>
      <c r="G13" s="40" t="n"/>
      <c r="H13" s="41">
        <f>COUNTIFS('②クラス編成'!$E$9:$E$158,1,'②クラス編成'!$L$9:$L$158,"〇")</f>
        <v>3</v>
      </c>
      <c r="I13" s="40" t="inlineStr">
        <is>
          <t>注意</t>
        </is>
      </c>
      <c r="J13" s="40" t="n"/>
      <c r="K13" s="40" t="n"/>
      <c r="L13" s="40" t="n"/>
      <c r="M13" s="41">
        <f>COUNTIFS('②クラス編成'!$E$9:$E$158,1,'②クラス編成'!$M$9:$M$158,"〇")</f>
        <v>3</v>
      </c>
      <c r="O13" s="42" t="inlineStr">
        <is>
          <t>ピアノ</t>
        </is>
      </c>
      <c r="P13" s="42" t="n"/>
      <c r="Q13" s="43">
        <f>COUNTIFS('②クラス編成'!$E$9:$E$158,2,'②クラス編成'!$K$9:$K$158,"〇")</f>
        <v>3</v>
      </c>
      <c r="R13" s="42" t="inlineStr">
        <is>
          <t>ムード</t>
        </is>
      </c>
      <c r="S13" s="42" t="n"/>
      <c r="T13" s="42" t="n"/>
      <c r="U13" s="43">
        <f>COUNTIFS('②クラス編成'!$E$9:$E$158,2,'②クラス編成'!$L$9:$L$158,"〇")</f>
        <v>3</v>
      </c>
      <c r="V13" s="42" t="inlineStr">
        <is>
          <t>注意</t>
        </is>
      </c>
      <c r="W13" s="42" t="n"/>
      <c r="X13" s="42" t="n"/>
      <c r="Y13" s="42" t="n"/>
      <c r="Z13" s="43">
        <f>COUNTIFS('②クラス編成'!$E$9:$E$158,2,'②クラス編成'!$M$9:$M$158,"〇")</f>
        <v>2</v>
      </c>
      <c r="AB13" s="44" t="inlineStr">
        <is>
          <t>ピアノ</t>
        </is>
      </c>
      <c r="AC13" s="44" t="n"/>
      <c r="AD13" s="45">
        <f>COUNTIFS('②クラス編成'!$E$9:$E$158,3,'②クラス編成'!$K$9:$K$158,"〇")</f>
        <v>3</v>
      </c>
      <c r="AE13" s="44" t="inlineStr">
        <is>
          <t>ムード</t>
        </is>
      </c>
      <c r="AF13" s="44" t="n"/>
      <c r="AG13" s="44" t="n"/>
      <c r="AH13" s="45">
        <f>COUNTIFS('②クラス編成'!$E$9:$E$158,3,'②クラス編成'!$L$9:$L$158,"〇")</f>
        <v>3</v>
      </c>
      <c r="AI13" s="44" t="inlineStr">
        <is>
          <t>注意</t>
        </is>
      </c>
      <c r="AJ13" s="44" t="n"/>
      <c r="AK13" s="44" t="n"/>
      <c r="AL13" s="44" t="n"/>
      <c r="AM13" s="45">
        <f>COUNTIFS('②クラス編成'!$E$9:$E$158,3,'②クラス編成'!$M$9:$M$158,"〇")</f>
        <v>2</v>
      </c>
    </row>
    <row r="14">
      <c r="B14" s="40" t="inlineStr">
        <is>
          <t>休みがち</t>
        </is>
      </c>
      <c r="C14" s="40" t="n"/>
      <c r="D14" s="52">
        <f>COUNTIFS('②クラス編成'!$E$9:$E$158,1,'②クラス編成'!$N$9:$N$158,"〇")</f>
        <v>2</v>
      </c>
      <c r="E14" s="40" t="inlineStr">
        <is>
          <t>旧クラス</t>
        </is>
      </c>
      <c r="F14" s="40" t="n"/>
      <c r="G14" s="40" t="n"/>
      <c r="H14" s="52" t="str">
        <f>IF('設定'!$B$48="","",'設定'!$B$48&amp;":"&amp;COUNTIFS('②クラス編成'!$E$9:$E$158,1,'②クラス編成'!$H$9:$H$158,'設定'!$B$48)&amp;"人　")&amp;IF('設定'!$B$49="","",'設定'!$B$49&amp;":"&amp;COUNTIFS('②クラス編成'!$E$9:$E$158,1,'②クラス編成'!$H$9:$H$158,'設定'!$B$49)&amp;"人　")&amp;IF('設定'!$B$50="","",'設定'!$B$50&amp;":"&amp;COUNTIFS('②クラス編成'!$E$9:$E$158,1,'②クラス編成'!$H$9:$H$158,'設定'!$B$50)&amp;"人　")&amp;IF('設定'!$B$51="","",'設定'!$B$51&amp;":"&amp;COUNTIFS('②クラス編成'!$E$9:$E$158,1,'②クラス編成'!$H$9:$H$158,'設定'!$B$51)&amp;"人　")&amp;IF('設定'!$B$52="","",'設定'!$B$52&amp;":"&amp;COUNTIFS('②クラス編成'!$E$9:$E$158,1,'②クラス編成'!$H$9:$H$158,'設定'!$B$52)&amp;"人　")&amp;IF('設定'!$B$53="","",'設定'!$B$53&amp;":"&amp;COUNTIFS('②クラス編成'!$E$9:$E$158,1,'②クラス編成'!$H$9:$H$158,'設定'!$B$53)&amp;"人　")</f>
        <v>1:12人　2:12人　3:11人　</v>
      </c>
      <c r="I14" s="52" t="n"/>
      <c r="J14" s="52" t="n"/>
      <c r="K14" s="52" t="n"/>
      <c r="L14" s="52" t="n"/>
      <c r="M14" s="52" t="n"/>
      <c r="O14" s="42" t="inlineStr">
        <is>
          <t>休みがち</t>
        </is>
      </c>
      <c r="P14" s="42" t="n"/>
      <c r="Q14" s="53">
        <f>COUNTIFS('②クラス編成'!$E$9:$E$158,2,'②クラス編成'!$N$9:$N$158,"〇")</f>
        <v>2</v>
      </c>
      <c r="R14" s="42" t="inlineStr">
        <is>
          <t>旧クラス</t>
        </is>
      </c>
      <c r="S14" s="42" t="n"/>
      <c r="T14" s="42" t="n"/>
      <c r="U14" s="53" t="str">
        <f>IF('設定'!$B$48="","",'設定'!$B$48&amp;":"&amp;COUNTIFS('②クラス編成'!$E$9:$E$158,2,'②クラス編成'!$H$9:$H$158,'設定'!$B$48)&amp;"人　")&amp;IF('設定'!$B$49="","",'設定'!$B$49&amp;":"&amp;COUNTIFS('②クラス編成'!$E$9:$E$158,2,'②クラス編成'!$H$9:$H$158,'設定'!$B$49)&amp;"人　")&amp;IF('設定'!$B$50="","",'設定'!$B$50&amp;":"&amp;COUNTIFS('②クラス編成'!$E$9:$E$158,2,'②クラス編成'!$H$9:$H$158,'設定'!$B$50)&amp;"人　")&amp;IF('設定'!$B$51="","",'設定'!$B$51&amp;":"&amp;COUNTIFS('②クラス編成'!$E$9:$E$158,2,'②クラス編成'!$H$9:$H$158,'設定'!$B$51)&amp;"人　")&amp;IF('設定'!$B$52="","",'設定'!$B$52&amp;":"&amp;COUNTIFS('②クラス編成'!$E$9:$E$158,2,'②クラス編成'!$H$9:$H$158,'設定'!$B$52)&amp;"人　")&amp;IF('設定'!$B$53="","",'設定'!$B$53&amp;":"&amp;COUNTIFS('②クラス編成'!$E$9:$E$158,2,'②クラス編成'!$H$9:$H$158,'設定'!$B$53)&amp;"人　")</f>
        <v>1:12人　2:12人　3:11人　</v>
      </c>
      <c r="V14" s="53" t="n"/>
      <c r="W14" s="53" t="n"/>
      <c r="X14" s="53" t="n"/>
      <c r="Y14" s="53" t="n"/>
      <c r="Z14" s="53" t="n"/>
      <c r="AB14" s="44" t="inlineStr">
        <is>
          <t>休みがち</t>
        </is>
      </c>
      <c r="AC14" s="44" t="n"/>
      <c r="AD14" s="54">
        <f>COUNTIFS('②クラス編成'!$E$9:$E$158,3,'②クラス編成'!$N$9:$N$158,"〇")</f>
        <v>1</v>
      </c>
      <c r="AE14" s="44" t="inlineStr">
        <is>
          <t>旧クラス</t>
        </is>
      </c>
      <c r="AF14" s="44" t="n"/>
      <c r="AG14" s="44" t="n"/>
      <c r="AH14" s="54" t="str">
        <f>IF('設定'!$B$48="","",'設定'!$B$48&amp;":"&amp;COUNTIFS('②クラス編成'!$E$9:$E$158,3,'②クラス編成'!$H$9:$H$158,'設定'!$B$48)&amp;"人　")&amp;IF('設定'!$B$49="","",'設定'!$B$49&amp;":"&amp;COUNTIFS('②クラス編成'!$E$9:$E$158,3,'②クラス編成'!$H$9:$H$158,'設定'!$B$49)&amp;"人　")&amp;IF('設定'!$B$50="","",'設定'!$B$50&amp;":"&amp;COUNTIFS('②クラス編成'!$E$9:$E$158,3,'②クラス編成'!$H$9:$H$158,'設定'!$B$50)&amp;"人　")&amp;IF('設定'!$B$51="","",'設定'!$B$51&amp;":"&amp;COUNTIFS('②クラス編成'!$E$9:$E$158,3,'②クラス編成'!$H$9:$H$158,'設定'!$B$51)&amp;"人　")&amp;IF('設定'!$B$52="","",'設定'!$B$52&amp;":"&amp;COUNTIFS('②クラス編成'!$E$9:$E$158,3,'②クラス編成'!$H$9:$H$158,'設定'!$B$52)&amp;"人　")&amp;IF('設定'!$B$53="","",'設定'!$B$53&amp;":"&amp;COUNTIFS('②クラス編成'!$E$9:$E$158,3,'②クラス編成'!$H$9:$H$158,'設定'!$B$53)&amp;"人　")</f>
        <v>1:11人　2:11人　3:13人　</v>
      </c>
      <c r="AI14" s="54" t="n"/>
      <c r="AJ14" s="54" t="n"/>
      <c r="AK14" s="54" t="n"/>
      <c r="AL14" s="54" t="n"/>
      <c r="AM14" s="54" t="n"/>
    </row>
    <row r="15">
      <c r="B15" s="40" t="inlineStr">
        <is>
          <t>教科平均</t>
        </is>
      </c>
      <c r="C15" s="40" t="n"/>
      <c r="D15" s="52" t="str">
        <f>LEFT('①名簿入力'!$F$2,1)&amp;IFERROR(TEXT(AVERAGEIFS('②クラス編成'!$AT$9:$AT$158,'②クラス編成'!$E$9:$E$158,1),"0.0"),"-")&amp;"　"&amp;LEFT('①名簿入力'!$G$2,1)&amp;IFERROR(TEXT(AVERAGEIFS('②クラス編成'!$AU$9:$AU$158,'②クラス編成'!$E$9:$E$158,1),"0.0"),"-")&amp;"　"&amp;LEFT('①名簿入力'!$H$2,1)&amp;IFERROR(TEXT(AVERAGEIFS('②クラス編成'!$AV$9:$AV$158,'②クラス編成'!$E$9:$E$158,1),"0.0"),"-")&amp;"　"&amp;LEFT('①名簿入力'!$I$2,1)&amp;IFERROR(TEXT(AVERAGEIFS('②クラス編成'!$AW$9:$AW$158,'②クラス編成'!$E$9:$E$158,1),"0.0"),"-")&amp;"　"&amp;LEFT('①名簿入力'!$J$2,1)&amp;IFERROR(TEXT(AVERAGEIFS('②クラス編成'!$AX$9:$AX$158,'②クラス編成'!$E$9:$E$158,1),"0.0"),"-")</f>
        <v>国60.3　数64.0　英61.3　理62.1　社63.7</v>
      </c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O15" s="42" t="inlineStr">
        <is>
          <t>教科平均</t>
        </is>
      </c>
      <c r="P15" s="42" t="n"/>
      <c r="Q15" s="53" t="str">
        <f>LEFT('①名簿入力'!$F$2,1)&amp;IFERROR(TEXT(AVERAGEIFS('②クラス編成'!$AT$9:$AT$158,'②クラス編成'!$E$9:$E$158,2),"0.0"),"-")&amp;"　"&amp;LEFT('①名簿入力'!$G$2,1)&amp;IFERROR(TEXT(AVERAGEIFS('②クラス編成'!$AU$9:$AU$158,'②クラス編成'!$E$9:$E$158,2),"0.0"),"-")&amp;"　"&amp;LEFT('①名簿入力'!$H$2,1)&amp;IFERROR(TEXT(AVERAGEIFS('②クラス編成'!$AV$9:$AV$158,'②クラス編成'!$E$9:$E$158,2),"0.0"),"-")&amp;"　"&amp;LEFT('①名簿入力'!$I$2,1)&amp;IFERROR(TEXT(AVERAGEIFS('②クラス編成'!$AW$9:$AW$158,'②クラス編成'!$E$9:$E$158,2),"0.0"),"-")&amp;"　"&amp;LEFT('①名簿入力'!$J$2,1)&amp;IFERROR(TEXT(AVERAGEIFS('②クラス編成'!$AX$9:$AX$158,'②クラス編成'!$E$9:$E$158,2),"0.0"),"-")</f>
        <v>国61.9　数63.5　英61.6　理63.7　社62.9</v>
      </c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B15" s="44" t="inlineStr">
        <is>
          <t>教科平均</t>
        </is>
      </c>
      <c r="AC15" s="44" t="n"/>
      <c r="AD15" s="54" t="str">
        <f>LEFT('①名簿入力'!$F$2,1)&amp;IFERROR(TEXT(AVERAGEIFS('②クラス編成'!$AT$9:$AT$158,'②クラス編成'!$E$9:$E$158,3),"0.0"),"-")&amp;"　"&amp;LEFT('①名簿入力'!$G$2,1)&amp;IFERROR(TEXT(AVERAGEIFS('②クラス編成'!$AU$9:$AU$158,'②クラス編成'!$E$9:$E$158,3),"0.0"),"-")&amp;"　"&amp;LEFT('①名簿入力'!$H$2,1)&amp;IFERROR(TEXT(AVERAGEIFS('②クラス編成'!$AV$9:$AV$158,'②クラス編成'!$E$9:$E$158,3),"0.0"),"-")&amp;"　"&amp;LEFT('①名簿入力'!$I$2,1)&amp;IFERROR(TEXT(AVERAGEIFS('②クラス編成'!$AW$9:$AW$158,'②クラス編成'!$E$9:$E$158,3),"0.0"),"-")&amp;"　"&amp;LEFT('①名簿入力'!$J$2,1)&amp;IFERROR(TEXT(AVERAGEIFS('②クラス編成'!$AX$9:$AX$158,'②クラス編成'!$E$9:$E$158,3),"0.0"),"-")</f>
        <v>国63.8　数64.1　英60.9　理62.0　社61.5</v>
      </c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</row>
    <row r="16" ht="26" customHeight="1">
      <c r="B16" s="55" t="inlineStr">
        <is>
          <t>No</t>
        </is>
      </c>
      <c r="C16" s="55" t="inlineStr">
        <is>
          <t>番号</t>
        </is>
      </c>
      <c r="D16" s="55" t="inlineStr">
        <is>
          <t>氏名</t>
        </is>
      </c>
      <c r="E16" s="55" t="inlineStr">
        <is>
          <t>性</t>
        </is>
      </c>
      <c r="F16" s="55" t="inlineStr">
        <is>
          <t>旧</t>
        </is>
      </c>
      <c r="G16" s="55" t="inlineStr">
        <is>
          <t>平均</t>
        </is>
      </c>
      <c r="H16" s="55" t="inlineStr">
        <is>
          <t>50m</t>
        </is>
      </c>
      <c r="I16" s="55" t="inlineStr">
        <is>
          <t>ピ</t>
        </is>
      </c>
      <c r="J16" s="55" t="inlineStr">
        <is>
          <t>ム</t>
        </is>
      </c>
      <c r="K16" s="55" t="inlineStr">
        <is>
          <t>注</t>
        </is>
      </c>
      <c r="L16" s="55" t="inlineStr">
        <is>
          <t>休</t>
        </is>
      </c>
      <c r="M16" s="55" t="inlineStr">
        <is>
          <t>分けたい相手(同組)</t>
        </is>
      </c>
      <c r="O16" s="56" t="inlineStr">
        <is>
          <t>No</t>
        </is>
      </c>
      <c r="P16" s="56" t="inlineStr">
        <is>
          <t>番号</t>
        </is>
      </c>
      <c r="Q16" s="56" t="inlineStr">
        <is>
          <t>氏名</t>
        </is>
      </c>
      <c r="R16" s="56" t="inlineStr">
        <is>
          <t>性</t>
        </is>
      </c>
      <c r="S16" s="56" t="inlineStr">
        <is>
          <t>旧</t>
        </is>
      </c>
      <c r="T16" s="56" t="inlineStr">
        <is>
          <t>平均</t>
        </is>
      </c>
      <c r="U16" s="56" t="inlineStr">
        <is>
          <t>50m</t>
        </is>
      </c>
      <c r="V16" s="56" t="inlineStr">
        <is>
          <t>ピ</t>
        </is>
      </c>
      <c r="W16" s="56" t="inlineStr">
        <is>
          <t>ム</t>
        </is>
      </c>
      <c r="X16" s="56" t="inlineStr">
        <is>
          <t>注</t>
        </is>
      </c>
      <c r="Y16" s="56" t="inlineStr">
        <is>
          <t>休</t>
        </is>
      </c>
      <c r="Z16" s="56" t="inlineStr">
        <is>
          <t>分けたい相手(同組)</t>
        </is>
      </c>
      <c r="AB16" s="57" t="inlineStr">
        <is>
          <t>No</t>
        </is>
      </c>
      <c r="AC16" s="57" t="inlineStr">
        <is>
          <t>番号</t>
        </is>
      </c>
      <c r="AD16" s="57" t="inlineStr">
        <is>
          <t>氏名</t>
        </is>
      </c>
      <c r="AE16" s="57" t="inlineStr">
        <is>
          <t>性</t>
        </is>
      </c>
      <c r="AF16" s="57" t="inlineStr">
        <is>
          <t>旧</t>
        </is>
      </c>
      <c r="AG16" s="57" t="inlineStr">
        <is>
          <t>平均</t>
        </is>
      </c>
      <c r="AH16" s="57" t="inlineStr">
        <is>
          <t>50m</t>
        </is>
      </c>
      <c r="AI16" s="57" t="inlineStr">
        <is>
          <t>ピ</t>
        </is>
      </c>
      <c r="AJ16" s="57" t="inlineStr">
        <is>
          <t>ム</t>
        </is>
      </c>
      <c r="AK16" s="57" t="inlineStr">
        <is>
          <t>注</t>
        </is>
      </c>
      <c r="AL16" s="57" t="inlineStr">
        <is>
          <t>休</t>
        </is>
      </c>
      <c r="AM16" s="57" t="inlineStr">
        <is>
          <t>分けたい相手(同組)</t>
        </is>
      </c>
    </row>
    <row r="17">
      <c r="B17" s="58">
        <f>IF($AO17="","",1)</f>
        <v>1</v>
      </c>
      <c r="C17" s="8">
        <f>IF($AO17="","",INDEX('②クラス編成'!$D$9:$D$158,$AO17))</f>
        <v>2108</v>
      </c>
      <c r="D17" s="59" t="str">
        <f>IF($AO17="","",INDEX('②クラス編成'!$F$9:$F$158,$AO17))</f>
        <v>井上　陸</v>
      </c>
      <c r="E17" s="8" t="str">
        <f>IF($AO17="","",INDEX('②クラス編成'!$G$9:$G$158,$AO17))</f>
        <v>男</v>
      </c>
      <c r="F17" s="8">
        <f>IF($AO17="","",INDEX('②クラス編成'!$H$9:$H$158,$AO17))</f>
        <v>1</v>
      </c>
      <c r="G17" s="11">
        <f>IF($AO17="","",INDEX('②クラス編成'!$I$9:$I$158,$AO17))</f>
        <v>47.8</v>
      </c>
      <c r="H17" s="11">
        <f>IF($AO17="","",INDEX('②クラス編成'!$J$9:$J$158,$AO17))</f>
        <v>7</v>
      </c>
      <c r="I17" s="8" t="str">
        <f>IF($AO17="","",INDEX('②クラス編成'!$K$9:$K$158,$AO17))</f>
        <v/>
      </c>
      <c r="J17" s="8" t="str">
        <f>IF($AO17="","",INDEX('②クラス編成'!$L$9:$L$158,$AO17))</f>
        <v/>
      </c>
      <c r="K17" s="8" t="str">
        <f>IF($AO17="","",INDEX('②クラス編成'!$M$9:$M$158,$AO17))</f>
        <v/>
      </c>
      <c r="L17" s="8" t="str">
        <f>IF($AO17="","",INDEX('②クラス編成'!$N$9:$N$158,$AO17))</f>
        <v/>
      </c>
      <c r="M17" s="12" t="str">
        <f>IF($AO17="","",INDEX('②クラス編成'!$P$9:$P$158,$AO17))</f>
        <v/>
      </c>
      <c r="O17" s="58">
        <f>IF($AP17="","",1)</f>
        <v>1</v>
      </c>
      <c r="P17" s="8">
        <f>IF($AP17="","",INDEX('②クラス編成'!$D$9:$D$158,$AP17))</f>
        <v>2105</v>
      </c>
      <c r="Q17" s="59" t="str">
        <f>IF($AP17="","",INDEX('②クラス編成'!$F$9:$F$158,$AP17))</f>
        <v>石井　駿</v>
      </c>
      <c r="R17" s="8" t="str">
        <f>IF($AP17="","",INDEX('②クラス編成'!$G$9:$G$158,$AP17))</f>
        <v>男</v>
      </c>
      <c r="S17" s="8">
        <f>IF($AP17="","",INDEX('②クラス編成'!$H$9:$H$158,$AP17))</f>
        <v>1</v>
      </c>
      <c r="T17" s="11">
        <f>IF($AP17="","",INDEX('②クラス編成'!$I$9:$I$158,$AP17))</f>
        <v>19.4</v>
      </c>
      <c r="U17" s="11">
        <f>IF($AP17="","",INDEX('②クラス編成'!$J$9:$J$158,$AP17))</f>
        <v>7.5</v>
      </c>
      <c r="V17" s="8" t="str">
        <f>IF($AP17="","",INDEX('②クラス編成'!$K$9:$K$158,$AP17))</f>
        <v/>
      </c>
      <c r="W17" s="8" t="str">
        <f>IF($AP17="","",INDEX('②クラス編成'!$L$9:$L$158,$AP17))</f>
        <v>〇</v>
      </c>
      <c r="X17" s="8" t="str">
        <f>IF($AP17="","",INDEX('②クラス編成'!$M$9:$M$158,$AP17))</f>
        <v/>
      </c>
      <c r="Y17" s="8" t="str">
        <f>IF($AP17="","",INDEX('②クラス編成'!$N$9:$N$158,$AP17))</f>
        <v/>
      </c>
      <c r="Z17" s="12" t="str">
        <f>IF($AP17="","",INDEX('②クラス編成'!$P$9:$P$158,$AP17))</f>
        <v/>
      </c>
      <c r="AB17" s="58">
        <f>IF($AQ17="","",1)</f>
        <v>1</v>
      </c>
      <c r="AC17" s="8">
        <f>IF($AQ17="","",INDEX('②クラス編成'!$D$9:$D$158,$AQ17))</f>
        <v>2109</v>
      </c>
      <c r="AD17" s="59" t="str">
        <f>IF($AQ17="","",INDEX('②クラス編成'!$F$9:$F$158,$AQ17))</f>
        <v>江頭　智也</v>
      </c>
      <c r="AE17" s="8" t="str">
        <f>IF($AQ17="","",INDEX('②クラス編成'!$G$9:$G$158,$AQ17))</f>
        <v>男</v>
      </c>
      <c r="AF17" s="8">
        <f>IF($AQ17="","",INDEX('②クラス編成'!$H$9:$H$158,$AQ17))</f>
        <v>1</v>
      </c>
      <c r="AG17" s="11">
        <f>IF($AQ17="","",INDEX('②クラス編成'!$I$9:$I$158,$AQ17))</f>
        <v>62.2</v>
      </c>
      <c r="AH17" s="11">
        <f>IF($AQ17="","",INDEX('②クラス編成'!$J$9:$J$158,$AQ17))</f>
        <v>8</v>
      </c>
      <c r="AI17" s="8" t="str">
        <f>IF($AQ17="","",INDEX('②クラス編成'!$K$9:$K$158,$AQ17))</f>
        <v/>
      </c>
      <c r="AJ17" s="8" t="str">
        <f>IF($AQ17="","",INDEX('②クラス編成'!$L$9:$L$158,$AQ17))</f>
        <v/>
      </c>
      <c r="AK17" s="8" t="str">
        <f>IF($AQ17="","",INDEX('②クラス編成'!$M$9:$M$158,$AQ17))</f>
        <v/>
      </c>
      <c r="AL17" s="8" t="str">
        <f>IF($AQ17="","",INDEX('②クラス編成'!$N$9:$N$158,$AQ17))</f>
        <v/>
      </c>
      <c r="AM17" s="12" t="str">
        <f>IF($AQ17="","",INDEX('②クラス編成'!$P$9:$P$158,$AQ17))</f>
        <v/>
      </c>
      <c r="AO17" s="14">
        <f>IFERROR(MATCH("1-1",'②クラス編成'!$AS$9:$AS$158,0),"")</f>
        <v>8</v>
      </c>
      <c r="AP17" s="14">
        <f>IFERROR(MATCH("2-1",'②クラス編成'!$AS$9:$AS$158,0),"")</f>
        <v>5</v>
      </c>
      <c r="AQ17" s="14">
        <f>IFERROR(MATCH("3-1",'②クラス編成'!$AS$9:$AS$158,0),"")</f>
        <v>9</v>
      </c>
    </row>
    <row r="18">
      <c r="B18" s="58">
        <f>IF($AO18="","",2)</f>
        <v>2</v>
      </c>
      <c r="C18" s="8">
        <f>IF($AO18="","",INDEX('②クラス編成'!$D$9:$D$158,$AO18))</f>
        <v>2110</v>
      </c>
      <c r="D18" s="59" t="str">
        <f>IF($AO18="","",INDEX('②クラス編成'!$F$9:$F$158,$AO18))</f>
        <v>遠藤　大翔</v>
      </c>
      <c r="E18" s="8" t="str">
        <f>IF($AO18="","",INDEX('②クラス編成'!$G$9:$G$158,$AO18))</f>
        <v>男</v>
      </c>
      <c r="F18" s="8">
        <f>IF($AO18="","",INDEX('②クラス編成'!$H$9:$H$158,$AO18))</f>
        <v>1</v>
      </c>
      <c r="G18" s="11">
        <f>IF($AO18="","",INDEX('②クラス編成'!$I$9:$I$158,$AO18))</f>
        <v>65.6</v>
      </c>
      <c r="H18" s="11">
        <f>IF($AO18="","",INDEX('②クラス編成'!$J$9:$J$158,$AO18))</f>
        <v>7.6</v>
      </c>
      <c r="I18" s="8" t="str">
        <f>IF($AO18="","",INDEX('②クラス編成'!$K$9:$K$158,$AO18))</f>
        <v/>
      </c>
      <c r="J18" s="8" t="str">
        <f>IF($AO18="","",INDEX('②クラス編成'!$L$9:$L$158,$AO18))</f>
        <v/>
      </c>
      <c r="K18" s="8" t="str">
        <f>IF($AO18="","",INDEX('②クラス編成'!$M$9:$M$158,$AO18))</f>
        <v/>
      </c>
      <c r="L18" s="8" t="str">
        <f>IF($AO18="","",INDEX('②クラス編成'!$N$9:$N$158,$AO18))</f>
        <v/>
      </c>
      <c r="M18" s="12" t="str">
        <f>IF($AO18="","",INDEX('②クラス編成'!$P$9:$P$158,$AO18))</f>
        <v/>
      </c>
      <c r="O18" s="58">
        <f>IF($AP18="","",2)</f>
        <v>2</v>
      </c>
      <c r="P18" s="8">
        <f>IF($AP18="","",INDEX('②クラス編成'!$D$9:$D$158,$AP18))</f>
        <v>2116</v>
      </c>
      <c r="Q18" s="59" t="str">
        <f>IF($AP18="","",INDEX('②クラス編成'!$F$9:$F$158,$AP18))</f>
        <v>柴田　誠</v>
      </c>
      <c r="R18" s="8" t="str">
        <f>IF($AP18="","",INDEX('②クラス編成'!$G$9:$G$158,$AP18))</f>
        <v>男</v>
      </c>
      <c r="S18" s="8">
        <f>IF($AP18="","",INDEX('②クラス編成'!$H$9:$H$158,$AP18))</f>
        <v>1</v>
      </c>
      <c r="T18" s="11">
        <f>IF($AP18="","",INDEX('②クラス編成'!$I$9:$I$158,$AP18))</f>
        <v>47.8</v>
      </c>
      <c r="U18" s="11">
        <f>IF($AP18="","",INDEX('②クラス編成'!$J$9:$J$158,$AP18))</f>
        <v>7.9</v>
      </c>
      <c r="V18" s="8" t="str">
        <f>IF($AP18="","",INDEX('②クラス編成'!$K$9:$K$158,$AP18))</f>
        <v/>
      </c>
      <c r="W18" s="8" t="str">
        <f>IF($AP18="","",INDEX('②クラス編成'!$L$9:$L$158,$AP18))</f>
        <v/>
      </c>
      <c r="X18" s="8" t="str">
        <f>IF($AP18="","",INDEX('②クラス編成'!$M$9:$M$158,$AP18))</f>
        <v/>
      </c>
      <c r="Y18" s="8" t="str">
        <f>IF($AP18="","",INDEX('②クラス編成'!$N$9:$N$158,$AP18))</f>
        <v/>
      </c>
      <c r="Z18" s="12" t="str">
        <f>IF($AP18="","",INDEX('②クラス編成'!$P$9:$P$158,$AP18))</f>
        <v/>
      </c>
      <c r="AB18" s="58">
        <f>IF($AQ18="","",2)</f>
        <v>2</v>
      </c>
      <c r="AC18" s="8">
        <f>IF($AQ18="","",INDEX('②クラス編成'!$D$9:$D$158,$AQ18))</f>
        <v>2111</v>
      </c>
      <c r="AD18" s="59" t="str">
        <f>IF($AQ18="","",INDEX('②クラス編成'!$F$9:$F$158,$AQ18))</f>
        <v>太田　大翔</v>
      </c>
      <c r="AE18" s="8" t="str">
        <f>IF($AQ18="","",INDEX('②クラス編成'!$G$9:$G$158,$AQ18))</f>
        <v>男</v>
      </c>
      <c r="AF18" s="8">
        <f>IF($AQ18="","",INDEX('②クラス編成'!$H$9:$H$158,$AQ18))</f>
        <v>1</v>
      </c>
      <c r="AG18" s="11">
        <f>IF($AQ18="","",INDEX('②クラス編成'!$I$9:$I$158,$AQ18))</f>
        <v>68.4</v>
      </c>
      <c r="AH18" s="11">
        <f>IF($AQ18="","",INDEX('②クラス編成'!$J$9:$J$158,$AQ18))</f>
        <v>8</v>
      </c>
      <c r="AI18" s="8" t="str">
        <f>IF($AQ18="","",INDEX('②クラス編成'!$K$9:$K$158,$AQ18))</f>
        <v/>
      </c>
      <c r="AJ18" s="8" t="str">
        <f>IF($AQ18="","",INDEX('②クラス編成'!$L$9:$L$158,$AQ18))</f>
        <v/>
      </c>
      <c r="AK18" s="8" t="str">
        <f>IF($AQ18="","",INDEX('②クラス編成'!$M$9:$M$158,$AQ18))</f>
        <v/>
      </c>
      <c r="AL18" s="8" t="str">
        <f>IF($AQ18="","",INDEX('②クラス編成'!$N$9:$N$158,$AQ18))</f>
        <v/>
      </c>
      <c r="AM18" s="12" t="str">
        <f>IF($AQ18="","",INDEX('②クラス編成'!$P$9:$P$158,$AQ18))</f>
        <v/>
      </c>
      <c r="AO18" s="14">
        <f>IFERROR(MATCH("1-2",'②クラス編成'!$AS$9:$AS$158,0),"")</f>
        <v>10</v>
      </c>
      <c r="AP18" s="14">
        <f>IFERROR(MATCH("2-2",'②クラス編成'!$AS$9:$AS$158,0),"")</f>
        <v>16</v>
      </c>
      <c r="AQ18" s="14">
        <f>IFERROR(MATCH("3-2",'②クラス編成'!$AS$9:$AS$158,0),"")</f>
        <v>11</v>
      </c>
    </row>
    <row r="19">
      <c r="B19" s="58">
        <f>IF($AO19="","",3)</f>
        <v>3</v>
      </c>
      <c r="C19" s="8">
        <f>IF($AO19="","",INDEX('②クラス編成'!$D$9:$D$158,$AO19))</f>
        <v>2112</v>
      </c>
      <c r="D19" s="59" t="str">
        <f>IF($AO19="","",INDEX('②クラス編成'!$F$9:$F$158,$AO19))</f>
        <v>加藤　航</v>
      </c>
      <c r="E19" s="8" t="str">
        <f>IF($AO19="","",INDEX('②クラス編成'!$G$9:$G$158,$AO19))</f>
        <v>男</v>
      </c>
      <c r="F19" s="8">
        <f>IF($AO19="","",INDEX('②クラス編成'!$H$9:$H$158,$AO19))</f>
        <v>1</v>
      </c>
      <c r="G19" s="11">
        <f>IF($AO19="","",INDEX('②クラス編成'!$I$9:$I$158,$AO19))</f>
        <v>76.6</v>
      </c>
      <c r="H19" s="11">
        <f>IF($AO19="","",INDEX('②クラス編成'!$J$9:$J$158,$AO19))</f>
        <v>7.2</v>
      </c>
      <c r="I19" s="8" t="str">
        <f>IF($AO19="","",INDEX('②クラス編成'!$K$9:$K$158,$AO19))</f>
        <v/>
      </c>
      <c r="J19" s="8" t="str">
        <f>IF($AO19="","",INDEX('②クラス編成'!$L$9:$L$158,$AO19))</f>
        <v/>
      </c>
      <c r="K19" s="8" t="str">
        <f>IF($AO19="","",INDEX('②クラス編成'!$M$9:$M$158,$AO19))</f>
        <v/>
      </c>
      <c r="L19" s="8" t="str">
        <f>IF($AO19="","",INDEX('②クラス編成'!$N$9:$N$158,$AO19))</f>
        <v/>
      </c>
      <c r="M19" s="12" t="str">
        <f>IF($AO19="","",INDEX('②クラス編成'!$P$9:$P$158,$AO19))</f>
        <v/>
      </c>
      <c r="O19" s="58">
        <f>IF($AP19="","",3)</f>
        <v>3</v>
      </c>
      <c r="P19" s="8">
        <f>IF($AP19="","",INDEX('②クラス編成'!$D$9:$D$158,$AP19))</f>
        <v>2120</v>
      </c>
      <c r="Q19" s="59" t="str">
        <f>IF($AP19="","",INDEX('②クラス編成'!$F$9:$F$158,$AP19))</f>
        <v>田中　隼人</v>
      </c>
      <c r="R19" s="8" t="str">
        <f>IF($AP19="","",INDEX('②クラス編成'!$G$9:$G$158,$AP19))</f>
        <v>男</v>
      </c>
      <c r="S19" s="8">
        <f>IF($AP19="","",INDEX('②クラス編成'!$H$9:$H$158,$AP19))</f>
        <v>1</v>
      </c>
      <c r="T19" s="11">
        <f>IF($AP19="","",INDEX('②クラス編成'!$I$9:$I$158,$AP19))</f>
        <v>67.6</v>
      </c>
      <c r="U19" s="11">
        <f>IF($AP19="","",INDEX('②クラス編成'!$J$9:$J$158,$AP19))</f>
        <v>7.3</v>
      </c>
      <c r="V19" s="8" t="str">
        <f>IF($AP19="","",INDEX('②クラス編成'!$K$9:$K$158,$AP19))</f>
        <v/>
      </c>
      <c r="W19" s="8" t="str">
        <f>IF($AP19="","",INDEX('②クラス編成'!$L$9:$L$158,$AP19))</f>
        <v/>
      </c>
      <c r="X19" s="8" t="str">
        <f>IF($AP19="","",INDEX('②クラス編成'!$M$9:$M$158,$AP19))</f>
        <v>〇</v>
      </c>
      <c r="Y19" s="8" t="str">
        <f>IF($AP19="","",INDEX('②クラス編成'!$N$9:$N$158,$AP19))</f>
        <v/>
      </c>
      <c r="Z19" s="12" t="str">
        <f>IF($AP19="","",INDEX('②クラス編成'!$P$9:$P$158,$AP19))</f>
        <v/>
      </c>
      <c r="AB19" s="58">
        <f>IF($AQ19="","",3)</f>
        <v>3</v>
      </c>
      <c r="AC19" s="8">
        <f>IF($AQ19="","",INDEX('②クラス編成'!$D$9:$D$158,$AQ19))</f>
        <v>2113</v>
      </c>
      <c r="AD19" s="59" t="str">
        <f>IF($AQ19="","",INDEX('②クラス編成'!$F$9:$F$158,$AQ19))</f>
        <v>北川　朝陽</v>
      </c>
      <c r="AE19" s="8" t="str">
        <f>IF($AQ19="","",INDEX('②クラス編成'!$G$9:$G$158,$AQ19))</f>
        <v>男</v>
      </c>
      <c r="AF19" s="8">
        <f>IF($AQ19="","",INDEX('②クラス編成'!$H$9:$H$158,$AQ19))</f>
        <v>1</v>
      </c>
      <c r="AG19" s="11">
        <f>IF($AQ19="","",INDEX('②クラス編成'!$I$9:$I$158,$AQ19))</f>
        <v>46.4</v>
      </c>
      <c r="AH19" s="11">
        <f>IF($AQ19="","",INDEX('②クラス編成'!$J$9:$J$158,$AQ19))</f>
        <v>6.6</v>
      </c>
      <c r="AI19" s="8" t="str">
        <f>IF($AQ19="","",INDEX('②クラス編成'!$K$9:$K$158,$AQ19))</f>
        <v/>
      </c>
      <c r="AJ19" s="8" t="str">
        <f>IF($AQ19="","",INDEX('②クラス編成'!$L$9:$L$158,$AQ19))</f>
        <v/>
      </c>
      <c r="AK19" s="8" t="str">
        <f>IF($AQ19="","",INDEX('②クラス編成'!$M$9:$M$158,$AQ19))</f>
        <v/>
      </c>
      <c r="AL19" s="8" t="str">
        <f>IF($AQ19="","",INDEX('②クラス編成'!$N$9:$N$158,$AQ19))</f>
        <v/>
      </c>
      <c r="AM19" s="12" t="str">
        <f>IF($AQ19="","",INDEX('②クラス編成'!$P$9:$P$158,$AQ19))</f>
        <v/>
      </c>
      <c r="AO19" s="14">
        <f>IFERROR(MATCH("1-3",'②クラス編成'!$AS$9:$AS$158,0),"")</f>
        <v>12</v>
      </c>
      <c r="AP19" s="14">
        <f>IFERROR(MATCH("2-3",'②クラス編成'!$AS$9:$AS$158,0),"")</f>
        <v>20</v>
      </c>
      <c r="AQ19" s="14">
        <f>IFERROR(MATCH("3-3",'②クラス編成'!$AS$9:$AS$158,0),"")</f>
        <v>13</v>
      </c>
    </row>
    <row r="20">
      <c r="B20" s="58">
        <f>IF($AO20="","",4)</f>
        <v>4</v>
      </c>
      <c r="C20" s="8">
        <f>IF($AO20="","",INDEX('②クラス編成'!$D$9:$D$158,$AO20))</f>
        <v>2117</v>
      </c>
      <c r="D20" s="59" t="str">
        <f>IF($AO20="","",INDEX('②クラス編成'!$F$9:$F$158,$AO20))</f>
        <v>鈴木　誠</v>
      </c>
      <c r="E20" s="8" t="str">
        <f>IF($AO20="","",INDEX('②クラス編成'!$G$9:$G$158,$AO20))</f>
        <v>男</v>
      </c>
      <c r="F20" s="8">
        <f>IF($AO20="","",INDEX('②クラス編成'!$H$9:$H$158,$AO20))</f>
        <v>1</v>
      </c>
      <c r="G20" s="11">
        <f>IF($AO20="","",INDEX('②クラス編成'!$I$9:$I$158,$AO20))</f>
        <v>75.4</v>
      </c>
      <c r="H20" s="11">
        <f>IF($AO20="","",INDEX('②クラス編成'!$J$9:$J$158,$AO20))</f>
        <v>7.4</v>
      </c>
      <c r="I20" s="8" t="str">
        <f>IF($AO20="","",INDEX('②クラス編成'!$K$9:$K$158,$AO20))</f>
        <v/>
      </c>
      <c r="J20" s="8" t="str">
        <f>IF($AO20="","",INDEX('②クラス編成'!$L$9:$L$158,$AO20))</f>
        <v/>
      </c>
      <c r="K20" s="8" t="str">
        <f>IF($AO20="","",INDEX('②クラス編成'!$M$9:$M$158,$AO20))</f>
        <v/>
      </c>
      <c r="L20" s="8" t="str">
        <f>IF($AO20="","",INDEX('②クラス編成'!$N$9:$N$158,$AO20))</f>
        <v>〇</v>
      </c>
      <c r="M20" s="12" t="str">
        <f>IF($AO20="","",INDEX('②クラス編成'!$P$9:$P$158,$AO20))</f>
        <v/>
      </c>
      <c r="O20" s="58">
        <f>IF($AP20="","",4)</f>
        <v>4</v>
      </c>
      <c r="P20" s="8">
        <f>IF($AP20="","",INDEX('②クラス編成'!$D$9:$D$158,$AP20))</f>
        <v>2124</v>
      </c>
      <c r="Q20" s="59" t="str">
        <f>IF($AP20="","",INDEX('②クラス編成'!$F$9:$F$158,$AP20))</f>
        <v>前田　奏太</v>
      </c>
      <c r="R20" s="8" t="str">
        <f>IF($AP20="","",INDEX('②クラス編成'!$G$9:$G$158,$AP20))</f>
        <v>男</v>
      </c>
      <c r="S20" s="8">
        <f>IF($AP20="","",INDEX('②クラス編成'!$H$9:$H$158,$AP20))</f>
        <v>1</v>
      </c>
      <c r="T20" s="11">
        <f>IF($AP20="","",INDEX('②クラス編成'!$I$9:$I$158,$AP20))</f>
        <v>75.6</v>
      </c>
      <c r="U20" s="11">
        <f>IF($AP20="","",INDEX('②クラス編成'!$J$9:$J$158,$AP20))</f>
        <v>8</v>
      </c>
      <c r="V20" s="8" t="str">
        <f>IF($AP20="","",INDEX('②クラス編成'!$K$9:$K$158,$AP20))</f>
        <v/>
      </c>
      <c r="W20" s="8" t="str">
        <f>IF($AP20="","",INDEX('②クラス編成'!$L$9:$L$158,$AP20))</f>
        <v/>
      </c>
      <c r="X20" s="8" t="str">
        <f>IF($AP20="","",INDEX('②クラス編成'!$M$9:$M$158,$AP20))</f>
        <v/>
      </c>
      <c r="Y20" s="8" t="str">
        <f>IF($AP20="","",INDEX('②クラス編成'!$N$9:$N$158,$AP20))</f>
        <v/>
      </c>
      <c r="Z20" s="12" t="str">
        <f>IF($AP20="","",INDEX('②クラス編成'!$P$9:$P$158,$AP20))</f>
        <v/>
      </c>
      <c r="AB20" s="58">
        <f>IF($AQ20="","",4)</f>
        <v>4</v>
      </c>
      <c r="AC20" s="8">
        <f>IF($AQ20="","",INDEX('②クラス編成'!$D$9:$D$158,$AQ20))</f>
        <v>2118</v>
      </c>
      <c r="AD20" s="59" t="str">
        <f>IF($AQ20="","",INDEX('②クラス編成'!$F$9:$F$158,$AQ20))</f>
        <v>鈴木　悠真</v>
      </c>
      <c r="AE20" s="8" t="str">
        <f>IF($AQ20="","",INDEX('②クラス編成'!$G$9:$G$158,$AQ20))</f>
        <v>男</v>
      </c>
      <c r="AF20" s="8">
        <f>IF($AQ20="","",INDEX('②クラス編成'!$H$9:$H$158,$AQ20))</f>
        <v>1</v>
      </c>
      <c r="AG20" s="11">
        <f>IF($AQ20="","",INDEX('②クラス編成'!$I$9:$I$158,$AQ20))</f>
        <v>59</v>
      </c>
      <c r="AH20" s="11">
        <f>IF($AQ20="","",INDEX('②クラス編成'!$J$9:$J$158,$AQ20))</f>
        <v>7.4</v>
      </c>
      <c r="AI20" s="8" t="str">
        <f>IF($AQ20="","",INDEX('②クラス編成'!$K$9:$K$158,$AQ20))</f>
        <v/>
      </c>
      <c r="AJ20" s="8" t="str">
        <f>IF($AQ20="","",INDEX('②クラス編成'!$L$9:$L$158,$AQ20))</f>
        <v/>
      </c>
      <c r="AK20" s="8" t="str">
        <f>IF($AQ20="","",INDEX('②クラス編成'!$M$9:$M$158,$AQ20))</f>
        <v/>
      </c>
      <c r="AL20" s="8" t="str">
        <f>IF($AQ20="","",INDEX('②クラス編成'!$N$9:$N$158,$AQ20))</f>
        <v/>
      </c>
      <c r="AM20" s="12" t="str">
        <f>IF($AQ20="","",INDEX('②クラス編成'!$P$9:$P$158,$AQ20))</f>
        <v/>
      </c>
      <c r="AO20" s="14">
        <f>IFERROR(MATCH("1-4",'②クラス編成'!$AS$9:$AS$158,0),"")</f>
        <v>17</v>
      </c>
      <c r="AP20" s="14">
        <f>IFERROR(MATCH("2-4",'②クラス編成'!$AS$9:$AS$158,0),"")</f>
        <v>24</v>
      </c>
      <c r="AQ20" s="14">
        <f>IFERROR(MATCH("3-4",'②クラス編成'!$AS$9:$AS$158,0),"")</f>
        <v>18</v>
      </c>
    </row>
    <row r="21">
      <c r="B21" s="58">
        <f>IF($AO21="","",5)</f>
        <v>5</v>
      </c>
      <c r="C21" s="8">
        <f>IF($AO21="","",INDEX('②クラス編成'!$D$9:$D$158,$AO21))</f>
        <v>2125</v>
      </c>
      <c r="D21" s="59" t="str">
        <f>IF($AO21="","",INDEX('②クラス編成'!$F$9:$F$158,$AO21))</f>
        <v>前田　颯太</v>
      </c>
      <c r="E21" s="8" t="str">
        <f>IF($AO21="","",INDEX('②クラス編成'!$G$9:$G$158,$AO21))</f>
        <v>男</v>
      </c>
      <c r="F21" s="8">
        <f>IF($AO21="","",INDEX('②クラス編成'!$H$9:$H$158,$AO21))</f>
        <v>1</v>
      </c>
      <c r="G21" s="11">
        <f>IF($AO21="","",INDEX('②クラス編成'!$I$9:$I$158,$AO21))</f>
        <v>51.4</v>
      </c>
      <c r="H21" s="11">
        <f>IF($AO21="","",INDEX('②クラス編成'!$J$9:$J$158,$AO21))</f>
        <v>8.1</v>
      </c>
      <c r="I21" s="8" t="str">
        <f>IF($AO21="","",INDEX('②クラス編成'!$K$9:$K$158,$AO21))</f>
        <v/>
      </c>
      <c r="J21" s="8" t="str">
        <f>IF($AO21="","",INDEX('②クラス編成'!$L$9:$L$158,$AO21))</f>
        <v/>
      </c>
      <c r="K21" s="8" t="str">
        <f>IF($AO21="","",INDEX('②クラス編成'!$M$9:$M$158,$AO21))</f>
        <v>〇</v>
      </c>
      <c r="L21" s="8" t="str">
        <f>IF($AO21="","",INDEX('②クラス編成'!$N$9:$N$158,$AO21))</f>
        <v/>
      </c>
      <c r="M21" s="12" t="str">
        <f>IF($AO21="","",INDEX('②クラス編成'!$P$9:$P$158,$AO21))</f>
        <v/>
      </c>
      <c r="O21" s="58">
        <f>IF($AP21="","",5)</f>
        <v>5</v>
      </c>
      <c r="P21" s="8">
        <f>IF($AP21="","",INDEX('②クラス編成'!$D$9:$D$158,$AP21))</f>
        <v>2129</v>
      </c>
      <c r="Q21" s="59" t="str">
        <f>IF($AP21="","",INDEX('②クラス編成'!$F$9:$F$158,$AP21))</f>
        <v>宮崎　直樹</v>
      </c>
      <c r="R21" s="8" t="str">
        <f>IF($AP21="","",INDEX('②クラス編成'!$G$9:$G$158,$AP21))</f>
        <v>男</v>
      </c>
      <c r="S21" s="8">
        <f>IF($AP21="","",INDEX('②クラス編成'!$H$9:$H$158,$AP21))</f>
        <v>1</v>
      </c>
      <c r="T21" s="11">
        <f>IF($AP21="","",INDEX('②クラス編成'!$I$9:$I$158,$AP21))</f>
        <v>52.8</v>
      </c>
      <c r="U21" s="11">
        <f>IF($AP21="","",INDEX('②クラス編成'!$J$9:$J$158,$AP21))</f>
        <v>7.5</v>
      </c>
      <c r="V21" s="8" t="str">
        <f>IF($AP21="","",INDEX('②クラス編成'!$K$9:$K$158,$AP21))</f>
        <v/>
      </c>
      <c r="W21" s="8" t="str">
        <f>IF($AP21="","",INDEX('②クラス編成'!$L$9:$L$158,$AP21))</f>
        <v/>
      </c>
      <c r="X21" s="8" t="str">
        <f>IF($AP21="","",INDEX('②クラス編成'!$M$9:$M$158,$AP21))</f>
        <v/>
      </c>
      <c r="Y21" s="8" t="str">
        <f>IF($AP21="","",INDEX('②クラス編成'!$N$9:$N$158,$AP21))</f>
        <v/>
      </c>
      <c r="Z21" s="12" t="str">
        <f>IF($AP21="","",INDEX('②クラス編成'!$P$9:$P$158,$AP21))</f>
        <v/>
      </c>
      <c r="AB21" s="58">
        <f>IF($AQ21="","",5)</f>
        <v>5</v>
      </c>
      <c r="AC21" s="8">
        <f>IF($AQ21="","",INDEX('②クラス編成'!$D$9:$D$158,$AQ21))</f>
        <v>2127</v>
      </c>
      <c r="AD21" s="59" t="str">
        <f>IF($AQ21="","",INDEX('②クラス編成'!$F$9:$F$158,$AQ21))</f>
        <v>宮崎　奏太</v>
      </c>
      <c r="AE21" s="8" t="str">
        <f>IF($AQ21="","",INDEX('②クラス編成'!$G$9:$G$158,$AQ21))</f>
        <v>男</v>
      </c>
      <c r="AF21" s="8">
        <f>IF($AQ21="","",INDEX('②クラス編成'!$H$9:$H$158,$AQ21))</f>
        <v>1</v>
      </c>
      <c r="AG21" s="11">
        <f>IF($AQ21="","",INDEX('②クラス編成'!$I$9:$I$158,$AQ21))</f>
        <v>47.8</v>
      </c>
      <c r="AH21" s="11">
        <f>IF($AQ21="","",INDEX('②クラス編成'!$J$9:$J$158,$AQ21))</f>
        <v>7.8</v>
      </c>
      <c r="AI21" s="8" t="str">
        <f>IF($AQ21="","",INDEX('②クラス編成'!$K$9:$K$158,$AQ21))</f>
        <v/>
      </c>
      <c r="AJ21" s="8" t="str">
        <f>IF($AQ21="","",INDEX('②クラス編成'!$L$9:$L$158,$AQ21))</f>
        <v/>
      </c>
      <c r="AK21" s="8" t="str">
        <f>IF($AQ21="","",INDEX('②クラス編成'!$M$9:$M$158,$AQ21))</f>
        <v/>
      </c>
      <c r="AL21" s="8" t="str">
        <f>IF($AQ21="","",INDEX('②クラス編成'!$N$9:$N$158,$AQ21))</f>
        <v/>
      </c>
      <c r="AM21" s="12" t="str">
        <f>IF($AQ21="","",INDEX('②クラス編成'!$P$9:$P$158,$AQ21))</f>
        <v/>
      </c>
      <c r="AO21" s="14">
        <f>IFERROR(MATCH("1-5",'②クラス編成'!$AS$9:$AS$158,0),"")</f>
        <v>25</v>
      </c>
      <c r="AP21" s="14">
        <f>IFERROR(MATCH("2-5",'②クラス編成'!$AS$9:$AS$158,0),"")</f>
        <v>29</v>
      </c>
      <c r="AQ21" s="14">
        <f>IFERROR(MATCH("3-5",'②クラス編成'!$AS$9:$AS$158,0),"")</f>
        <v>27</v>
      </c>
    </row>
    <row r="22">
      <c r="B22" s="58">
        <f>IF($AO22="","",6)</f>
        <v>6</v>
      </c>
      <c r="C22" s="8">
        <f>IF($AO22="","",INDEX('②クラス編成'!$D$9:$D$158,$AO22))</f>
        <v>2135</v>
      </c>
      <c r="D22" s="59" t="str">
        <f>IF($AO22="","",INDEX('②クラス編成'!$F$9:$F$158,$AO22))</f>
        <v>渡辺　圭吾</v>
      </c>
      <c r="E22" s="8" t="str">
        <f>IF($AO22="","",INDEX('②クラス編成'!$G$9:$G$158,$AO22))</f>
        <v>男</v>
      </c>
      <c r="F22" s="8">
        <f>IF($AO22="","",INDEX('②クラス編成'!$H$9:$H$158,$AO22))</f>
        <v>1</v>
      </c>
      <c r="G22" s="11">
        <f>IF($AO22="","",INDEX('②クラス編成'!$I$9:$I$158,$AO22))</f>
        <v>52.2</v>
      </c>
      <c r="H22" s="11">
        <f>IF($AO22="","",INDEX('②クラス編成'!$J$9:$J$158,$AO22))</f>
        <v>6.8</v>
      </c>
      <c r="I22" s="8" t="str">
        <f>IF($AO22="","",INDEX('②クラス編成'!$K$9:$K$158,$AO22))</f>
        <v/>
      </c>
      <c r="J22" s="8" t="str">
        <f>IF($AO22="","",INDEX('②クラス編成'!$L$9:$L$158,$AO22))</f>
        <v/>
      </c>
      <c r="K22" s="8" t="str">
        <f>IF($AO22="","",INDEX('②クラス編成'!$M$9:$M$158,$AO22))</f>
        <v/>
      </c>
      <c r="L22" s="8" t="str">
        <f>IF($AO22="","",INDEX('②クラス編成'!$N$9:$N$158,$AO22))</f>
        <v/>
      </c>
      <c r="M22" s="12" t="str">
        <f>IF($AO22="","",INDEX('②クラス編成'!$P$9:$P$158,$AO22))</f>
        <v/>
      </c>
      <c r="O22" s="58">
        <f>IF($AP22="","",6)</f>
        <v>6</v>
      </c>
      <c r="P22" s="8">
        <f>IF($AP22="","",INDEX('②クラス編成'!$D$9:$D$158,$AP22))</f>
        <v>2134</v>
      </c>
      <c r="Q22" s="59" t="str">
        <f>IF($AP22="","",INDEX('②クラス編成'!$F$9:$F$158,$AP22))</f>
        <v>山下　律</v>
      </c>
      <c r="R22" s="8" t="str">
        <f>IF($AP22="","",INDEX('②クラス編成'!$G$9:$G$158,$AP22))</f>
        <v>男</v>
      </c>
      <c r="S22" s="8">
        <f>IF($AP22="","",INDEX('②クラス編成'!$H$9:$H$158,$AP22))</f>
        <v>1</v>
      </c>
      <c r="T22" s="11">
        <f>IF($AP22="","",INDEX('②クラス編成'!$I$9:$I$158,$AP22))</f>
        <v>83.6</v>
      </c>
      <c r="U22" s="11">
        <f>IF($AP22="","",INDEX('②クラス編成'!$J$9:$J$158,$AP22))</f>
        <v>7</v>
      </c>
      <c r="V22" s="8" t="str">
        <f>IF($AP22="","",INDEX('②クラス編成'!$K$9:$K$158,$AP22))</f>
        <v>〇</v>
      </c>
      <c r="W22" s="8" t="str">
        <f>IF($AP22="","",INDEX('②クラス編成'!$L$9:$L$158,$AP22))</f>
        <v/>
      </c>
      <c r="X22" s="8" t="str">
        <f>IF($AP22="","",INDEX('②クラス編成'!$M$9:$M$158,$AP22))</f>
        <v/>
      </c>
      <c r="Y22" s="8" t="str">
        <f>IF($AP22="","",INDEX('②クラス編成'!$N$9:$N$158,$AP22))</f>
        <v/>
      </c>
      <c r="Z22" s="12" t="str">
        <f>IF($AP22="","",INDEX('②クラス編成'!$P$9:$P$158,$AP22))</f>
        <v/>
      </c>
      <c r="AB22" s="58">
        <f>IF($AQ22="","",6)</f>
        <v>6</v>
      </c>
      <c r="AC22" s="8">
        <f>IF($AQ22="","",INDEX('②クラス編成'!$D$9:$D$158,$AQ22))</f>
        <v>2128</v>
      </c>
      <c r="AD22" s="59" t="str">
        <f>IF($AQ22="","",INDEX('②クラス編成'!$F$9:$F$158,$AQ22))</f>
        <v>宮崎　圭吾</v>
      </c>
      <c r="AE22" s="8" t="str">
        <f>IF($AQ22="","",INDEX('②クラス編成'!$G$9:$G$158,$AQ22))</f>
        <v>男</v>
      </c>
      <c r="AF22" s="8">
        <f>IF($AQ22="","",INDEX('②クラス編成'!$H$9:$H$158,$AQ22))</f>
        <v>1</v>
      </c>
      <c r="AG22" s="11">
        <f>IF($AQ22="","",INDEX('②クラス編成'!$I$9:$I$158,$AQ22))</f>
        <v>52.6</v>
      </c>
      <c r="AH22" s="11">
        <f>IF($AQ22="","",INDEX('②クラス編成'!$J$9:$J$158,$AQ22))</f>
        <v>7.9</v>
      </c>
      <c r="AI22" s="8" t="str">
        <f>IF($AQ22="","",INDEX('②クラス編成'!$K$9:$K$158,$AQ22))</f>
        <v/>
      </c>
      <c r="AJ22" s="8" t="str">
        <f>IF($AQ22="","",INDEX('②クラス編成'!$L$9:$L$158,$AQ22))</f>
        <v/>
      </c>
      <c r="AK22" s="8" t="str">
        <f>IF($AQ22="","",INDEX('②クラス編成'!$M$9:$M$158,$AQ22))</f>
        <v/>
      </c>
      <c r="AL22" s="8" t="str">
        <f>IF($AQ22="","",INDEX('②クラス編成'!$N$9:$N$158,$AQ22))</f>
        <v/>
      </c>
      <c r="AM22" s="12" t="str">
        <f>IF($AQ22="","",INDEX('②クラス編成'!$P$9:$P$158,$AQ22))</f>
        <v/>
      </c>
      <c r="AO22" s="14">
        <f>IFERROR(MATCH("1-6",'②クラス編成'!$AS$9:$AS$158,0),"")</f>
        <v>35</v>
      </c>
      <c r="AP22" s="14">
        <f>IFERROR(MATCH("2-6",'②クラス編成'!$AS$9:$AS$158,0),"")</f>
        <v>34</v>
      </c>
      <c r="AQ22" s="14">
        <f>IFERROR(MATCH("3-6",'②クラス編成'!$AS$9:$AS$158,0),"")</f>
        <v>28</v>
      </c>
    </row>
    <row r="23">
      <c r="B23" s="58">
        <f>IF($AO23="","",7)</f>
        <v>7</v>
      </c>
      <c r="C23" s="8">
        <f>IF($AO23="","",INDEX('②クラス編成'!$D$9:$D$158,$AO23))</f>
        <v>2204</v>
      </c>
      <c r="D23" s="59" t="str">
        <f>IF($AO23="","",INDEX('②クラス編成'!$F$9:$F$158,$AO23))</f>
        <v>石田　直樹</v>
      </c>
      <c r="E23" s="8" t="str">
        <f>IF($AO23="","",INDEX('②クラス編成'!$G$9:$G$158,$AO23))</f>
        <v>男</v>
      </c>
      <c r="F23" s="8">
        <f>IF($AO23="","",INDEX('②クラス編成'!$H$9:$H$158,$AO23))</f>
        <v>2</v>
      </c>
      <c r="G23" s="11">
        <f>IF($AO23="","",INDEX('②クラス編成'!$I$9:$I$158,$AO23))</f>
        <v>44</v>
      </c>
      <c r="H23" s="11">
        <f>IF($AO23="","",INDEX('②クラス編成'!$J$9:$J$158,$AO23))</f>
        <v>8</v>
      </c>
      <c r="I23" s="8" t="str">
        <f>IF($AO23="","",INDEX('②クラス編成'!$K$9:$K$158,$AO23))</f>
        <v/>
      </c>
      <c r="J23" s="8" t="str">
        <f>IF($AO23="","",INDEX('②クラス編成'!$L$9:$L$158,$AO23))</f>
        <v>〇</v>
      </c>
      <c r="K23" s="8" t="str">
        <f>IF($AO23="","",INDEX('②クラス編成'!$M$9:$M$158,$AO23))</f>
        <v/>
      </c>
      <c r="L23" s="8" t="str">
        <f>IF($AO23="","",INDEX('②クラス編成'!$N$9:$N$158,$AO23))</f>
        <v/>
      </c>
      <c r="M23" s="12" t="str">
        <f>IF($AO23="","",INDEX('②クラス編成'!$P$9:$P$158,$AO23))</f>
        <v/>
      </c>
      <c r="O23" s="58">
        <f>IF($AP23="","",7)</f>
        <v>7</v>
      </c>
      <c r="P23" s="8">
        <f>IF($AP23="","",INDEX('②クラス編成'!$D$9:$D$158,$AP23))</f>
        <v>2212</v>
      </c>
      <c r="Q23" s="59" t="str">
        <f>IF($AP23="","",INDEX('②クラス編成'!$F$9:$F$158,$AP23))</f>
        <v>小野　一輝</v>
      </c>
      <c r="R23" s="8" t="str">
        <f>IF($AP23="","",INDEX('②クラス編成'!$G$9:$G$158,$AP23))</f>
        <v>男</v>
      </c>
      <c r="S23" s="8">
        <f>IF($AP23="","",INDEX('②クラス編成'!$H$9:$H$158,$AP23))</f>
        <v>2</v>
      </c>
      <c r="T23" s="11">
        <f>IF($AP23="","",INDEX('②クラス編成'!$I$9:$I$158,$AP23))</f>
        <v>73.8</v>
      </c>
      <c r="U23" s="11">
        <f>IF($AP23="","",INDEX('②クラス編成'!$J$9:$J$158,$AP23))</f>
        <v>7.8</v>
      </c>
      <c r="V23" s="8" t="str">
        <f>IF($AP23="","",INDEX('②クラス編成'!$K$9:$K$158,$AP23))</f>
        <v/>
      </c>
      <c r="W23" s="8" t="str">
        <f>IF($AP23="","",INDEX('②クラス編成'!$L$9:$L$158,$AP23))</f>
        <v/>
      </c>
      <c r="X23" s="8" t="str">
        <f>IF($AP23="","",INDEX('②クラス編成'!$M$9:$M$158,$AP23))</f>
        <v/>
      </c>
      <c r="Y23" s="8" t="str">
        <f>IF($AP23="","",INDEX('②クラス編成'!$N$9:$N$158,$AP23))</f>
        <v/>
      </c>
      <c r="Z23" s="12" t="str">
        <f>IF($AP23="","",INDEX('②クラス編成'!$P$9:$P$158,$AP23))</f>
        <v/>
      </c>
      <c r="AB23" s="58">
        <f>IF($AQ23="","",7)</f>
        <v>7</v>
      </c>
      <c r="AC23" s="8">
        <f>IF($AQ23="","",INDEX('②クラス編成'!$D$9:$D$158,$AQ23))</f>
        <v>2206</v>
      </c>
      <c r="AD23" s="59" t="str">
        <f>IF($AQ23="","",INDEX('②クラス編成'!$F$9:$F$158,$AQ23))</f>
        <v>石田　陸</v>
      </c>
      <c r="AE23" s="8" t="str">
        <f>IF($AQ23="","",INDEX('②クラス編成'!$G$9:$G$158,$AQ23))</f>
        <v>男</v>
      </c>
      <c r="AF23" s="8">
        <f>IF($AQ23="","",INDEX('②クラス編成'!$H$9:$H$158,$AQ23))</f>
        <v>2</v>
      </c>
      <c r="AG23" s="11">
        <f>IF($AQ23="","",INDEX('②クラス編成'!$I$9:$I$158,$AQ23))</f>
        <v>80.2</v>
      </c>
      <c r="AH23" s="11">
        <f>IF($AQ23="","",INDEX('②クラス編成'!$J$9:$J$158,$AQ23))</f>
        <v>7</v>
      </c>
      <c r="AI23" s="8" t="str">
        <f>IF($AQ23="","",INDEX('②クラス編成'!$K$9:$K$158,$AQ23))</f>
        <v/>
      </c>
      <c r="AJ23" s="8" t="str">
        <f>IF($AQ23="","",INDEX('②クラス編成'!$L$9:$L$158,$AQ23))</f>
        <v/>
      </c>
      <c r="AK23" s="8" t="str">
        <f>IF($AQ23="","",INDEX('②クラス編成'!$M$9:$M$158,$AQ23))</f>
        <v>〇</v>
      </c>
      <c r="AL23" s="8" t="str">
        <f>IF($AQ23="","",INDEX('②クラス編成'!$N$9:$N$158,$AQ23))</f>
        <v/>
      </c>
      <c r="AM23" s="12" t="str">
        <f>IF($AQ23="","",INDEX('②クラス編成'!$P$9:$P$158,$AQ23))</f>
        <v/>
      </c>
      <c r="AO23" s="14">
        <f>IFERROR(MATCH("1-7",'②クラス編成'!$AS$9:$AS$158,0),"")</f>
        <v>39</v>
      </c>
      <c r="AP23" s="14">
        <f>IFERROR(MATCH("2-7",'②クラス編成'!$AS$9:$AS$158,0),"")</f>
        <v>47</v>
      </c>
      <c r="AQ23" s="14">
        <f>IFERROR(MATCH("3-7",'②クラス編成'!$AS$9:$AS$158,0),"")</f>
        <v>41</v>
      </c>
    </row>
    <row r="24">
      <c r="B24" s="58">
        <f>IF($AO24="","",8)</f>
        <v>8</v>
      </c>
      <c r="C24" s="8">
        <f>IF($AO24="","",INDEX('②クラス編成'!$D$9:$D$158,$AO24))</f>
        <v>2210</v>
      </c>
      <c r="D24" s="59" t="str">
        <f>IF($AO24="","",INDEX('②クラス編成'!$F$9:$F$158,$AO24))</f>
        <v>岡田　樹</v>
      </c>
      <c r="E24" s="8" t="str">
        <f>IF($AO24="","",INDEX('②クラス編成'!$G$9:$G$158,$AO24))</f>
        <v>男</v>
      </c>
      <c r="F24" s="8">
        <f>IF($AO24="","",INDEX('②クラス編成'!$H$9:$H$158,$AO24))</f>
        <v>2</v>
      </c>
      <c r="G24" s="11">
        <f>IF($AO24="","",INDEX('②クラス編成'!$I$9:$I$158,$AO24))</f>
        <v>53</v>
      </c>
      <c r="H24" s="11">
        <f>IF($AO24="","",INDEX('②クラス編成'!$J$9:$J$158,$AO24))</f>
        <v>6.8</v>
      </c>
      <c r="I24" s="8" t="str">
        <f>IF($AO24="","",INDEX('②クラス編成'!$K$9:$K$158,$AO24))</f>
        <v/>
      </c>
      <c r="J24" s="8" t="str">
        <f>IF($AO24="","",INDEX('②クラス編成'!$L$9:$L$158,$AO24))</f>
        <v>〇</v>
      </c>
      <c r="K24" s="8" t="str">
        <f>IF($AO24="","",INDEX('②クラス編成'!$M$9:$M$158,$AO24))</f>
        <v/>
      </c>
      <c r="L24" s="8" t="str">
        <f>IF($AO24="","",INDEX('②クラス編成'!$N$9:$N$158,$AO24))</f>
        <v/>
      </c>
      <c r="M24" s="12" t="str">
        <f>IF($AO24="","",INDEX('②クラス編成'!$P$9:$P$158,$AO24))</f>
        <v/>
      </c>
      <c r="O24" s="58">
        <f>IF($AP24="","",8)</f>
        <v>8</v>
      </c>
      <c r="P24" s="8">
        <f>IF($AP24="","",INDEX('②クラス編成'!$D$9:$D$158,$AP24))</f>
        <v>2215</v>
      </c>
      <c r="Q24" s="59" t="str">
        <f>IF($AP24="","",INDEX('②クラス編成'!$F$9:$F$158,$AP24))</f>
        <v>金子　颯太</v>
      </c>
      <c r="R24" s="8" t="str">
        <f>IF($AP24="","",INDEX('②クラス編成'!$G$9:$G$158,$AP24))</f>
        <v>男</v>
      </c>
      <c r="S24" s="8">
        <f>IF($AP24="","",INDEX('②クラス編成'!$H$9:$H$158,$AP24))</f>
        <v>2</v>
      </c>
      <c r="T24" s="11">
        <f>IF($AP24="","",INDEX('②クラス編成'!$I$9:$I$158,$AP24))</f>
        <v>44.8</v>
      </c>
      <c r="U24" s="11">
        <f>IF($AP24="","",INDEX('②クラス編成'!$J$9:$J$158,$AP24))</f>
        <v>8.1</v>
      </c>
      <c r="V24" s="8" t="str">
        <f>IF($AP24="","",INDEX('②クラス編成'!$K$9:$K$158,$AP24))</f>
        <v/>
      </c>
      <c r="W24" s="8" t="str">
        <f>IF($AP24="","",INDEX('②クラス編成'!$L$9:$L$158,$AP24))</f>
        <v/>
      </c>
      <c r="X24" s="8" t="str">
        <f>IF($AP24="","",INDEX('②クラス編成'!$M$9:$M$158,$AP24))</f>
        <v/>
      </c>
      <c r="Y24" s="8" t="str">
        <f>IF($AP24="","",INDEX('②クラス編成'!$N$9:$N$158,$AP24))</f>
        <v/>
      </c>
      <c r="Z24" s="12" t="str">
        <f>IF($AP24="","",INDEX('②クラス編成'!$P$9:$P$158,$AP24))</f>
        <v/>
      </c>
      <c r="AB24" s="58">
        <f>IF($AQ24="","",8)</f>
        <v>8</v>
      </c>
      <c r="AC24" s="8">
        <f>IF($AQ24="","",INDEX('②クラス編成'!$D$9:$D$158,$AQ24))</f>
        <v>2213</v>
      </c>
      <c r="AD24" s="59" t="str">
        <f>IF($AQ24="","",INDEX('②クラス編成'!$F$9:$F$158,$AQ24))</f>
        <v>小野　翔太</v>
      </c>
      <c r="AE24" s="8" t="str">
        <f>IF($AQ24="","",INDEX('②クラス編成'!$G$9:$G$158,$AQ24))</f>
        <v>男</v>
      </c>
      <c r="AF24" s="8">
        <f>IF($AQ24="","",INDEX('②クラス編成'!$H$9:$H$158,$AQ24))</f>
        <v>2</v>
      </c>
      <c r="AG24" s="11">
        <f>IF($AQ24="","",INDEX('②クラス編成'!$I$9:$I$158,$AQ24))</f>
        <v>44.6</v>
      </c>
      <c r="AH24" s="11">
        <f>IF($AQ24="","",INDEX('②クラス編成'!$J$9:$J$158,$AQ24))</f>
        <v>7.5</v>
      </c>
      <c r="AI24" s="8" t="str">
        <f>IF($AQ24="","",INDEX('②クラス編成'!$K$9:$K$158,$AQ24))</f>
        <v/>
      </c>
      <c r="AJ24" s="8" t="str">
        <f>IF($AQ24="","",INDEX('②クラス編成'!$L$9:$L$158,$AQ24))</f>
        <v/>
      </c>
      <c r="AK24" s="8" t="str">
        <f>IF($AQ24="","",INDEX('②クラス編成'!$M$9:$M$158,$AQ24))</f>
        <v/>
      </c>
      <c r="AL24" s="8" t="str">
        <f>IF($AQ24="","",INDEX('②クラス編成'!$N$9:$N$158,$AQ24))</f>
        <v/>
      </c>
      <c r="AM24" s="12" t="str">
        <f>IF($AQ24="","",INDEX('②クラス編成'!$P$9:$P$158,$AQ24))</f>
        <v/>
      </c>
      <c r="AO24" s="14">
        <f>IFERROR(MATCH("1-8",'②クラス編成'!$AS$9:$AS$158,0),"")</f>
        <v>45</v>
      </c>
      <c r="AP24" s="14">
        <f>IFERROR(MATCH("2-8",'②クラス編成'!$AS$9:$AS$158,0),"")</f>
        <v>50</v>
      </c>
      <c r="AQ24" s="14">
        <f>IFERROR(MATCH("3-8",'②クラス編成'!$AS$9:$AS$158,0),"")</f>
        <v>48</v>
      </c>
    </row>
    <row r="25">
      <c r="B25" s="58">
        <f>IF($AO25="","",9)</f>
        <v>9</v>
      </c>
      <c r="C25" s="8">
        <f>IF($AO25="","",INDEX('②クラス編成'!$D$9:$D$158,$AO25))</f>
        <v>2218</v>
      </c>
      <c r="D25" s="59" t="str">
        <f>IF($AO25="","",INDEX('②クラス編成'!$F$9:$F$158,$AO25))</f>
        <v>柴田　大和</v>
      </c>
      <c r="E25" s="8" t="str">
        <f>IF($AO25="","",INDEX('②クラス編成'!$G$9:$G$158,$AO25))</f>
        <v>男</v>
      </c>
      <c r="F25" s="8">
        <f>IF($AO25="","",INDEX('②クラス編成'!$H$9:$H$158,$AO25))</f>
        <v>2</v>
      </c>
      <c r="G25" s="11">
        <f>IF($AO25="","",INDEX('②クラス編成'!$I$9:$I$158,$AO25))</f>
        <v>77.4</v>
      </c>
      <c r="H25" s="11">
        <f>IF($AO25="","",INDEX('②クラス編成'!$J$9:$J$158,$AO25))</f>
        <v>7.9</v>
      </c>
      <c r="I25" s="8" t="str">
        <f>IF($AO25="","",INDEX('②クラス編成'!$K$9:$K$158,$AO25))</f>
        <v/>
      </c>
      <c r="J25" s="8" t="str">
        <f>IF($AO25="","",INDEX('②クラス編成'!$L$9:$L$158,$AO25))</f>
        <v/>
      </c>
      <c r="K25" s="8" t="str">
        <f>IF($AO25="","",INDEX('②クラス編成'!$M$9:$M$158,$AO25))</f>
        <v/>
      </c>
      <c r="L25" s="8" t="str">
        <f>IF($AO25="","",INDEX('②クラス編成'!$N$9:$N$158,$AO25))</f>
        <v/>
      </c>
      <c r="M25" s="12" t="str">
        <f>IF($AO25="","",INDEX('②クラス編成'!$P$9:$P$158,$AO25))</f>
        <v/>
      </c>
      <c r="O25" s="58">
        <f>IF($AP25="","",9)</f>
        <v>9</v>
      </c>
      <c r="P25" s="8">
        <f>IF($AP25="","",INDEX('②クラス編成'!$D$9:$D$158,$AP25))</f>
        <v>2217</v>
      </c>
      <c r="Q25" s="59" t="str">
        <f>IF($AP25="","",INDEX('②クラス編成'!$F$9:$F$158,$AP25))</f>
        <v>佐藤　大和</v>
      </c>
      <c r="R25" s="8" t="str">
        <f>IF($AP25="","",INDEX('②クラス編成'!$G$9:$G$158,$AP25))</f>
        <v>男</v>
      </c>
      <c r="S25" s="8">
        <f>IF($AP25="","",INDEX('②クラス編成'!$H$9:$H$158,$AP25))</f>
        <v>2</v>
      </c>
      <c r="T25" s="11">
        <f>IF($AP25="","",INDEX('②クラス編成'!$I$9:$I$158,$AP25))</f>
        <v>49.8</v>
      </c>
      <c r="U25" s="11">
        <f>IF($AP25="","",INDEX('②クラス編成'!$J$9:$J$158,$AP25))</f>
        <v>7.6</v>
      </c>
      <c r="V25" s="8" t="str">
        <f>IF($AP25="","",INDEX('②クラス編成'!$K$9:$K$158,$AP25))</f>
        <v/>
      </c>
      <c r="W25" s="8" t="str">
        <f>IF($AP25="","",INDEX('②クラス編成'!$L$9:$L$158,$AP25))</f>
        <v/>
      </c>
      <c r="X25" s="8" t="str">
        <f>IF($AP25="","",INDEX('②クラス編成'!$M$9:$M$158,$AP25))</f>
        <v/>
      </c>
      <c r="Y25" s="8" t="str">
        <f>IF($AP25="","",INDEX('②クラス編成'!$N$9:$N$158,$AP25))</f>
        <v/>
      </c>
      <c r="Z25" s="12" t="str">
        <f>IF($AP25="","",INDEX('②クラス編成'!$P$9:$P$158,$AP25))</f>
        <v/>
      </c>
      <c r="AB25" s="58">
        <f>IF($AQ25="","",9)</f>
        <v>9</v>
      </c>
      <c r="AC25" s="8">
        <f>IF($AQ25="","",INDEX('②クラス編成'!$D$9:$D$158,$AQ25))</f>
        <v>2221</v>
      </c>
      <c r="AD25" s="59" t="str">
        <f>IF($AQ25="","",INDEX('②クラス編成'!$F$9:$F$158,$AQ25))</f>
        <v>竹内　律</v>
      </c>
      <c r="AE25" s="8" t="str">
        <f>IF($AQ25="","",INDEX('②クラス編成'!$G$9:$G$158,$AQ25))</f>
        <v>男</v>
      </c>
      <c r="AF25" s="8">
        <f>IF($AQ25="","",INDEX('②クラス編成'!$H$9:$H$158,$AQ25))</f>
        <v>2</v>
      </c>
      <c r="AG25" s="11">
        <f>IF($AQ25="","",INDEX('②クラス編成'!$I$9:$I$158,$AQ25))</f>
        <v>65.4</v>
      </c>
      <c r="AH25" s="11">
        <f>IF($AQ25="","",INDEX('②クラス編成'!$J$9:$J$158,$AQ25))</f>
        <v>8.2</v>
      </c>
      <c r="AI25" s="8" t="str">
        <f>IF($AQ25="","",INDEX('②クラス編成'!$K$9:$K$158,$AQ25))</f>
        <v/>
      </c>
      <c r="AJ25" s="8" t="str">
        <f>IF($AQ25="","",INDEX('②クラス編成'!$L$9:$L$158,$AQ25))</f>
        <v/>
      </c>
      <c r="AK25" s="8" t="str">
        <f>IF($AQ25="","",INDEX('②クラス編成'!$M$9:$M$158,$AQ25))</f>
        <v>〇</v>
      </c>
      <c r="AL25" s="8" t="str">
        <f>IF($AQ25="","",INDEX('②クラス編成'!$N$9:$N$158,$AQ25))</f>
        <v/>
      </c>
      <c r="AM25" s="12" t="str">
        <f>IF($AQ25="","",INDEX('②クラス編成'!$P$9:$P$158,$AQ25))</f>
        <v/>
      </c>
      <c r="AO25" s="14">
        <f>IFERROR(MATCH("1-9",'②クラス編成'!$AS$9:$AS$158,0),"")</f>
        <v>53</v>
      </c>
      <c r="AP25" s="14">
        <f>IFERROR(MATCH("2-9",'②クラス編成'!$AS$9:$AS$158,0),"")</f>
        <v>52</v>
      </c>
      <c r="AQ25" s="14">
        <f>IFERROR(MATCH("3-9",'②クラス編成'!$AS$9:$AS$158,0),"")</f>
        <v>56</v>
      </c>
    </row>
    <row r="26">
      <c r="B26" s="58">
        <f>IF($AO26="","",10)</f>
        <v>10</v>
      </c>
      <c r="C26" s="8">
        <f>IF($AO26="","",INDEX('②クラス編成'!$D$9:$D$158,$AO26))</f>
        <v>2220</v>
      </c>
      <c r="D26" s="59" t="str">
        <f>IF($AO26="","",INDEX('②クラス編成'!$F$9:$F$158,$AO26))</f>
        <v>竹内　駿</v>
      </c>
      <c r="E26" s="8" t="str">
        <f>IF($AO26="","",INDEX('②クラス編成'!$G$9:$G$158,$AO26))</f>
        <v>男</v>
      </c>
      <c r="F26" s="8">
        <f>IF($AO26="","",INDEX('②クラス編成'!$H$9:$H$158,$AO26))</f>
        <v>2</v>
      </c>
      <c r="G26" s="11">
        <f>IF($AO26="","",INDEX('②クラス編成'!$I$9:$I$158,$AO26))</f>
        <v>54.4</v>
      </c>
      <c r="H26" s="11">
        <f>IF($AO26="","",INDEX('②クラス編成'!$J$9:$J$158,$AO26))</f>
        <v>8</v>
      </c>
      <c r="I26" s="8" t="str">
        <f>IF($AO26="","",INDEX('②クラス編成'!$K$9:$K$158,$AO26))</f>
        <v/>
      </c>
      <c r="J26" s="8" t="str">
        <f>IF($AO26="","",INDEX('②クラス編成'!$L$9:$L$158,$AO26))</f>
        <v/>
      </c>
      <c r="K26" s="8" t="str">
        <f>IF($AO26="","",INDEX('②クラス編成'!$M$9:$M$158,$AO26))</f>
        <v/>
      </c>
      <c r="L26" s="8" t="str">
        <f>IF($AO26="","",INDEX('②クラス編成'!$N$9:$N$158,$AO26))</f>
        <v/>
      </c>
      <c r="M26" s="12" t="str">
        <f>IF($AO26="","",INDEX('②クラス編成'!$P$9:$P$158,$AO26))</f>
        <v/>
      </c>
      <c r="O26" s="58">
        <f>IF($AP26="","",10)</f>
        <v>10</v>
      </c>
      <c r="P26" s="8">
        <f>IF($AP26="","",INDEX('②クラス編成'!$D$9:$D$158,$AP26))</f>
        <v>2222</v>
      </c>
      <c r="Q26" s="59" t="str">
        <f>IF($AP26="","",INDEX('②クラス編成'!$F$9:$F$158,$AP26))</f>
        <v>中山　颯太</v>
      </c>
      <c r="R26" s="8" t="str">
        <f>IF($AP26="","",INDEX('②クラス編成'!$G$9:$G$158,$AP26))</f>
        <v>男</v>
      </c>
      <c r="S26" s="8">
        <f>IF($AP26="","",INDEX('②クラス編成'!$H$9:$H$158,$AP26))</f>
        <v>2</v>
      </c>
      <c r="T26" s="11">
        <f>IF($AP26="","",INDEX('②クラス編成'!$I$9:$I$158,$AP26))</f>
        <v>63.6</v>
      </c>
      <c r="U26" s="11">
        <f>IF($AP26="","",INDEX('②クラス編成'!$J$9:$J$158,$AP26))</f>
        <v>8.1</v>
      </c>
      <c r="V26" s="8" t="str">
        <f>IF($AP26="","",INDEX('②クラス編成'!$K$9:$K$158,$AP26))</f>
        <v/>
      </c>
      <c r="W26" s="8" t="str">
        <f>IF($AP26="","",INDEX('②クラス編成'!$L$9:$L$158,$AP26))</f>
        <v/>
      </c>
      <c r="X26" s="8" t="str">
        <f>IF($AP26="","",INDEX('②クラス編成'!$M$9:$M$158,$AP26))</f>
        <v/>
      </c>
      <c r="Y26" s="8" t="str">
        <f>IF($AP26="","",INDEX('②クラス編成'!$N$9:$N$158,$AP26))</f>
        <v>〇</v>
      </c>
      <c r="Z26" s="12" t="str">
        <f>IF($AP26="","",INDEX('②クラス編成'!$P$9:$P$158,$AP26))</f>
        <v/>
      </c>
      <c r="AB26" s="58">
        <f>IF($AQ26="","",10)</f>
        <v>10</v>
      </c>
      <c r="AC26" s="8">
        <f>IF($AQ26="","",INDEX('②クラス編成'!$D$9:$D$158,$AQ26))</f>
        <v>2225</v>
      </c>
      <c r="AD26" s="59" t="str">
        <f>IF($AQ26="","",INDEX('②クラス編成'!$F$9:$F$158,$AQ26))</f>
        <v>藤井　大和</v>
      </c>
      <c r="AE26" s="8" t="str">
        <f>IF($AQ26="","",INDEX('②クラス編成'!$G$9:$G$158,$AQ26))</f>
        <v>男</v>
      </c>
      <c r="AF26" s="8">
        <f>IF($AQ26="","",INDEX('②クラス編成'!$H$9:$H$158,$AQ26))</f>
        <v>2</v>
      </c>
      <c r="AG26" s="11">
        <f>IF($AQ26="","",INDEX('②クラス編成'!$I$9:$I$158,$AQ26))</f>
        <v>78</v>
      </c>
      <c r="AH26" s="11">
        <f>IF($AQ26="","",INDEX('②クラス編成'!$J$9:$J$158,$AQ26))</f>
        <v>7.2</v>
      </c>
      <c r="AI26" s="8" t="str">
        <f>IF($AQ26="","",INDEX('②クラス編成'!$K$9:$K$158,$AQ26))</f>
        <v/>
      </c>
      <c r="AJ26" s="8" t="str">
        <f>IF($AQ26="","",INDEX('②クラス編成'!$L$9:$L$158,$AQ26))</f>
        <v/>
      </c>
      <c r="AK26" s="8" t="str">
        <f>IF($AQ26="","",INDEX('②クラス編成'!$M$9:$M$158,$AQ26))</f>
        <v/>
      </c>
      <c r="AL26" s="8" t="str">
        <f>IF($AQ26="","",INDEX('②クラス編成'!$N$9:$N$158,$AQ26))</f>
        <v/>
      </c>
      <c r="AM26" s="12" t="str">
        <f>IF($AQ26="","",INDEX('②クラス編成'!$P$9:$P$158,$AQ26))</f>
        <v/>
      </c>
      <c r="AO26" s="14">
        <f>IFERROR(MATCH("1-10",'②クラス編成'!$AS$9:$AS$158,0),"")</f>
        <v>55</v>
      </c>
      <c r="AP26" s="14">
        <f>IFERROR(MATCH("2-10",'②クラス編成'!$AS$9:$AS$158,0),"")</f>
        <v>57</v>
      </c>
      <c r="AQ26" s="14">
        <f>IFERROR(MATCH("3-10",'②クラス編成'!$AS$9:$AS$158,0),"")</f>
        <v>60</v>
      </c>
    </row>
    <row r="27">
      <c r="B27" s="58">
        <f>IF($AO27="","",11)</f>
        <v>11</v>
      </c>
      <c r="C27" s="8">
        <f>IF($AO27="","",INDEX('②クラス編成'!$D$9:$D$158,$AO27))</f>
        <v>2234</v>
      </c>
      <c r="D27" s="59" t="str">
        <f>IF($AO27="","",INDEX('②クラス編成'!$F$9:$F$158,$AO27))</f>
        <v>吉田　陽翔</v>
      </c>
      <c r="E27" s="8" t="str">
        <f>IF($AO27="","",INDEX('②クラス編成'!$G$9:$G$158,$AO27))</f>
        <v>男</v>
      </c>
      <c r="F27" s="8">
        <f>IF($AO27="","",INDEX('②クラス編成'!$H$9:$H$158,$AO27))</f>
        <v>2</v>
      </c>
      <c r="G27" s="11">
        <f>IF($AO27="","",INDEX('②クラス編成'!$I$9:$I$158,$AO27))</f>
        <v>55</v>
      </c>
      <c r="H27" s="11">
        <f>IF($AO27="","",INDEX('②クラス編成'!$J$9:$J$158,$AO27))</f>
        <v>7.9</v>
      </c>
      <c r="I27" s="8" t="str">
        <f>IF($AO27="","",INDEX('②クラス編成'!$K$9:$K$158,$AO27))</f>
        <v/>
      </c>
      <c r="J27" s="8" t="str">
        <f>IF($AO27="","",INDEX('②クラス編成'!$L$9:$L$158,$AO27))</f>
        <v/>
      </c>
      <c r="K27" s="8" t="str">
        <f>IF($AO27="","",INDEX('②クラス編成'!$M$9:$M$158,$AO27))</f>
        <v/>
      </c>
      <c r="L27" s="8" t="str">
        <f>IF($AO27="","",INDEX('②クラス編成'!$N$9:$N$158,$AO27))</f>
        <v/>
      </c>
      <c r="M27" s="12" t="str">
        <f>IF($AO27="","",INDEX('②クラス編成'!$P$9:$P$158,$AO27))</f>
        <v>伊藤　美桜</v>
      </c>
      <c r="O27" s="58">
        <f>IF($AP27="","",11)</f>
        <v>11</v>
      </c>
      <c r="P27" s="8">
        <f>IF($AP27="","",INDEX('②クラス編成'!$D$9:$D$158,$AP27))</f>
        <v>2227</v>
      </c>
      <c r="Q27" s="59" t="str">
        <f>IF($AP27="","",INDEX('②クラス編成'!$F$9:$F$158,$AP27))</f>
        <v>三浦　蓮</v>
      </c>
      <c r="R27" s="8" t="str">
        <f>IF($AP27="","",INDEX('②クラス編成'!$G$9:$G$158,$AP27))</f>
        <v>男</v>
      </c>
      <c r="S27" s="8">
        <f>IF($AP27="","",INDEX('②クラス編成'!$H$9:$H$158,$AP27))</f>
        <v>2</v>
      </c>
      <c r="T27" s="11">
        <f>IF($AP27="","",INDEX('②クラス編成'!$I$9:$I$158,$AP27))</f>
        <v>64.4</v>
      </c>
      <c r="U27" s="11">
        <f>IF($AP27="","",INDEX('②クラス編成'!$J$9:$J$158,$AP27))</f>
        <v>8.4</v>
      </c>
      <c r="V27" s="8" t="str">
        <f>IF($AP27="","",INDEX('②クラス編成'!$K$9:$K$158,$AP27))</f>
        <v/>
      </c>
      <c r="W27" s="8" t="str">
        <f>IF($AP27="","",INDEX('②クラス編成'!$L$9:$L$158,$AP27))</f>
        <v/>
      </c>
      <c r="X27" s="8" t="str">
        <f>IF($AP27="","",INDEX('②クラス編成'!$M$9:$M$158,$AP27))</f>
        <v/>
      </c>
      <c r="Y27" s="8" t="str">
        <f>IF($AP27="","",INDEX('②クラス編成'!$N$9:$N$158,$AP27))</f>
        <v/>
      </c>
      <c r="Z27" s="12" t="str">
        <f>IF($AP27="","",INDEX('②クラス編成'!$P$9:$P$158,$AP27))</f>
        <v/>
      </c>
      <c r="AB27" s="58">
        <f>IF($AQ27="","",11)</f>
        <v>11</v>
      </c>
      <c r="AC27" s="8">
        <f>IF($AQ27="","",INDEX('②クラス編成'!$D$9:$D$158,$AQ27))</f>
        <v>2230</v>
      </c>
      <c r="AD27" s="59" t="str">
        <f>IF($AQ27="","",INDEX('②クラス編成'!$F$9:$F$158,$AQ27))</f>
        <v>森田　奏太</v>
      </c>
      <c r="AE27" s="8" t="str">
        <f>IF($AQ27="","",INDEX('②クラス編成'!$G$9:$G$158,$AQ27))</f>
        <v>男</v>
      </c>
      <c r="AF27" s="8">
        <f>IF($AQ27="","",INDEX('②クラス編成'!$H$9:$H$158,$AQ27))</f>
        <v>2</v>
      </c>
      <c r="AG27" s="11">
        <f>IF($AQ27="","",INDEX('②クラス編成'!$I$9:$I$158,$AQ27))</f>
        <v>61</v>
      </c>
      <c r="AH27" s="11">
        <f>IF($AQ27="","",INDEX('②クラス編成'!$J$9:$J$158,$AQ27))</f>
        <v>7.8</v>
      </c>
      <c r="AI27" s="8" t="str">
        <f>IF($AQ27="","",INDEX('②クラス編成'!$K$9:$K$158,$AQ27))</f>
        <v/>
      </c>
      <c r="AJ27" s="8" t="str">
        <f>IF($AQ27="","",INDEX('②クラス編成'!$L$9:$L$158,$AQ27))</f>
        <v/>
      </c>
      <c r="AK27" s="8" t="str">
        <f>IF($AQ27="","",INDEX('②クラス編成'!$M$9:$M$158,$AQ27))</f>
        <v/>
      </c>
      <c r="AL27" s="8" t="str">
        <f>IF($AQ27="","",INDEX('②クラス編成'!$N$9:$N$158,$AQ27))</f>
        <v/>
      </c>
      <c r="AM27" s="12" t="str">
        <f>IF($AQ27="","",INDEX('②クラス編成'!$P$9:$P$158,$AQ27))</f>
        <v/>
      </c>
      <c r="AO27" s="14">
        <f>IFERROR(MATCH("1-11",'②クラス編成'!$AS$9:$AS$158,0),"")</f>
        <v>69</v>
      </c>
      <c r="AP27" s="14">
        <f>IFERROR(MATCH("2-11",'②クラス編成'!$AS$9:$AS$158,0),"")</f>
        <v>62</v>
      </c>
      <c r="AQ27" s="14">
        <f>IFERROR(MATCH("3-11",'②クラス編成'!$AS$9:$AS$158,0),"")</f>
        <v>65</v>
      </c>
    </row>
    <row r="28">
      <c r="B28" s="58">
        <f>IF($AO28="","",12)</f>
        <v>12</v>
      </c>
      <c r="C28" s="8">
        <f>IF($AO28="","",INDEX('②クラス編成'!$D$9:$D$158,$AO28))</f>
        <v>2235</v>
      </c>
      <c r="D28" s="59" t="str">
        <f>IF($AO28="","",INDEX('②クラス編成'!$F$9:$F$158,$AO28))</f>
        <v>渡辺　奏太</v>
      </c>
      <c r="E28" s="8" t="str">
        <f>IF($AO28="","",INDEX('②クラス編成'!$G$9:$G$158,$AO28))</f>
        <v>男</v>
      </c>
      <c r="F28" s="8">
        <f>IF($AO28="","",INDEX('②クラス編成'!$H$9:$H$158,$AO28))</f>
        <v>2</v>
      </c>
      <c r="G28" s="11">
        <f>IF($AO28="","",INDEX('②クラス編成'!$I$9:$I$158,$AO28))</f>
        <v>45.2</v>
      </c>
      <c r="H28" s="11">
        <f>IF($AO28="","",INDEX('②クラス編成'!$J$9:$J$158,$AO28))</f>
        <v>8.1</v>
      </c>
      <c r="I28" s="8" t="str">
        <f>IF($AO28="","",INDEX('②クラス編成'!$K$9:$K$158,$AO28))</f>
        <v/>
      </c>
      <c r="J28" s="8" t="str">
        <f>IF($AO28="","",INDEX('②クラス編成'!$L$9:$L$158,$AO28))</f>
        <v/>
      </c>
      <c r="K28" s="8" t="str">
        <f>IF($AO28="","",INDEX('②クラス編成'!$M$9:$M$158,$AO28))</f>
        <v/>
      </c>
      <c r="L28" s="8" t="str">
        <f>IF($AO28="","",INDEX('②クラス編成'!$N$9:$N$158,$AO28))</f>
        <v/>
      </c>
      <c r="M28" s="12" t="str">
        <f>IF($AO28="","",INDEX('②クラス編成'!$P$9:$P$158,$AO28))</f>
        <v/>
      </c>
      <c r="O28" s="58">
        <f>IF($AP28="","",12)</f>
        <v>12</v>
      </c>
      <c r="P28" s="8">
        <f>IF($AP28="","",INDEX('②クラス編成'!$D$9:$D$158,$AP28))</f>
        <v>2229</v>
      </c>
      <c r="Q28" s="59" t="str">
        <f>IF($AP28="","",INDEX('②クラス編成'!$F$9:$F$158,$AP28))</f>
        <v>森　大翔</v>
      </c>
      <c r="R28" s="8" t="str">
        <f>IF($AP28="","",INDEX('②クラス編成'!$G$9:$G$158,$AP28))</f>
        <v>男</v>
      </c>
      <c r="S28" s="8">
        <f>IF($AP28="","",INDEX('②クラス編成'!$H$9:$H$158,$AP28))</f>
        <v>2</v>
      </c>
      <c r="T28" s="11">
        <f>IF($AP28="","",INDEX('②クラス編成'!$I$9:$I$158,$AP28))</f>
        <v>79.8</v>
      </c>
      <c r="U28" s="11">
        <f>IF($AP28="","",INDEX('②クラス編成'!$J$9:$J$158,$AP28))</f>
        <v>7.7</v>
      </c>
      <c r="V28" s="8" t="str">
        <f>IF($AP28="","",INDEX('②クラス編成'!$K$9:$K$158,$AP28))</f>
        <v/>
      </c>
      <c r="W28" s="8" t="str">
        <f>IF($AP28="","",INDEX('②クラス編成'!$L$9:$L$158,$AP28))</f>
        <v/>
      </c>
      <c r="X28" s="8" t="str">
        <f>IF($AP28="","",INDEX('②クラス編成'!$M$9:$M$158,$AP28))</f>
        <v/>
      </c>
      <c r="Y28" s="8" t="str">
        <f>IF($AP28="","",INDEX('②クラス編成'!$N$9:$N$158,$AP28))</f>
        <v>〇</v>
      </c>
      <c r="Z28" s="12" t="str">
        <f>IF($AP28="","",INDEX('②クラス編成'!$P$9:$P$158,$AP28))</f>
        <v/>
      </c>
      <c r="AB28" s="58">
        <f>IF($AQ28="","",12)</f>
        <v>12</v>
      </c>
      <c r="AC28" s="8">
        <f>IF($AQ28="","",INDEX('②クラス編成'!$D$9:$D$158,$AQ28))</f>
        <v>2301</v>
      </c>
      <c r="AD28" s="59" t="str">
        <f>IF($AQ28="","",INDEX('②クラス編成'!$F$9:$F$158,$AQ28))</f>
        <v>石井　大翔</v>
      </c>
      <c r="AE28" s="8" t="str">
        <f>IF($AQ28="","",INDEX('②クラス編成'!$G$9:$G$158,$AQ28))</f>
        <v>男</v>
      </c>
      <c r="AF28" s="8">
        <f>IF($AQ28="","",INDEX('②クラス編成'!$H$9:$H$158,$AQ28))</f>
        <v>3</v>
      </c>
      <c r="AG28" s="11">
        <f>IF($AQ28="","",INDEX('②クラス編成'!$I$9:$I$158,$AQ28))</f>
        <v>93.6</v>
      </c>
      <c r="AH28" s="11">
        <f>IF($AQ28="","",INDEX('②クラス編成'!$J$9:$J$158,$AQ28))</f>
        <v>8.3</v>
      </c>
      <c r="AI28" s="8" t="str">
        <f>IF($AQ28="","",INDEX('②クラス編成'!$K$9:$K$158,$AQ28))</f>
        <v/>
      </c>
      <c r="AJ28" s="8" t="str">
        <f>IF($AQ28="","",INDEX('②クラス編成'!$L$9:$L$158,$AQ28))</f>
        <v/>
      </c>
      <c r="AK28" s="8" t="str">
        <f>IF($AQ28="","",INDEX('②クラス編成'!$M$9:$M$158,$AQ28))</f>
        <v/>
      </c>
      <c r="AL28" s="8" t="str">
        <f>IF($AQ28="","",INDEX('②クラス編成'!$N$9:$N$158,$AQ28))</f>
        <v/>
      </c>
      <c r="AM28" s="12" t="str">
        <f>IF($AQ28="","",INDEX('②クラス編成'!$P$9:$P$158,$AQ28))</f>
        <v/>
      </c>
      <c r="AO28" s="14">
        <f>IFERROR(MATCH("1-12",'②クラス編成'!$AS$9:$AS$158,0),"")</f>
        <v>70</v>
      </c>
      <c r="AP28" s="14">
        <f>IFERROR(MATCH("2-12",'②クラス編成'!$AS$9:$AS$158,0),"")</f>
        <v>64</v>
      </c>
      <c r="AQ28" s="14">
        <f>IFERROR(MATCH("3-12",'②クラス編成'!$AS$9:$AS$158,0),"")</f>
        <v>71</v>
      </c>
    </row>
    <row r="29">
      <c r="B29" s="58">
        <f>IF($AO29="","",13)</f>
        <v>13</v>
      </c>
      <c r="C29" s="8">
        <f>IF($AO29="","",INDEX('②クラス編成'!$D$9:$D$158,$AO29))</f>
        <v>2305</v>
      </c>
      <c r="D29" s="59" t="str">
        <f>IF($AO29="","",INDEX('②クラス編成'!$F$9:$F$158,$AO29))</f>
        <v>江頭　樹</v>
      </c>
      <c r="E29" s="8" t="str">
        <f>IF($AO29="","",INDEX('②クラス編成'!$G$9:$G$158,$AO29))</f>
        <v>男</v>
      </c>
      <c r="F29" s="8">
        <f>IF($AO29="","",INDEX('②クラス編成'!$H$9:$H$158,$AO29))</f>
        <v>3</v>
      </c>
      <c r="G29" s="11">
        <f>IF($AO29="","",INDEX('②クラス編成'!$I$9:$I$158,$AO29))</f>
        <v>63</v>
      </c>
      <c r="H29" s="11">
        <f>IF($AO29="","",INDEX('②クラス編成'!$J$9:$J$158,$AO29))</f>
        <v>7.6</v>
      </c>
      <c r="I29" s="8" t="str">
        <f>IF($AO29="","",INDEX('②クラス編成'!$K$9:$K$158,$AO29))</f>
        <v/>
      </c>
      <c r="J29" s="8" t="str">
        <f>IF($AO29="","",INDEX('②クラス編成'!$L$9:$L$158,$AO29))</f>
        <v/>
      </c>
      <c r="K29" s="8" t="str">
        <f>IF($AO29="","",INDEX('②クラス編成'!$M$9:$M$158,$AO29))</f>
        <v/>
      </c>
      <c r="L29" s="8" t="str">
        <f>IF($AO29="","",INDEX('②クラス編成'!$N$9:$N$158,$AO29))</f>
        <v/>
      </c>
      <c r="M29" s="12" t="str">
        <f>IF($AO29="","",INDEX('②クラス編成'!$P$9:$P$158,$AO29))</f>
        <v/>
      </c>
      <c r="O29" s="58">
        <f>IF($AP29="","",13)</f>
        <v>13</v>
      </c>
      <c r="P29" s="8">
        <f>IF($AP29="","",INDEX('②クラス編成'!$D$9:$D$158,$AP29))</f>
        <v>2232</v>
      </c>
      <c r="Q29" s="59" t="str">
        <f>IF($AP29="","",INDEX('②クラス編成'!$F$9:$F$158,$AP29))</f>
        <v>山田　誠</v>
      </c>
      <c r="R29" s="8" t="str">
        <f>IF($AP29="","",INDEX('②クラス編成'!$G$9:$G$158,$AP29))</f>
        <v>男</v>
      </c>
      <c r="S29" s="8">
        <f>IF($AP29="","",INDEX('②クラス編成'!$H$9:$H$158,$AP29))</f>
        <v>2</v>
      </c>
      <c r="T29" s="11">
        <f>IF($AP29="","",INDEX('②クラス編成'!$I$9:$I$158,$AP29))</f>
        <v>78.2</v>
      </c>
      <c r="U29" s="11">
        <f>IF($AP29="","",INDEX('②クラス編成'!$J$9:$J$158,$AP29))</f>
        <v>7.3</v>
      </c>
      <c r="V29" s="8" t="str">
        <f>IF($AP29="","",INDEX('②クラス編成'!$K$9:$K$158,$AP29))</f>
        <v/>
      </c>
      <c r="W29" s="8" t="str">
        <f>IF($AP29="","",INDEX('②クラス編成'!$L$9:$L$158,$AP29))</f>
        <v/>
      </c>
      <c r="X29" s="8" t="str">
        <f>IF($AP29="","",INDEX('②クラス編成'!$M$9:$M$158,$AP29))</f>
        <v/>
      </c>
      <c r="Y29" s="8" t="str">
        <f>IF($AP29="","",INDEX('②クラス編成'!$N$9:$N$158,$AP29))</f>
        <v/>
      </c>
      <c r="Z29" s="12" t="str">
        <f>IF($AP29="","",INDEX('②クラス編成'!$P$9:$P$158,$AP29))</f>
        <v/>
      </c>
      <c r="AB29" s="58">
        <f>IF($AQ29="","",13)</f>
        <v>13</v>
      </c>
      <c r="AC29" s="8">
        <f>IF($AQ29="","",INDEX('②クラス編成'!$D$9:$D$158,$AQ29))</f>
        <v>2303</v>
      </c>
      <c r="AD29" s="59" t="str">
        <f>IF($AQ29="","",INDEX('②クラス編成'!$F$9:$F$158,$AQ29))</f>
        <v>石川　太一</v>
      </c>
      <c r="AE29" s="8" t="str">
        <f>IF($AQ29="","",INDEX('②クラス編成'!$G$9:$G$158,$AQ29))</f>
        <v>男</v>
      </c>
      <c r="AF29" s="8">
        <f>IF($AQ29="","",INDEX('②クラス編成'!$H$9:$H$158,$AQ29))</f>
        <v>3</v>
      </c>
      <c r="AG29" s="11">
        <f>IF($AQ29="","",INDEX('②クラス編成'!$I$9:$I$158,$AQ29))</f>
        <v>51.6</v>
      </c>
      <c r="AH29" s="11">
        <f>IF($AQ29="","",INDEX('②クラス編成'!$J$9:$J$158,$AQ29))</f>
        <v>8</v>
      </c>
      <c r="AI29" s="8" t="str">
        <f>IF($AQ29="","",INDEX('②クラス編成'!$K$9:$K$158,$AQ29))</f>
        <v/>
      </c>
      <c r="AJ29" s="8" t="str">
        <f>IF($AQ29="","",INDEX('②クラス編成'!$L$9:$L$158,$AQ29))</f>
        <v/>
      </c>
      <c r="AK29" s="8" t="str">
        <f>IF($AQ29="","",INDEX('②クラス編成'!$M$9:$M$158,$AQ29))</f>
        <v/>
      </c>
      <c r="AL29" s="8" t="str">
        <f>IF($AQ29="","",INDEX('②クラス編成'!$N$9:$N$158,$AQ29))</f>
        <v/>
      </c>
      <c r="AM29" s="12" t="str">
        <f>IF($AQ29="","",INDEX('②クラス編成'!$P$9:$P$158,$AQ29))</f>
        <v/>
      </c>
      <c r="AO29" s="14">
        <f>IFERROR(MATCH("1-13",'②クラス編成'!$AS$9:$AS$158,0),"")</f>
        <v>75</v>
      </c>
      <c r="AP29" s="14">
        <f>IFERROR(MATCH("2-13",'②クラス編成'!$AS$9:$AS$158,0),"")</f>
        <v>67</v>
      </c>
      <c r="AQ29" s="14">
        <f>IFERROR(MATCH("3-13",'②クラス編成'!$AS$9:$AS$158,0),"")</f>
        <v>73</v>
      </c>
    </row>
    <row r="30">
      <c r="B30" s="58">
        <f>IF($AO30="","",14)</f>
        <v>14</v>
      </c>
      <c r="C30" s="8">
        <f>IF($AO30="","",INDEX('②クラス編成'!$D$9:$D$158,$AO30))</f>
        <v>2306</v>
      </c>
      <c r="D30" s="59" t="str">
        <f>IF($AO30="","",INDEX('②クラス編成'!$F$9:$F$158,$AO30))</f>
        <v>江頭　康介</v>
      </c>
      <c r="E30" s="8" t="str">
        <f>IF($AO30="","",INDEX('②クラス編成'!$G$9:$G$158,$AO30))</f>
        <v>男</v>
      </c>
      <c r="F30" s="8">
        <f>IF($AO30="","",INDEX('②クラス編成'!$H$9:$H$158,$AO30))</f>
        <v>3</v>
      </c>
      <c r="G30" s="11">
        <f>IF($AO30="","",INDEX('②クラス編成'!$I$9:$I$158,$AO30))</f>
        <v>75.4</v>
      </c>
      <c r="H30" s="11">
        <f>IF($AO30="","",INDEX('②クラス編成'!$J$9:$J$158,$AO30))</f>
        <v>7.8</v>
      </c>
      <c r="I30" s="8" t="str">
        <f>IF($AO30="","",INDEX('②クラス編成'!$K$9:$K$158,$AO30))</f>
        <v/>
      </c>
      <c r="J30" s="8" t="str">
        <f>IF($AO30="","",INDEX('②クラス編成'!$L$9:$L$158,$AO30))</f>
        <v/>
      </c>
      <c r="K30" s="8" t="str">
        <f>IF($AO30="","",INDEX('②クラス編成'!$M$9:$M$158,$AO30))</f>
        <v/>
      </c>
      <c r="L30" s="8" t="str">
        <f>IF($AO30="","",INDEX('②クラス編成'!$N$9:$N$158,$AO30))</f>
        <v/>
      </c>
      <c r="M30" s="12" t="str">
        <f>IF($AO30="","",INDEX('②クラス編成'!$P$9:$P$158,$AO30))</f>
        <v>江口　駿</v>
      </c>
      <c r="O30" s="58">
        <f>IF($AP30="","",14)</f>
        <v>14</v>
      </c>
      <c r="P30" s="8">
        <f>IF($AP30="","",INDEX('②クラス編成'!$D$9:$D$158,$AP30))</f>
        <v>2311</v>
      </c>
      <c r="Q30" s="59" t="str">
        <f>IF($AP30="","",INDEX('②クラス編成'!$F$9:$F$158,$AP30))</f>
        <v>太田　拓海</v>
      </c>
      <c r="R30" s="8" t="str">
        <f>IF($AP30="","",INDEX('②クラス編成'!$G$9:$G$158,$AP30))</f>
        <v>男</v>
      </c>
      <c r="S30" s="8">
        <f>IF($AP30="","",INDEX('②クラス編成'!$H$9:$H$158,$AP30))</f>
        <v>3</v>
      </c>
      <c r="T30" s="11">
        <f>IF($AP30="","",INDEX('②クラス編成'!$I$9:$I$158,$AP30))</f>
        <v>51.8</v>
      </c>
      <c r="U30" s="11">
        <f>IF($AP30="","",INDEX('②クラス編成'!$J$9:$J$158,$AP30))</f>
        <v>8.6</v>
      </c>
      <c r="V30" s="8" t="str">
        <f>IF($AP30="","",INDEX('②クラス編成'!$K$9:$K$158,$AP30))</f>
        <v/>
      </c>
      <c r="W30" s="8" t="str">
        <f>IF($AP30="","",INDEX('②クラス編成'!$L$9:$L$158,$AP30))</f>
        <v/>
      </c>
      <c r="X30" s="8" t="str">
        <f>IF($AP30="","",INDEX('②クラス編成'!$M$9:$M$158,$AP30))</f>
        <v/>
      </c>
      <c r="Y30" s="8" t="str">
        <f>IF($AP30="","",INDEX('②クラス編成'!$N$9:$N$158,$AP30))</f>
        <v/>
      </c>
      <c r="Z30" s="12" t="str">
        <f>IF($AP30="","",INDEX('②クラス編成'!$P$9:$P$158,$AP30))</f>
        <v/>
      </c>
      <c r="AB30" s="58">
        <f>IF($AQ30="","",14)</f>
        <v>14</v>
      </c>
      <c r="AC30" s="8">
        <f>IF($AQ30="","",INDEX('②クラス編成'!$D$9:$D$158,$AQ30))</f>
        <v>2308</v>
      </c>
      <c r="AD30" s="59" t="str">
        <f>IF($AQ30="","",INDEX('②クラス編成'!$F$9:$F$158,$AQ30))</f>
        <v>遠藤　律</v>
      </c>
      <c r="AE30" s="8" t="str">
        <f>IF($AQ30="","",INDEX('②クラス編成'!$G$9:$G$158,$AQ30))</f>
        <v>男</v>
      </c>
      <c r="AF30" s="8">
        <f>IF($AQ30="","",INDEX('②クラス編成'!$H$9:$H$158,$AQ30))</f>
        <v>3</v>
      </c>
      <c r="AG30" s="11">
        <f>IF($AQ30="","",INDEX('②クラス編成'!$I$9:$I$158,$AQ30))</f>
        <v>54.4</v>
      </c>
      <c r="AH30" s="11">
        <f>IF($AQ30="","",INDEX('②クラス編成'!$J$9:$J$158,$AQ30))</f>
        <v>8.1</v>
      </c>
      <c r="AI30" s="8" t="str">
        <f>IF($AQ30="","",INDEX('②クラス編成'!$K$9:$K$158,$AQ30))</f>
        <v/>
      </c>
      <c r="AJ30" s="8" t="str">
        <f>IF($AQ30="","",INDEX('②クラス編成'!$L$9:$L$158,$AQ30))</f>
        <v/>
      </c>
      <c r="AK30" s="8" t="str">
        <f>IF($AQ30="","",INDEX('②クラス編成'!$M$9:$M$158,$AQ30))</f>
        <v/>
      </c>
      <c r="AL30" s="8" t="str">
        <f>IF($AQ30="","",INDEX('②クラス編成'!$N$9:$N$158,$AQ30))</f>
        <v/>
      </c>
      <c r="AM30" s="12" t="str">
        <f>IF($AQ30="","",INDEX('②クラス編成'!$P$9:$P$158,$AQ30))</f>
        <v/>
      </c>
      <c r="AO30" s="14">
        <f>IFERROR(MATCH("1-14",'②クラス編成'!$AS$9:$AS$158,0),"")</f>
        <v>76</v>
      </c>
      <c r="AP30" s="14">
        <f>IFERROR(MATCH("2-14",'②クラス編成'!$AS$9:$AS$158,0),"")</f>
        <v>81</v>
      </c>
      <c r="AQ30" s="14">
        <f>IFERROR(MATCH("3-14",'②クラス編成'!$AS$9:$AS$158,0),"")</f>
        <v>78</v>
      </c>
    </row>
    <row r="31">
      <c r="B31" s="58">
        <f>IF($AO31="","",15)</f>
        <v>15</v>
      </c>
      <c r="C31" s="8">
        <f>IF($AO31="","",INDEX('②クラス編成'!$D$9:$D$158,$AO31))</f>
        <v>2307</v>
      </c>
      <c r="D31" s="59" t="str">
        <f>IF($AO31="","",INDEX('②クラス編成'!$F$9:$F$158,$AO31))</f>
        <v>江口　駿</v>
      </c>
      <c r="E31" s="8" t="str">
        <f>IF($AO31="","",INDEX('②クラス編成'!$G$9:$G$158,$AO31))</f>
        <v>男</v>
      </c>
      <c r="F31" s="8">
        <f>IF($AO31="","",INDEX('②クラス編成'!$H$9:$H$158,$AO31))</f>
        <v>3</v>
      </c>
      <c r="G31" s="11">
        <f>IF($AO31="","",INDEX('②クラス編成'!$I$9:$I$158,$AO31))</f>
        <v>73.6</v>
      </c>
      <c r="H31" s="11">
        <f>IF($AO31="","",INDEX('②クラス編成'!$J$9:$J$158,$AO31))</f>
        <v>7.8</v>
      </c>
      <c r="I31" s="8" t="str">
        <f>IF($AO31="","",INDEX('②クラス編成'!$K$9:$K$158,$AO31))</f>
        <v/>
      </c>
      <c r="J31" s="8" t="str">
        <f>IF($AO31="","",INDEX('②クラス編成'!$L$9:$L$158,$AO31))</f>
        <v/>
      </c>
      <c r="K31" s="8" t="str">
        <f>IF($AO31="","",INDEX('②クラス編成'!$M$9:$M$158,$AO31))</f>
        <v/>
      </c>
      <c r="L31" s="8" t="str">
        <f>IF($AO31="","",INDEX('②クラス編成'!$N$9:$N$158,$AO31))</f>
        <v/>
      </c>
      <c r="M31" s="12" t="str">
        <f>IF($AO31="","",INDEX('②クラス編成'!$P$9:$P$158,$AO31))</f>
        <v>江頭　康介</v>
      </c>
      <c r="O31" s="58">
        <f>IF($AP31="","",15)</f>
        <v>15</v>
      </c>
      <c r="P31" s="8">
        <f>IF($AP31="","",INDEX('②クラス編成'!$D$9:$D$158,$AP31))</f>
        <v>2313</v>
      </c>
      <c r="Q31" s="59" t="str">
        <f>IF($AP31="","",INDEX('②クラス編成'!$F$9:$F$158,$AP31))</f>
        <v>岡本　圭吾</v>
      </c>
      <c r="R31" s="8" t="str">
        <f>IF($AP31="","",INDEX('②クラス編成'!$G$9:$G$158,$AP31))</f>
        <v>男</v>
      </c>
      <c r="S31" s="8">
        <f>IF($AP31="","",INDEX('②クラス編成'!$H$9:$H$158,$AP31))</f>
        <v>3</v>
      </c>
      <c r="T31" s="11">
        <f>IF($AP31="","",INDEX('②クラス編成'!$I$9:$I$158,$AP31))</f>
        <v>55.6</v>
      </c>
      <c r="U31" s="11">
        <f>IF($AP31="","",INDEX('②クラス編成'!$J$9:$J$158,$AP31))</f>
        <v>7.2</v>
      </c>
      <c r="V31" s="8" t="str">
        <f>IF($AP31="","",INDEX('②クラス編成'!$K$9:$K$158,$AP31))</f>
        <v/>
      </c>
      <c r="W31" s="8" t="str">
        <f>IF($AP31="","",INDEX('②クラス編成'!$L$9:$L$158,$AP31))</f>
        <v/>
      </c>
      <c r="X31" s="8" t="str">
        <f>IF($AP31="","",INDEX('②クラス編成'!$M$9:$M$158,$AP31))</f>
        <v/>
      </c>
      <c r="Y31" s="8" t="str">
        <f>IF($AP31="","",INDEX('②クラス編成'!$N$9:$N$158,$AP31))</f>
        <v/>
      </c>
      <c r="Z31" s="12" t="str">
        <f>IF($AP31="","",INDEX('②クラス編成'!$P$9:$P$158,$AP31))</f>
        <v/>
      </c>
      <c r="AB31" s="58">
        <f>IF($AQ31="","",15)</f>
        <v>15</v>
      </c>
      <c r="AC31" s="8">
        <f>IF($AQ31="","",INDEX('②クラス編成'!$D$9:$D$158,$AQ31))</f>
        <v>2310</v>
      </c>
      <c r="AD31" s="59" t="str">
        <f>IF($AQ31="","",INDEX('②クラス編成'!$F$9:$F$158,$AQ31))</f>
        <v>大久保　悠人</v>
      </c>
      <c r="AE31" s="8" t="str">
        <f>IF($AQ31="","",INDEX('②クラス編成'!$G$9:$G$158,$AQ31))</f>
        <v>男</v>
      </c>
      <c r="AF31" s="8">
        <f>IF($AQ31="","",INDEX('②クラス編成'!$H$9:$H$158,$AQ31))</f>
        <v>3</v>
      </c>
      <c r="AG31" s="11">
        <f>IF($AQ31="","",INDEX('②クラス編成'!$I$9:$I$158,$AQ31))</f>
        <v>50.2</v>
      </c>
      <c r="AH31" s="11">
        <f>IF($AQ31="","",INDEX('②クラス編成'!$J$9:$J$158,$AQ31))</f>
        <v>7.8</v>
      </c>
      <c r="AI31" s="8" t="str">
        <f>IF($AQ31="","",INDEX('②クラス編成'!$K$9:$K$158,$AQ31))</f>
        <v/>
      </c>
      <c r="AJ31" s="8" t="str">
        <f>IF($AQ31="","",INDEX('②クラス編成'!$L$9:$L$158,$AQ31))</f>
        <v>〇</v>
      </c>
      <c r="AK31" s="8" t="str">
        <f>IF($AQ31="","",INDEX('②クラス編成'!$M$9:$M$158,$AQ31))</f>
        <v/>
      </c>
      <c r="AL31" s="8" t="str">
        <f>IF($AQ31="","",INDEX('②クラス編成'!$N$9:$N$158,$AQ31))</f>
        <v/>
      </c>
      <c r="AM31" s="12" t="str">
        <f>IF($AQ31="","",INDEX('②クラス編成'!$P$9:$P$158,$AQ31))</f>
        <v/>
      </c>
      <c r="AO31" s="14">
        <f>IFERROR(MATCH("1-15",'②クラス編成'!$AS$9:$AS$158,0),"")</f>
        <v>77</v>
      </c>
      <c r="AP31" s="14">
        <f>IFERROR(MATCH("2-15",'②クラス編成'!$AS$9:$AS$158,0),"")</f>
        <v>83</v>
      </c>
      <c r="AQ31" s="14">
        <f>IFERROR(MATCH("3-15",'②クラス編成'!$AS$9:$AS$158,0),"")</f>
        <v>80</v>
      </c>
    </row>
    <row r="32">
      <c r="B32" s="58">
        <f>IF($AO32="","",16)</f>
        <v>16</v>
      </c>
      <c r="C32" s="8">
        <f>IF($AO32="","",INDEX('②クラス編成'!$D$9:$D$158,$AO32))</f>
        <v>2328</v>
      </c>
      <c r="D32" s="59" t="str">
        <f>IF($AO32="","",INDEX('②クラス編成'!$F$9:$F$158,$AO32))</f>
        <v>林　湊</v>
      </c>
      <c r="E32" s="8" t="str">
        <f>IF($AO32="","",INDEX('②クラス編成'!$G$9:$G$158,$AO32))</f>
        <v>男</v>
      </c>
      <c r="F32" s="8">
        <f>IF($AO32="","",INDEX('②クラス編成'!$H$9:$H$158,$AO32))</f>
        <v>3</v>
      </c>
      <c r="G32" s="11">
        <f>IF($AO32="","",INDEX('②クラス編成'!$I$9:$I$158,$AO32))</f>
        <v>62.8</v>
      </c>
      <c r="H32" s="11">
        <f>IF($AO32="","",INDEX('②クラス編成'!$J$9:$J$158,$AO32))</f>
        <v>8.3</v>
      </c>
      <c r="I32" s="8" t="str">
        <f>IF($AO32="","",INDEX('②クラス編成'!$K$9:$K$158,$AO32))</f>
        <v/>
      </c>
      <c r="J32" s="8" t="str">
        <f>IF($AO32="","",INDEX('②クラス編成'!$L$9:$L$158,$AO32))</f>
        <v/>
      </c>
      <c r="K32" s="8" t="str">
        <f>IF($AO32="","",INDEX('②クラス編成'!$M$9:$M$158,$AO32))</f>
        <v/>
      </c>
      <c r="L32" s="8" t="str">
        <f>IF($AO32="","",INDEX('②クラス編成'!$N$9:$N$158,$AO32))</f>
        <v/>
      </c>
      <c r="M32" s="12" t="str">
        <f>IF($AO32="","",INDEX('②クラス編成'!$P$9:$P$158,$AO32))</f>
        <v/>
      </c>
      <c r="O32" s="58">
        <f>IF($AP32="","",16)</f>
        <v>16</v>
      </c>
      <c r="P32" s="8">
        <f>IF($AP32="","",INDEX('②クラス編成'!$D$9:$D$158,$AP32))</f>
        <v>2318</v>
      </c>
      <c r="Q32" s="59" t="str">
        <f>IF($AP32="","",INDEX('②クラス編成'!$F$9:$F$158,$AP32))</f>
        <v>酒井　太一</v>
      </c>
      <c r="R32" s="8" t="str">
        <f>IF($AP32="","",INDEX('②クラス編成'!$G$9:$G$158,$AP32))</f>
        <v>男</v>
      </c>
      <c r="S32" s="8">
        <f>IF($AP32="","",INDEX('②クラス編成'!$H$9:$H$158,$AP32))</f>
        <v>3</v>
      </c>
      <c r="T32" s="11">
        <f>IF($AP32="","",INDEX('②クラス編成'!$I$9:$I$158,$AP32))</f>
        <v>58.8</v>
      </c>
      <c r="U32" s="11">
        <f>IF($AP32="","",INDEX('②クラス編成'!$J$9:$J$158,$AP32))</f>
        <v>7.5</v>
      </c>
      <c r="V32" s="8" t="str">
        <f>IF($AP32="","",INDEX('②クラス編成'!$K$9:$K$158,$AP32))</f>
        <v/>
      </c>
      <c r="W32" s="8" t="str">
        <f>IF($AP32="","",INDEX('②クラス編成'!$L$9:$L$158,$AP32))</f>
        <v/>
      </c>
      <c r="X32" s="8" t="str">
        <f>IF($AP32="","",INDEX('②クラス編成'!$M$9:$M$158,$AP32))</f>
        <v/>
      </c>
      <c r="Y32" s="8" t="str">
        <f>IF($AP32="","",INDEX('②クラス編成'!$N$9:$N$158,$AP32))</f>
        <v/>
      </c>
      <c r="Z32" s="12" t="str">
        <f>IF($AP32="","",INDEX('②クラス編成'!$P$9:$P$158,$AP32))</f>
        <v/>
      </c>
      <c r="AB32" s="58">
        <f>IF($AQ32="","",16)</f>
        <v>16</v>
      </c>
      <c r="AC32" s="8">
        <f>IF($AQ32="","",INDEX('②クラス編成'!$D$9:$D$158,$AQ32))</f>
        <v>2312</v>
      </c>
      <c r="AD32" s="59" t="str">
        <f>IF($AQ32="","",INDEX('②クラス編成'!$F$9:$F$158,$AQ32))</f>
        <v>岡田　海斗</v>
      </c>
      <c r="AE32" s="8" t="str">
        <f>IF($AQ32="","",INDEX('②クラス編成'!$G$9:$G$158,$AQ32))</f>
        <v>男</v>
      </c>
      <c r="AF32" s="8">
        <f>IF($AQ32="","",INDEX('②クラス編成'!$H$9:$H$158,$AQ32))</f>
        <v>3</v>
      </c>
      <c r="AG32" s="11">
        <f>IF($AQ32="","",INDEX('②クラス編成'!$I$9:$I$158,$AQ32))</f>
        <v>60</v>
      </c>
      <c r="AH32" s="11">
        <f>IF($AQ32="","",INDEX('②クラス編成'!$J$9:$J$158,$AQ32))</f>
        <v>8</v>
      </c>
      <c r="AI32" s="8" t="str">
        <f>IF($AQ32="","",INDEX('②クラス編成'!$K$9:$K$158,$AQ32))</f>
        <v>〇</v>
      </c>
      <c r="AJ32" s="8" t="str">
        <f>IF($AQ32="","",INDEX('②クラス編成'!$L$9:$L$158,$AQ32))</f>
        <v/>
      </c>
      <c r="AK32" s="8" t="str">
        <f>IF($AQ32="","",INDEX('②クラス編成'!$M$9:$M$158,$AQ32))</f>
        <v/>
      </c>
      <c r="AL32" s="8" t="str">
        <f>IF($AQ32="","",INDEX('②クラス編成'!$N$9:$N$158,$AQ32))</f>
        <v>〇</v>
      </c>
      <c r="AM32" s="12" t="str">
        <f>IF($AQ32="","",INDEX('②クラス編成'!$P$9:$P$158,$AQ32))</f>
        <v/>
      </c>
      <c r="AO32" s="14">
        <f>IFERROR(MATCH("1-16",'②クラス編成'!$AS$9:$AS$158,0),"")</f>
        <v>98</v>
      </c>
      <c r="AP32" s="14">
        <f>IFERROR(MATCH("2-16",'②クラス編成'!$AS$9:$AS$158,0),"")</f>
        <v>88</v>
      </c>
      <c r="AQ32" s="14">
        <f>IFERROR(MATCH("3-16",'②クラス編成'!$AS$9:$AS$158,0),"")</f>
        <v>82</v>
      </c>
    </row>
    <row r="33">
      <c r="B33" s="58">
        <f>IF($AO33="","",17)</f>
        <v>17</v>
      </c>
      <c r="C33" s="8">
        <f>IF($AO33="","",INDEX('②クラス編成'!$D$9:$D$158,$AO33))</f>
        <v>2331</v>
      </c>
      <c r="D33" s="59" t="str">
        <f>IF($AO33="","",INDEX('②クラス編成'!$F$9:$F$158,$AO33))</f>
        <v>森　湊</v>
      </c>
      <c r="E33" s="8" t="str">
        <f>IF($AO33="","",INDEX('②クラス編成'!$G$9:$G$158,$AO33))</f>
        <v>男</v>
      </c>
      <c r="F33" s="8">
        <f>IF($AO33="","",INDEX('②クラス編成'!$H$9:$H$158,$AO33))</f>
        <v>3</v>
      </c>
      <c r="G33" s="11">
        <f>IF($AO33="","",INDEX('②クラス編成'!$I$9:$I$158,$AO33))</f>
        <v>80</v>
      </c>
      <c r="H33" s="11">
        <f>IF($AO33="","",INDEX('②クラス編成'!$J$9:$J$158,$AO33))</f>
        <v>8.3</v>
      </c>
      <c r="I33" s="8" t="str">
        <f>IF($AO33="","",INDEX('②クラス編成'!$K$9:$K$158,$AO33))</f>
        <v/>
      </c>
      <c r="J33" s="8" t="str">
        <f>IF($AO33="","",INDEX('②クラス編成'!$L$9:$L$158,$AO33))</f>
        <v/>
      </c>
      <c r="K33" s="8" t="str">
        <f>IF($AO33="","",INDEX('②クラス編成'!$M$9:$M$158,$AO33))</f>
        <v/>
      </c>
      <c r="L33" s="8" t="str">
        <f>IF($AO33="","",INDEX('②クラス編成'!$N$9:$N$158,$AO33))</f>
        <v/>
      </c>
      <c r="M33" s="12" t="str">
        <f>IF($AO33="","",INDEX('②クラス編成'!$P$9:$P$158,$AO33))</f>
        <v/>
      </c>
      <c r="O33" s="58">
        <f>IF($AP33="","",17)</f>
        <v>17</v>
      </c>
      <c r="P33" s="8">
        <f>IF($AP33="","",INDEX('②クラス編成'!$D$9:$D$158,$AP33))</f>
        <v>2320</v>
      </c>
      <c r="Q33" s="59" t="str">
        <f>IF($AP33="","",INDEX('②クラス編成'!$F$9:$F$158,$AP33))</f>
        <v>佐々木　誠</v>
      </c>
      <c r="R33" s="8" t="str">
        <f>IF($AP33="","",INDEX('②クラス編成'!$G$9:$G$158,$AP33))</f>
        <v>男</v>
      </c>
      <c r="S33" s="8">
        <f>IF($AP33="","",INDEX('②クラス編成'!$H$9:$H$158,$AP33))</f>
        <v>3</v>
      </c>
      <c r="T33" s="11">
        <f>IF($AP33="","",INDEX('②クラス編成'!$I$9:$I$158,$AP33))</f>
        <v>62</v>
      </c>
      <c r="U33" s="11">
        <f>IF($AP33="","",INDEX('②クラス編成'!$J$9:$J$158,$AP33))</f>
        <v>7.2</v>
      </c>
      <c r="V33" s="8" t="str">
        <f>IF($AP33="","",INDEX('②クラス編成'!$K$9:$K$158,$AP33))</f>
        <v/>
      </c>
      <c r="W33" s="8" t="str">
        <f>IF($AP33="","",INDEX('②クラス編成'!$L$9:$L$158,$AP33))</f>
        <v/>
      </c>
      <c r="X33" s="8" t="str">
        <f>IF($AP33="","",INDEX('②クラス編成'!$M$9:$M$158,$AP33))</f>
        <v/>
      </c>
      <c r="Y33" s="8" t="str">
        <f>IF($AP33="","",INDEX('②クラス編成'!$N$9:$N$158,$AP33))</f>
        <v/>
      </c>
      <c r="Z33" s="12" t="str">
        <f>IF($AP33="","",INDEX('②クラス編成'!$P$9:$P$158,$AP33))</f>
        <v/>
      </c>
      <c r="AB33" s="58">
        <f>IF($AQ33="","",17)</f>
        <v>17</v>
      </c>
      <c r="AC33" s="8">
        <f>IF($AQ33="","",INDEX('②クラス編成'!$D$9:$D$158,$AQ33))</f>
        <v>2315</v>
      </c>
      <c r="AD33" s="59" t="str">
        <f>IF($AQ33="","",INDEX('②クラス編成'!$F$9:$F$158,$AQ33))</f>
        <v>加藤　駿</v>
      </c>
      <c r="AE33" s="8" t="str">
        <f>IF($AQ33="","",INDEX('②クラス編成'!$G$9:$G$158,$AQ33))</f>
        <v>男</v>
      </c>
      <c r="AF33" s="8">
        <f>IF($AQ33="","",INDEX('②クラス編成'!$H$9:$H$158,$AQ33))</f>
        <v>3</v>
      </c>
      <c r="AG33" s="11">
        <f>IF($AQ33="","",INDEX('②クラス編成'!$I$9:$I$158,$AQ33))</f>
        <v>74.6</v>
      </c>
      <c r="AH33" s="11">
        <f>IF($AQ33="","",INDEX('②クラス編成'!$J$9:$J$158,$AQ33))</f>
        <v>7.7</v>
      </c>
      <c r="AI33" s="8" t="str">
        <f>IF($AQ33="","",INDEX('②クラス編成'!$K$9:$K$158,$AQ33))</f>
        <v/>
      </c>
      <c r="AJ33" s="8" t="str">
        <f>IF($AQ33="","",INDEX('②クラス編成'!$L$9:$L$158,$AQ33))</f>
        <v/>
      </c>
      <c r="AK33" s="8" t="str">
        <f>IF($AQ33="","",INDEX('②クラス編成'!$M$9:$M$158,$AQ33))</f>
        <v/>
      </c>
      <c r="AL33" s="8" t="str">
        <f>IF($AQ33="","",INDEX('②クラス編成'!$N$9:$N$158,$AQ33))</f>
        <v/>
      </c>
      <c r="AM33" s="12" t="str">
        <f>IF($AQ33="","",INDEX('②クラス編成'!$P$9:$P$158,$AQ33))</f>
        <v/>
      </c>
      <c r="AO33" s="14">
        <f>IFERROR(MATCH("1-17",'②クラス編成'!$AS$9:$AS$158,0),"")</f>
        <v>101</v>
      </c>
      <c r="AP33" s="14">
        <f>IFERROR(MATCH("2-17",'②クラス編成'!$AS$9:$AS$158,0),"")</f>
        <v>90</v>
      </c>
      <c r="AQ33" s="14">
        <f>IFERROR(MATCH("3-17",'②クラス編成'!$AS$9:$AS$158,0),"")</f>
        <v>85</v>
      </c>
    </row>
    <row r="34">
      <c r="B34" s="58">
        <f>IF($AO34="","",18)</f>
        <v>18</v>
      </c>
      <c r="C34" s="8">
        <f>IF($AO34="","",INDEX('②クラス編成'!$D$9:$D$158,$AO34))</f>
        <v>2334</v>
      </c>
      <c r="D34" s="59" t="str">
        <f>IF($AO34="","",INDEX('②クラス編成'!$F$9:$F$158,$AO34))</f>
        <v>渡辺　拓海</v>
      </c>
      <c r="E34" s="8" t="str">
        <f>IF($AO34="","",INDEX('②クラス編成'!$G$9:$G$158,$AO34))</f>
        <v>男</v>
      </c>
      <c r="F34" s="8">
        <f>IF($AO34="","",INDEX('②クラス編成'!$H$9:$H$158,$AO34))</f>
        <v>3</v>
      </c>
      <c r="G34" s="11">
        <f>IF($AO34="","",INDEX('②クラス編成'!$I$9:$I$158,$AO34))</f>
        <v>63.6</v>
      </c>
      <c r="H34" s="11">
        <f>IF($AO34="","",INDEX('②クラス編成'!$J$9:$J$158,$AO34))</f>
        <v>7.7</v>
      </c>
      <c r="I34" s="8" t="str">
        <f>IF($AO34="","",INDEX('②クラス編成'!$K$9:$K$158,$AO34))</f>
        <v/>
      </c>
      <c r="J34" s="8" t="str">
        <f>IF($AO34="","",INDEX('②クラス編成'!$L$9:$L$158,$AO34))</f>
        <v/>
      </c>
      <c r="K34" s="8" t="str">
        <f>IF($AO34="","",INDEX('②クラス編成'!$M$9:$M$158,$AO34))</f>
        <v>〇</v>
      </c>
      <c r="L34" s="8" t="str">
        <f>IF($AO34="","",INDEX('②クラス編成'!$N$9:$N$158,$AO34))</f>
        <v/>
      </c>
      <c r="M34" s="12" t="str">
        <f>IF($AO34="","",INDEX('②クラス編成'!$P$9:$P$158,$AO34))</f>
        <v/>
      </c>
      <c r="O34" s="58">
        <f>IF($AP34="","",18)</f>
        <v>18</v>
      </c>
      <c r="P34" s="8">
        <f>IF($AP34="","",INDEX('②クラス編成'!$D$9:$D$158,$AP34))</f>
        <v>2330</v>
      </c>
      <c r="Q34" s="59" t="str">
        <f>IF($AP34="","",INDEX('②クラス編成'!$F$9:$F$158,$AP34))</f>
        <v>三浦　健太</v>
      </c>
      <c r="R34" s="8" t="str">
        <f>IF($AP34="","",INDEX('②クラス編成'!$G$9:$G$158,$AP34))</f>
        <v>男</v>
      </c>
      <c r="S34" s="8">
        <f>IF($AP34="","",INDEX('②クラス編成'!$H$9:$H$158,$AP34))</f>
        <v>3</v>
      </c>
      <c r="T34" s="11">
        <f>IF($AP34="","",INDEX('②クラス編成'!$I$9:$I$158,$AP34))</f>
        <v>77.2</v>
      </c>
      <c r="U34" s="11">
        <f>IF($AP34="","",INDEX('②クラス編成'!$J$9:$J$158,$AP34))</f>
        <v>7.3</v>
      </c>
      <c r="V34" s="8" t="str">
        <f>IF($AP34="","",INDEX('②クラス編成'!$K$9:$K$158,$AP34))</f>
        <v/>
      </c>
      <c r="W34" s="8" t="str">
        <f>IF($AP34="","",INDEX('②クラス編成'!$L$9:$L$158,$AP34))</f>
        <v/>
      </c>
      <c r="X34" s="8" t="str">
        <f>IF($AP34="","",INDEX('②クラス編成'!$M$9:$M$158,$AP34))</f>
        <v/>
      </c>
      <c r="Y34" s="8" t="str">
        <f>IF($AP34="","",INDEX('②クラス編成'!$N$9:$N$158,$AP34))</f>
        <v/>
      </c>
      <c r="Z34" s="12" t="str">
        <f>IF($AP34="","",INDEX('②クラス編成'!$P$9:$P$158,$AP34))</f>
        <v/>
      </c>
      <c r="AB34" s="58">
        <f>IF($AQ34="","",18)</f>
        <v>18</v>
      </c>
      <c r="AC34" s="8">
        <f>IF($AQ34="","",INDEX('②クラス編成'!$D$9:$D$158,$AQ34))</f>
        <v>2335</v>
      </c>
      <c r="AD34" s="59" t="str">
        <f>IF($AQ34="","",INDEX('②クラス編成'!$F$9:$F$158,$AQ34))</f>
        <v>和田　航</v>
      </c>
      <c r="AE34" s="8" t="str">
        <f>IF($AQ34="","",INDEX('②クラス編成'!$G$9:$G$158,$AQ34))</f>
        <v>男</v>
      </c>
      <c r="AF34" s="8">
        <f>IF($AQ34="","",INDEX('②クラス編成'!$H$9:$H$158,$AQ34))</f>
        <v>3</v>
      </c>
      <c r="AG34" s="11">
        <f>IF($AQ34="","",INDEX('②クラス編成'!$I$9:$I$158,$AQ34))</f>
        <v>76.6</v>
      </c>
      <c r="AH34" s="11">
        <f>IF($AQ34="","",INDEX('②クラス編成'!$J$9:$J$158,$AQ34))</f>
        <v>7.7</v>
      </c>
      <c r="AI34" s="8" t="str">
        <f>IF($AQ34="","",INDEX('②クラス編成'!$K$9:$K$158,$AQ34))</f>
        <v/>
      </c>
      <c r="AJ34" s="8" t="str">
        <f>IF($AQ34="","",INDEX('②クラス編成'!$L$9:$L$158,$AQ34))</f>
        <v/>
      </c>
      <c r="AK34" s="8" t="str">
        <f>IF($AQ34="","",INDEX('②クラス編成'!$M$9:$M$158,$AQ34))</f>
        <v/>
      </c>
      <c r="AL34" s="8" t="str">
        <f>IF($AQ34="","",INDEX('②クラス編成'!$N$9:$N$158,$AQ34))</f>
        <v/>
      </c>
      <c r="AM34" s="12" t="str">
        <f>IF($AQ34="","",INDEX('②クラス編成'!$P$9:$P$158,$AQ34))</f>
        <v/>
      </c>
      <c r="AO34" s="14">
        <f>IFERROR(MATCH("1-18",'②クラス編成'!$AS$9:$AS$158,0),"")</f>
        <v>104</v>
      </c>
      <c r="AP34" s="14">
        <f>IFERROR(MATCH("2-18",'②クラス編成'!$AS$9:$AS$158,0),"")</f>
        <v>100</v>
      </c>
      <c r="AQ34" s="14">
        <f>IFERROR(MATCH("3-18",'②クラス編成'!$AS$9:$AS$158,0),"")</f>
        <v>105</v>
      </c>
    </row>
    <row r="35">
      <c r="B35" s="58">
        <f>IF($AO35="","",19)</f>
        <v>19</v>
      </c>
      <c r="C35" s="8">
        <f>IF($AO35="","",INDEX('②クラス編成'!$D$9:$D$158,$AO35))</f>
        <v>2101</v>
      </c>
      <c r="D35" s="59" t="str">
        <f>IF($AO35="","",INDEX('②クラス編成'!$F$9:$F$158,$AO35))</f>
        <v>青木　花音</v>
      </c>
      <c r="E35" s="8" t="str">
        <f>IF($AO35="","",INDEX('②クラス編成'!$G$9:$G$158,$AO35))</f>
        <v>女</v>
      </c>
      <c r="F35" s="8">
        <f>IF($AO35="","",INDEX('②クラス編成'!$H$9:$H$158,$AO35))</f>
        <v>1</v>
      </c>
      <c r="G35" s="11">
        <f>IF($AO35="","",INDEX('②クラス編成'!$I$9:$I$158,$AO35))</f>
        <v>55</v>
      </c>
      <c r="H35" s="11">
        <f>IF($AO35="","",INDEX('②クラス編成'!$J$9:$J$158,$AO35))</f>
        <v>8.9</v>
      </c>
      <c r="I35" s="8" t="str">
        <f>IF($AO35="","",INDEX('②クラス編成'!$K$9:$K$158,$AO35))</f>
        <v/>
      </c>
      <c r="J35" s="8" t="str">
        <f>IF($AO35="","",INDEX('②クラス編成'!$L$9:$L$158,$AO35))</f>
        <v/>
      </c>
      <c r="K35" s="8" t="str">
        <f>IF($AO35="","",INDEX('②クラス編成'!$M$9:$M$158,$AO35))</f>
        <v/>
      </c>
      <c r="L35" s="8" t="str">
        <f>IF($AO35="","",INDEX('②クラス編成'!$N$9:$N$158,$AO35))</f>
        <v/>
      </c>
      <c r="M35" s="12" t="str">
        <f>IF($AO35="","",INDEX('②クラス編成'!$P$9:$P$158,$AO35))</f>
        <v/>
      </c>
      <c r="O35" s="58">
        <f>IF($AP35="","",19)</f>
        <v>19</v>
      </c>
      <c r="P35" s="8">
        <f>IF($AP35="","",INDEX('②クラス編成'!$D$9:$D$158,$AP35))</f>
        <v>2103</v>
      </c>
      <c r="Q35" s="59" t="str">
        <f>IF($AP35="","",INDEX('②クラス編成'!$F$9:$F$158,$AP35))</f>
        <v>阿部　優奈</v>
      </c>
      <c r="R35" s="8" t="str">
        <f>IF($AP35="","",INDEX('②クラス編成'!$G$9:$G$158,$AP35))</f>
        <v>女</v>
      </c>
      <c r="S35" s="8">
        <f>IF($AP35="","",INDEX('②クラス編成'!$H$9:$H$158,$AP35))</f>
        <v>1</v>
      </c>
      <c r="T35" s="11">
        <f>IF($AP35="","",INDEX('②クラス編成'!$I$9:$I$158,$AP35))</f>
        <v>63.4</v>
      </c>
      <c r="U35" s="11">
        <f>IF($AP35="","",INDEX('②クラス編成'!$J$9:$J$158,$AP35))</f>
        <v>7.4</v>
      </c>
      <c r="V35" s="8" t="str">
        <f>IF($AP35="","",INDEX('②クラス編成'!$K$9:$K$158,$AP35))</f>
        <v/>
      </c>
      <c r="W35" s="8" t="str">
        <f>IF($AP35="","",INDEX('②クラス編成'!$L$9:$L$158,$AP35))</f>
        <v/>
      </c>
      <c r="X35" s="8" t="str">
        <f>IF($AP35="","",INDEX('②クラス編成'!$M$9:$M$158,$AP35))</f>
        <v/>
      </c>
      <c r="Y35" s="8" t="str">
        <f>IF($AP35="","",INDEX('②クラス編成'!$N$9:$N$158,$AP35))</f>
        <v/>
      </c>
      <c r="Z35" s="12" t="str">
        <f>IF($AP35="","",INDEX('②クラス編成'!$P$9:$P$158,$AP35))</f>
        <v/>
      </c>
      <c r="AB35" s="58">
        <f>IF($AQ35="","",19)</f>
        <v>19</v>
      </c>
      <c r="AC35" s="8">
        <f>IF($AQ35="","",INDEX('②クラス編成'!$D$9:$D$158,$AQ35))</f>
        <v>2102</v>
      </c>
      <c r="AD35" s="59" t="str">
        <f>IF($AQ35="","",INDEX('②クラス編成'!$F$9:$F$158,$AQ35))</f>
        <v>阿部　陽葵</v>
      </c>
      <c r="AE35" s="8" t="str">
        <f>IF($AQ35="","",INDEX('②クラス編成'!$G$9:$G$158,$AQ35))</f>
        <v>女</v>
      </c>
      <c r="AF35" s="8">
        <f>IF($AQ35="","",INDEX('②クラス編成'!$H$9:$H$158,$AQ35))</f>
        <v>1</v>
      </c>
      <c r="AG35" s="11">
        <f>IF($AQ35="","",INDEX('②クラス編成'!$I$9:$I$158,$AQ35))</f>
        <v>34.8</v>
      </c>
      <c r="AH35" s="11">
        <f>IF($AQ35="","",INDEX('②クラス編成'!$J$9:$J$158,$AQ35))</f>
        <v>8.8</v>
      </c>
      <c r="AI35" s="8" t="str">
        <f>IF($AQ35="","",INDEX('②クラス編成'!$K$9:$K$158,$AQ35))</f>
        <v/>
      </c>
      <c r="AJ35" s="8" t="str">
        <f>IF($AQ35="","",INDEX('②クラス編成'!$L$9:$L$158,$AQ35))</f>
        <v/>
      </c>
      <c r="AK35" s="8" t="str">
        <f>IF($AQ35="","",INDEX('②クラス編成'!$M$9:$M$158,$AQ35))</f>
        <v/>
      </c>
      <c r="AL35" s="8" t="str">
        <f>IF($AQ35="","",INDEX('②クラス編成'!$N$9:$N$158,$AQ35))</f>
        <v/>
      </c>
      <c r="AM35" s="12" t="str">
        <f>IF($AQ35="","",INDEX('②クラス編成'!$P$9:$P$158,$AQ35))</f>
        <v/>
      </c>
      <c r="AO35" s="14">
        <f>IFERROR(MATCH("1-19",'②クラス編成'!$AS$9:$AS$158,0),"")</f>
        <v>1</v>
      </c>
      <c r="AP35" s="14">
        <f>IFERROR(MATCH("2-19",'②クラス編成'!$AS$9:$AS$158,0),"")</f>
        <v>3</v>
      </c>
      <c r="AQ35" s="14">
        <f>IFERROR(MATCH("3-19",'②クラス編成'!$AS$9:$AS$158,0),"")</f>
        <v>2</v>
      </c>
    </row>
    <row r="36">
      <c r="B36" s="58">
        <f>IF($AO36="","",20)</f>
        <v>20</v>
      </c>
      <c r="C36" s="8">
        <f>IF($AO36="","",INDEX('②クラス編成'!$D$9:$D$158,$AO36))</f>
        <v>2104</v>
      </c>
      <c r="D36" s="59" t="str">
        <f>IF($AO36="","",INDEX('②クラス編成'!$F$9:$F$158,$AO36))</f>
        <v>石井　彩花</v>
      </c>
      <c r="E36" s="8" t="str">
        <f>IF($AO36="","",INDEX('②クラス編成'!$G$9:$G$158,$AO36))</f>
        <v>女</v>
      </c>
      <c r="F36" s="8">
        <f>IF($AO36="","",INDEX('②クラス編成'!$H$9:$H$158,$AO36))</f>
        <v>1</v>
      </c>
      <c r="G36" s="11">
        <f>IF($AO36="","",INDEX('②クラス編成'!$I$9:$I$158,$AO36))</f>
        <v>43.4</v>
      </c>
      <c r="H36" s="11">
        <f>IF($AO36="","",INDEX('②クラス編成'!$J$9:$J$158,$AO36))</f>
        <v>9.3</v>
      </c>
      <c r="I36" s="8" t="str">
        <f>IF($AO36="","",INDEX('②クラス編成'!$K$9:$K$158,$AO36))</f>
        <v/>
      </c>
      <c r="J36" s="8" t="str">
        <f>IF($AO36="","",INDEX('②クラス編成'!$L$9:$L$158,$AO36))</f>
        <v/>
      </c>
      <c r="K36" s="8" t="str">
        <f>IF($AO36="","",INDEX('②クラス編成'!$M$9:$M$158,$AO36))</f>
        <v/>
      </c>
      <c r="L36" s="8" t="str">
        <f>IF($AO36="","",INDEX('②クラス編成'!$N$9:$N$158,$AO36))</f>
        <v/>
      </c>
      <c r="M36" s="12" t="str">
        <f>IF($AO36="","",INDEX('②クラス編成'!$P$9:$P$158,$AO36))</f>
        <v/>
      </c>
      <c r="O36" s="58">
        <f>IF($AP36="","",20)</f>
        <v>20</v>
      </c>
      <c r="P36" s="8">
        <f>IF($AP36="","",INDEX('②クラス編成'!$D$9:$D$158,$AP36))</f>
        <v>2107</v>
      </c>
      <c r="Q36" s="59" t="str">
        <f>IF($AP36="","",INDEX('②クラス編成'!$F$9:$F$158,$AP36))</f>
        <v>井上　沙耶</v>
      </c>
      <c r="R36" s="8" t="str">
        <f>IF($AP36="","",INDEX('②クラス編成'!$G$9:$G$158,$AP36))</f>
        <v>女</v>
      </c>
      <c r="S36" s="8">
        <f>IF($AP36="","",INDEX('②クラス編成'!$H$9:$H$158,$AP36))</f>
        <v>1</v>
      </c>
      <c r="T36" s="11">
        <f>IF($AP36="","",INDEX('②クラス編成'!$I$9:$I$158,$AP36))</f>
        <v>77.6</v>
      </c>
      <c r="U36" s="11">
        <f>IF($AP36="","",INDEX('②クラス編成'!$J$9:$J$158,$AP36))</f>
        <v>9.9</v>
      </c>
      <c r="V36" s="8" t="str">
        <f>IF($AP36="","",INDEX('②クラス編成'!$K$9:$K$158,$AP36))</f>
        <v/>
      </c>
      <c r="W36" s="8" t="str">
        <f>IF($AP36="","",INDEX('②クラス編成'!$L$9:$L$158,$AP36))</f>
        <v/>
      </c>
      <c r="X36" s="8" t="str">
        <f>IF($AP36="","",INDEX('②クラス編成'!$M$9:$M$158,$AP36))</f>
        <v/>
      </c>
      <c r="Y36" s="8" t="str">
        <f>IF($AP36="","",INDEX('②クラス編成'!$N$9:$N$158,$AP36))</f>
        <v/>
      </c>
      <c r="Z36" s="12" t="str">
        <f>IF($AP36="","",INDEX('②クラス編成'!$P$9:$P$158,$AP36))</f>
        <v/>
      </c>
      <c r="AB36" s="58">
        <f>IF($AQ36="","",20)</f>
        <v>20</v>
      </c>
      <c r="AC36" s="8">
        <f>IF($AQ36="","",INDEX('②クラス編成'!$D$9:$D$158,$AQ36))</f>
        <v>2106</v>
      </c>
      <c r="AD36" s="59" t="str">
        <f>IF($AQ36="","",INDEX('②クラス編成'!$F$9:$F$158,$AQ36))</f>
        <v>石田　凛</v>
      </c>
      <c r="AE36" s="8" t="str">
        <f>IF($AQ36="","",INDEX('②クラス編成'!$G$9:$G$158,$AQ36))</f>
        <v>女</v>
      </c>
      <c r="AF36" s="8">
        <f>IF($AQ36="","",INDEX('②クラス編成'!$H$9:$H$158,$AQ36))</f>
        <v>1</v>
      </c>
      <c r="AG36" s="11">
        <f>IF($AQ36="","",INDEX('②クラス編成'!$I$9:$I$158,$AQ36))</f>
        <v>78.6</v>
      </c>
      <c r="AH36" s="11">
        <f>IF($AQ36="","",INDEX('②クラス編成'!$J$9:$J$158,$AQ36))</f>
        <v>8.9</v>
      </c>
      <c r="AI36" s="8" t="str">
        <f>IF($AQ36="","",INDEX('②クラス編成'!$K$9:$K$158,$AQ36))</f>
        <v/>
      </c>
      <c r="AJ36" s="8" t="str">
        <f>IF($AQ36="","",INDEX('②クラス編成'!$L$9:$L$158,$AQ36))</f>
        <v/>
      </c>
      <c r="AK36" s="8" t="str">
        <f>IF($AQ36="","",INDEX('②クラス編成'!$M$9:$M$158,$AQ36))</f>
        <v/>
      </c>
      <c r="AL36" s="8" t="str">
        <f>IF($AQ36="","",INDEX('②クラス編成'!$N$9:$N$158,$AQ36))</f>
        <v/>
      </c>
      <c r="AM36" s="12" t="str">
        <f>IF($AQ36="","",INDEX('②クラス編成'!$P$9:$P$158,$AQ36))</f>
        <v/>
      </c>
      <c r="AO36" s="14">
        <f>IFERROR(MATCH("1-20",'②クラス編成'!$AS$9:$AS$158,0),"")</f>
        <v>4</v>
      </c>
      <c r="AP36" s="14">
        <f>IFERROR(MATCH("2-20",'②クラス編成'!$AS$9:$AS$158,0),"")</f>
        <v>7</v>
      </c>
      <c r="AQ36" s="14">
        <f>IFERROR(MATCH("3-20",'②クラス編成'!$AS$9:$AS$158,0),"")</f>
        <v>6</v>
      </c>
    </row>
    <row r="37">
      <c r="B37" s="58">
        <f>IF($AO37="","",21)</f>
        <v>21</v>
      </c>
      <c r="C37" s="8">
        <f>IF($AO37="","",INDEX('②クラス編成'!$D$9:$D$158,$AO37))</f>
        <v>2119</v>
      </c>
      <c r="D37" s="59" t="str">
        <f>IF($AO37="","",INDEX('②クラス編成'!$F$9:$F$158,$AO37))</f>
        <v>高橋　紬</v>
      </c>
      <c r="E37" s="8" t="str">
        <f>IF($AO37="","",INDEX('②クラス編成'!$G$9:$G$158,$AO37))</f>
        <v>女</v>
      </c>
      <c r="F37" s="8">
        <f>IF($AO37="","",INDEX('②クラス編成'!$H$9:$H$158,$AO37))</f>
        <v>1</v>
      </c>
      <c r="G37" s="11">
        <f>IF($AO37="","",INDEX('②クラス編成'!$I$9:$I$158,$AO37))</f>
        <v>53.2</v>
      </c>
      <c r="H37" s="11">
        <f>IF($AO37="","",INDEX('②クラス編成'!$J$9:$J$158,$AO37))</f>
        <v>9.5</v>
      </c>
      <c r="I37" s="8" t="str">
        <f>IF($AO37="","",INDEX('②クラス編成'!$K$9:$K$158,$AO37))</f>
        <v/>
      </c>
      <c r="J37" s="8" t="str">
        <f>IF($AO37="","",INDEX('②クラス編成'!$L$9:$L$158,$AO37))</f>
        <v/>
      </c>
      <c r="K37" s="8" t="str">
        <f>IF($AO37="","",INDEX('②クラス編成'!$M$9:$M$158,$AO37))</f>
        <v/>
      </c>
      <c r="L37" s="8" t="str">
        <f>IF($AO37="","",INDEX('②クラス編成'!$N$9:$N$158,$AO37))</f>
        <v/>
      </c>
      <c r="M37" s="12" t="str">
        <f>IF($AO37="","",INDEX('②クラス編成'!$P$9:$P$158,$AO37))</f>
        <v/>
      </c>
      <c r="O37" s="58">
        <f>IF($AP37="","",21)</f>
        <v>21</v>
      </c>
      <c r="P37" s="8">
        <f>IF($AP37="","",INDEX('②クラス編成'!$D$9:$D$158,$AP37))</f>
        <v>2123</v>
      </c>
      <c r="Q37" s="59" t="str">
        <f>IF($AP37="","",INDEX('②クラス編成'!$F$9:$F$158,$AP37))</f>
        <v>原田　杏</v>
      </c>
      <c r="R37" s="8" t="str">
        <f>IF($AP37="","",INDEX('②クラス編成'!$G$9:$G$158,$AP37))</f>
        <v>女</v>
      </c>
      <c r="S37" s="8">
        <f>IF($AP37="","",INDEX('②クラス編成'!$H$9:$H$158,$AP37))</f>
        <v>1</v>
      </c>
      <c r="T37" s="11">
        <f>IF($AP37="","",INDEX('②クラス編成'!$I$9:$I$158,$AP37))</f>
        <v>60.4</v>
      </c>
      <c r="U37" s="11">
        <f>IF($AP37="","",INDEX('②クラス編成'!$J$9:$J$158,$AP37))</f>
        <v>9</v>
      </c>
      <c r="V37" s="8" t="str">
        <f>IF($AP37="","",INDEX('②クラス編成'!$K$9:$K$158,$AP37))</f>
        <v/>
      </c>
      <c r="W37" s="8" t="str">
        <f>IF($AP37="","",INDEX('②クラス編成'!$L$9:$L$158,$AP37))</f>
        <v>〇</v>
      </c>
      <c r="X37" s="8" t="str">
        <f>IF($AP37="","",INDEX('②クラス編成'!$M$9:$M$158,$AP37))</f>
        <v/>
      </c>
      <c r="Y37" s="8" t="str">
        <f>IF($AP37="","",INDEX('②クラス編成'!$N$9:$N$158,$AP37))</f>
        <v/>
      </c>
      <c r="Z37" s="12" t="str">
        <f>IF($AP37="","",INDEX('②クラス編成'!$P$9:$P$158,$AP37))</f>
        <v/>
      </c>
      <c r="AB37" s="58">
        <f>IF($AQ37="","",21)</f>
        <v>21</v>
      </c>
      <c r="AC37" s="8">
        <f>IF($AQ37="","",INDEX('②クラス編成'!$D$9:$D$158,$AQ37))</f>
        <v>2114</v>
      </c>
      <c r="AD37" s="59" t="str">
        <f>IF($AQ37="","",INDEX('②クラス編成'!$F$9:$F$158,$AQ37))</f>
        <v>酒井　芽依</v>
      </c>
      <c r="AE37" s="8" t="str">
        <f>IF($AQ37="","",INDEX('②クラス編成'!$G$9:$G$158,$AQ37))</f>
        <v>女</v>
      </c>
      <c r="AF37" s="8">
        <f>IF($AQ37="","",INDEX('②クラス編成'!$H$9:$H$158,$AQ37))</f>
        <v>1</v>
      </c>
      <c r="AG37" s="11">
        <f>IF($AQ37="","",INDEX('②クラス編成'!$I$9:$I$158,$AQ37))</f>
        <v>56.8</v>
      </c>
      <c r="AH37" s="11">
        <f>IF($AQ37="","",INDEX('②クラス編成'!$J$9:$J$158,$AQ37))</f>
        <v>8.7</v>
      </c>
      <c r="AI37" s="8" t="str">
        <f>IF($AQ37="","",INDEX('②クラス編成'!$K$9:$K$158,$AQ37))</f>
        <v/>
      </c>
      <c r="AJ37" s="8" t="str">
        <f>IF($AQ37="","",INDEX('②クラス編成'!$L$9:$L$158,$AQ37))</f>
        <v/>
      </c>
      <c r="AK37" s="8" t="str">
        <f>IF($AQ37="","",INDEX('②クラス編成'!$M$9:$M$158,$AQ37))</f>
        <v/>
      </c>
      <c r="AL37" s="8" t="str">
        <f>IF($AQ37="","",INDEX('②クラス編成'!$N$9:$N$158,$AQ37))</f>
        <v/>
      </c>
      <c r="AM37" s="12" t="str">
        <f>IF($AQ37="","",INDEX('②クラス編成'!$P$9:$P$158,$AQ37))</f>
        <v/>
      </c>
      <c r="AO37" s="14">
        <f>IFERROR(MATCH("1-21",'②クラス編成'!$AS$9:$AS$158,0),"")</f>
        <v>19</v>
      </c>
      <c r="AP37" s="14">
        <f>IFERROR(MATCH("2-21",'②クラス編成'!$AS$9:$AS$158,0),"")</f>
        <v>23</v>
      </c>
      <c r="AQ37" s="14">
        <f>IFERROR(MATCH("3-21",'②クラス編成'!$AS$9:$AS$158,0),"")</f>
        <v>14</v>
      </c>
    </row>
    <row r="38">
      <c r="B38" s="58">
        <f>IF($AO38="","",22)</f>
        <v>22</v>
      </c>
      <c r="C38" s="8">
        <f>IF($AO38="","",INDEX('②クラス編成'!$D$9:$D$158,$AO38))</f>
        <v>2121</v>
      </c>
      <c r="D38" s="59" t="str">
        <f>IF($AO38="","",INDEX('②クラス編成'!$F$9:$F$158,$AO38))</f>
        <v>田中　陽葵</v>
      </c>
      <c r="E38" s="8" t="str">
        <f>IF($AO38="","",INDEX('②クラス編成'!$G$9:$G$158,$AO38))</f>
        <v>女</v>
      </c>
      <c r="F38" s="8">
        <f>IF($AO38="","",INDEX('②クラス編成'!$H$9:$H$158,$AO38))</f>
        <v>1</v>
      </c>
      <c r="G38" s="11">
        <f>IF($AO38="","",INDEX('②クラス編成'!$I$9:$I$158,$AO38))</f>
        <v>56.6</v>
      </c>
      <c r="H38" s="11">
        <f>IF($AO38="","",INDEX('②クラス編成'!$J$9:$J$158,$AO38))</f>
        <v>8</v>
      </c>
      <c r="I38" s="8" t="str">
        <f>IF($AO38="","",INDEX('②クラス編成'!$K$9:$K$158,$AO38))</f>
        <v/>
      </c>
      <c r="J38" s="8" t="str">
        <f>IF($AO38="","",INDEX('②クラス編成'!$L$9:$L$158,$AO38))</f>
        <v/>
      </c>
      <c r="K38" s="8" t="str">
        <f>IF($AO38="","",INDEX('②クラス編成'!$M$9:$M$158,$AO38))</f>
        <v/>
      </c>
      <c r="L38" s="8" t="str">
        <f>IF($AO38="","",INDEX('②クラス編成'!$N$9:$N$158,$AO38))</f>
        <v/>
      </c>
      <c r="M38" s="12" t="str">
        <f>IF($AO38="","",INDEX('②クラス編成'!$P$9:$P$158,$AO38))</f>
        <v/>
      </c>
      <c r="O38" s="58">
        <f>IF($AP38="","",22)</f>
        <v>22</v>
      </c>
      <c r="P38" s="8">
        <f>IF($AP38="","",INDEX('②クラス編成'!$D$9:$D$158,$AP38))</f>
        <v>2126</v>
      </c>
      <c r="Q38" s="59" t="str">
        <f>IF($AP38="","",INDEX('②クラス編成'!$F$9:$F$158,$AP38))</f>
        <v>三浦　美桜</v>
      </c>
      <c r="R38" s="8" t="str">
        <f>IF($AP38="","",INDEX('②クラス編成'!$G$9:$G$158,$AP38))</f>
        <v>女</v>
      </c>
      <c r="S38" s="8">
        <f>IF($AP38="","",INDEX('②クラス編成'!$H$9:$H$158,$AP38))</f>
        <v>1</v>
      </c>
      <c r="T38" s="11">
        <f>IF($AP38="","",INDEX('②クラス編成'!$I$9:$I$158,$AP38))</f>
        <v>58.2</v>
      </c>
      <c r="U38" s="11">
        <f>IF($AP38="","",INDEX('②クラス編成'!$J$9:$J$158,$AP38))</f>
        <v>9.7</v>
      </c>
      <c r="V38" s="8" t="str">
        <f>IF($AP38="","",INDEX('②クラス編成'!$K$9:$K$158,$AP38))</f>
        <v/>
      </c>
      <c r="W38" s="8" t="str">
        <f>IF($AP38="","",INDEX('②クラス編成'!$L$9:$L$158,$AP38))</f>
        <v/>
      </c>
      <c r="X38" s="8" t="str">
        <f>IF($AP38="","",INDEX('②クラス編成'!$M$9:$M$158,$AP38))</f>
        <v/>
      </c>
      <c r="Y38" s="8" t="str">
        <f>IF($AP38="","",INDEX('②クラス編成'!$N$9:$N$158,$AP38))</f>
        <v/>
      </c>
      <c r="Z38" s="12" t="str">
        <f>IF($AP38="","",INDEX('②クラス編成'!$P$9:$P$158,$AP38))</f>
        <v/>
      </c>
      <c r="AB38" s="58">
        <f>IF($AQ38="","",22)</f>
        <v>22</v>
      </c>
      <c r="AC38" s="8">
        <f>IF($AQ38="","",INDEX('②クラス編成'!$D$9:$D$158,$AQ38))</f>
        <v>2115</v>
      </c>
      <c r="AD38" s="59" t="str">
        <f>IF($AQ38="","",INDEX('②クラス編成'!$F$9:$F$158,$AQ38))</f>
        <v>佐々木　理沙</v>
      </c>
      <c r="AE38" s="8" t="str">
        <f>IF($AQ38="","",INDEX('②クラス編成'!$G$9:$G$158,$AQ38))</f>
        <v>女</v>
      </c>
      <c r="AF38" s="8">
        <f>IF($AQ38="","",INDEX('②クラス編成'!$H$9:$H$158,$AQ38))</f>
        <v>1</v>
      </c>
      <c r="AG38" s="11">
        <f>IF($AQ38="","",INDEX('②クラス編成'!$I$9:$I$158,$AQ38))</f>
        <v>66.2</v>
      </c>
      <c r="AH38" s="11">
        <f>IF($AQ38="","",INDEX('②クラス編成'!$J$9:$J$158,$AQ38))</f>
        <v>9.4</v>
      </c>
      <c r="AI38" s="8" t="str">
        <f>IF($AQ38="","",INDEX('②クラス編成'!$K$9:$K$158,$AQ38))</f>
        <v/>
      </c>
      <c r="AJ38" s="8" t="str">
        <f>IF($AQ38="","",INDEX('②クラス編成'!$L$9:$L$158,$AQ38))</f>
        <v/>
      </c>
      <c r="AK38" s="8" t="str">
        <f>IF($AQ38="","",INDEX('②クラス編成'!$M$9:$M$158,$AQ38))</f>
        <v/>
      </c>
      <c r="AL38" s="8" t="str">
        <f>IF($AQ38="","",INDEX('②クラス編成'!$N$9:$N$158,$AQ38))</f>
        <v/>
      </c>
      <c r="AM38" s="12" t="str">
        <f>IF($AQ38="","",INDEX('②クラス編成'!$P$9:$P$158,$AQ38))</f>
        <v/>
      </c>
      <c r="AO38" s="14">
        <f>IFERROR(MATCH("1-22",'②クラス編成'!$AS$9:$AS$158,0),"")</f>
        <v>21</v>
      </c>
      <c r="AP38" s="14">
        <f>IFERROR(MATCH("2-22",'②クラス編成'!$AS$9:$AS$158,0),"")</f>
        <v>26</v>
      </c>
      <c r="AQ38" s="14">
        <f>IFERROR(MATCH("3-22",'②クラス編成'!$AS$9:$AS$158,0),"")</f>
        <v>15</v>
      </c>
    </row>
    <row r="39">
      <c r="B39" s="58">
        <f>IF($AO39="","",23)</f>
        <v>23</v>
      </c>
      <c r="C39" s="8">
        <f>IF($AO39="","",INDEX('②クラス編成'!$D$9:$D$158,$AO39))</f>
        <v>2122</v>
      </c>
      <c r="D39" s="59" t="str">
        <f>IF($AO39="","",INDEX('②クラス編成'!$F$9:$F$158,$AO39))</f>
        <v>中村　楓</v>
      </c>
      <c r="E39" s="8" t="str">
        <f>IF($AO39="","",INDEX('②クラス編成'!$G$9:$G$158,$AO39))</f>
        <v>女</v>
      </c>
      <c r="F39" s="8">
        <f>IF($AO39="","",INDEX('②クラス編成'!$H$9:$H$158,$AO39))</f>
        <v>1</v>
      </c>
      <c r="G39" s="11">
        <f>IF($AO39="","",INDEX('②クラス編成'!$I$9:$I$158,$AO39))</f>
        <v>50.2</v>
      </c>
      <c r="H39" s="11">
        <f>IF($AO39="","",INDEX('②クラス編成'!$J$9:$J$158,$AO39))</f>
        <v>9.3</v>
      </c>
      <c r="I39" s="8" t="str">
        <f>IF($AO39="","",INDEX('②クラス編成'!$K$9:$K$158,$AO39))</f>
        <v/>
      </c>
      <c r="J39" s="8" t="str">
        <f>IF($AO39="","",INDEX('②クラス編成'!$L$9:$L$158,$AO39))</f>
        <v/>
      </c>
      <c r="K39" s="8" t="str">
        <f>IF($AO39="","",INDEX('②クラス編成'!$M$9:$M$158,$AO39))</f>
        <v/>
      </c>
      <c r="L39" s="8" t="str">
        <f>IF($AO39="","",INDEX('②クラス編成'!$N$9:$N$158,$AO39))</f>
        <v/>
      </c>
      <c r="M39" s="12" t="str">
        <f>IF($AO39="","",INDEX('②クラス編成'!$P$9:$P$158,$AO39))</f>
        <v/>
      </c>
      <c r="O39" s="58">
        <f>IF($AP39="","",23)</f>
        <v>23</v>
      </c>
      <c r="P39" s="8">
        <f>IF($AP39="","",INDEX('②クラス編成'!$D$9:$D$158,$AP39))</f>
        <v>2132</v>
      </c>
      <c r="Q39" s="59" t="str">
        <f>IF($AP39="","",INDEX('②クラス編成'!$F$9:$F$158,$AP39))</f>
        <v>森田　心春</v>
      </c>
      <c r="R39" s="8" t="str">
        <f>IF($AP39="","",INDEX('②クラス編成'!$G$9:$G$158,$AP39))</f>
        <v>女</v>
      </c>
      <c r="S39" s="8">
        <f>IF($AP39="","",INDEX('②クラス編成'!$H$9:$H$158,$AP39))</f>
        <v>1</v>
      </c>
      <c r="T39" s="11">
        <f>IF($AP39="","",INDEX('②クラス編成'!$I$9:$I$158,$AP39))</f>
        <v>72.8</v>
      </c>
      <c r="U39" s="11">
        <f>IF($AP39="","",INDEX('②クラス編成'!$J$9:$J$158,$AP39))</f>
        <v>8</v>
      </c>
      <c r="V39" s="8" t="str">
        <f>IF($AP39="","",INDEX('②クラス編成'!$K$9:$K$158,$AP39))</f>
        <v/>
      </c>
      <c r="W39" s="8" t="str">
        <f>IF($AP39="","",INDEX('②クラス編成'!$L$9:$L$158,$AP39))</f>
        <v>〇</v>
      </c>
      <c r="X39" s="8" t="str">
        <f>IF($AP39="","",INDEX('②クラス編成'!$M$9:$M$158,$AP39))</f>
        <v/>
      </c>
      <c r="Y39" s="8" t="str">
        <f>IF($AP39="","",INDEX('②クラス編成'!$N$9:$N$158,$AP39))</f>
        <v/>
      </c>
      <c r="Z39" s="12" t="str">
        <f>IF($AP39="","",INDEX('②クラス編成'!$P$9:$P$158,$AP39))</f>
        <v/>
      </c>
      <c r="AB39" s="58">
        <f>IF($AQ39="","",23)</f>
        <v>23</v>
      </c>
      <c r="AC39" s="8">
        <f>IF($AQ39="","",INDEX('②クラス編成'!$D$9:$D$158,$AQ39))</f>
        <v>2130</v>
      </c>
      <c r="AD39" s="59" t="str">
        <f>IF($AQ39="","",INDEX('②クラス編成'!$F$9:$F$158,$AQ39))</f>
        <v>森　愛莉</v>
      </c>
      <c r="AE39" s="8" t="str">
        <f>IF($AQ39="","",INDEX('②クラス編成'!$G$9:$G$158,$AQ39))</f>
        <v>女</v>
      </c>
      <c r="AF39" s="8">
        <f>IF($AQ39="","",INDEX('②クラス編成'!$H$9:$H$158,$AQ39))</f>
        <v>1</v>
      </c>
      <c r="AG39" s="11">
        <f>IF($AQ39="","",INDEX('②クラス編成'!$I$9:$I$158,$AQ39))</f>
        <v>63.4</v>
      </c>
      <c r="AH39" s="11">
        <f>IF($AQ39="","",INDEX('②クラス編成'!$J$9:$J$158,$AQ39))</f>
        <v>8.6</v>
      </c>
      <c r="AI39" s="8" t="str">
        <f>IF($AQ39="","",INDEX('②クラス編成'!$K$9:$K$158,$AQ39))</f>
        <v/>
      </c>
      <c r="AJ39" s="8" t="str">
        <f>IF($AQ39="","",INDEX('②クラス編成'!$L$9:$L$158,$AQ39))</f>
        <v/>
      </c>
      <c r="AK39" s="8" t="str">
        <f>IF($AQ39="","",INDEX('②クラス編成'!$M$9:$M$158,$AQ39))</f>
        <v/>
      </c>
      <c r="AL39" s="8" t="str">
        <f>IF($AQ39="","",INDEX('②クラス編成'!$N$9:$N$158,$AQ39))</f>
        <v/>
      </c>
      <c r="AM39" s="12" t="str">
        <f>IF($AQ39="","",INDEX('②クラス編成'!$P$9:$P$158,$AQ39))</f>
        <v/>
      </c>
      <c r="AO39" s="14">
        <f>IFERROR(MATCH("1-23",'②クラス編成'!$AS$9:$AS$158,0),"")</f>
        <v>22</v>
      </c>
      <c r="AP39" s="14">
        <f>IFERROR(MATCH("2-23",'②クラス編成'!$AS$9:$AS$158,0),"")</f>
        <v>32</v>
      </c>
      <c r="AQ39" s="14">
        <f>IFERROR(MATCH("3-23",'②クラス編成'!$AS$9:$AS$158,0),"")</f>
        <v>30</v>
      </c>
    </row>
    <row r="40">
      <c r="B40" s="58">
        <f>IF($AO40="","",24)</f>
        <v>24</v>
      </c>
      <c r="C40" s="8">
        <f>IF($AO40="","",INDEX('②クラス編成'!$D$9:$D$158,$AO40))</f>
        <v>2131</v>
      </c>
      <c r="D40" s="59" t="str">
        <f>IF($AO40="","",INDEX('②クラス編成'!$F$9:$F$158,$AO40))</f>
        <v>森田　杏</v>
      </c>
      <c r="E40" s="8" t="str">
        <f>IF($AO40="","",INDEX('②クラス編成'!$G$9:$G$158,$AO40))</f>
        <v>女</v>
      </c>
      <c r="F40" s="8">
        <f>IF($AO40="","",INDEX('②クラス編成'!$H$9:$H$158,$AO40))</f>
        <v>1</v>
      </c>
      <c r="G40" s="11">
        <f>IF($AO40="","",INDEX('②クラス編成'!$I$9:$I$158,$AO40))</f>
        <v>62.2</v>
      </c>
      <c r="H40" s="11">
        <f>IF($AO40="","",INDEX('②クラス編成'!$J$9:$J$158,$AO40))</f>
        <v>9.6</v>
      </c>
      <c r="I40" s="8" t="str">
        <f>IF($AO40="","",INDEX('②クラス編成'!$K$9:$K$158,$AO40))</f>
        <v/>
      </c>
      <c r="J40" s="8" t="str">
        <f>IF($AO40="","",INDEX('②クラス編成'!$L$9:$L$158,$AO40))</f>
        <v/>
      </c>
      <c r="K40" s="8" t="str">
        <f>IF($AO40="","",INDEX('②クラス編成'!$M$9:$M$158,$AO40))</f>
        <v/>
      </c>
      <c r="L40" s="8" t="str">
        <f>IF($AO40="","",INDEX('②クラス編成'!$N$9:$N$158,$AO40))</f>
        <v/>
      </c>
      <c r="M40" s="12" t="str">
        <f>IF($AO40="","",INDEX('②クラス編成'!$P$9:$P$158,$AO40))</f>
        <v/>
      </c>
      <c r="O40" s="58">
        <f>IF($AP40="","",24)</f>
        <v>24</v>
      </c>
      <c r="P40" s="8">
        <f>IF($AP40="","",INDEX('②クラス編成'!$D$9:$D$158,$AP40))</f>
        <v>2133</v>
      </c>
      <c r="Q40" s="59" t="str">
        <f>IF($AP40="","",INDEX('②クラス編成'!$F$9:$F$158,$AP40))</f>
        <v>山崎　遥</v>
      </c>
      <c r="R40" s="8" t="str">
        <f>IF($AP40="","",INDEX('②クラス編成'!$G$9:$G$158,$AP40))</f>
        <v>女</v>
      </c>
      <c r="S40" s="8">
        <f>IF($AP40="","",INDEX('②クラス編成'!$H$9:$H$158,$AP40))</f>
        <v>1</v>
      </c>
      <c r="T40" s="11">
        <f>IF($AP40="","",INDEX('②クラス編成'!$I$9:$I$158,$AP40))</f>
        <v>49.4</v>
      </c>
      <c r="U40" s="11">
        <f>IF($AP40="","",INDEX('②クラス編成'!$J$9:$J$158,$AP40))</f>
        <v>8.7</v>
      </c>
      <c r="V40" s="8" t="str">
        <f>IF($AP40="","",INDEX('②クラス編成'!$K$9:$K$158,$AP40))</f>
        <v/>
      </c>
      <c r="W40" s="8" t="str">
        <f>IF($AP40="","",INDEX('②クラス編成'!$L$9:$L$158,$AP40))</f>
        <v/>
      </c>
      <c r="X40" s="8" t="str">
        <f>IF($AP40="","",INDEX('②クラス編成'!$M$9:$M$158,$AP40))</f>
        <v/>
      </c>
      <c r="Y40" s="8" t="str">
        <f>IF($AP40="","",INDEX('②クラス編成'!$N$9:$N$158,$AP40))</f>
        <v/>
      </c>
      <c r="Z40" s="12" t="str">
        <f>IF($AP40="","",INDEX('②クラス編成'!$P$9:$P$158,$AP40))</f>
        <v/>
      </c>
      <c r="AB40" s="58">
        <f>IF($AQ40="","",24)</f>
        <v>24</v>
      </c>
      <c r="AC40" s="8">
        <f>IF($AQ40="","",INDEX('②クラス編成'!$D$9:$D$158,$AQ40))</f>
        <v>2205</v>
      </c>
      <c r="AD40" s="59" t="str">
        <f>IF($AQ40="","",INDEX('②クラス編成'!$F$9:$F$158,$AQ40))</f>
        <v>石田　優奈</v>
      </c>
      <c r="AE40" s="8" t="str">
        <f>IF($AQ40="","",INDEX('②クラス編成'!$G$9:$G$158,$AQ40))</f>
        <v>女</v>
      </c>
      <c r="AF40" s="8">
        <f>IF($AQ40="","",INDEX('②クラス編成'!$H$9:$H$158,$AQ40))</f>
        <v>2</v>
      </c>
      <c r="AG40" s="11">
        <f>IF($AQ40="","",INDEX('②クラス編成'!$I$9:$I$158,$AQ40))</f>
        <v>76.2</v>
      </c>
      <c r="AH40" s="11">
        <f>IF($AQ40="","",INDEX('②クラス編成'!$J$9:$J$158,$AQ40))</f>
        <v>7.8</v>
      </c>
      <c r="AI40" s="8" t="str">
        <f>IF($AQ40="","",INDEX('②クラス編成'!$K$9:$K$158,$AQ40))</f>
        <v/>
      </c>
      <c r="AJ40" s="8" t="str">
        <f>IF($AQ40="","",INDEX('②クラス編成'!$L$9:$L$158,$AQ40))</f>
        <v/>
      </c>
      <c r="AK40" s="8" t="str">
        <f>IF($AQ40="","",INDEX('②クラス編成'!$M$9:$M$158,$AQ40))</f>
        <v/>
      </c>
      <c r="AL40" s="8" t="str">
        <f>IF($AQ40="","",INDEX('②クラス編成'!$N$9:$N$158,$AQ40))</f>
        <v/>
      </c>
      <c r="AM40" s="12" t="str">
        <f>IF($AQ40="","",INDEX('②クラス編成'!$P$9:$P$158,$AQ40))</f>
        <v/>
      </c>
      <c r="AO40" s="14">
        <f>IFERROR(MATCH("1-24",'②クラス編成'!$AS$9:$AS$158,0),"")</f>
        <v>31</v>
      </c>
      <c r="AP40" s="14">
        <f>IFERROR(MATCH("2-24",'②クラス編成'!$AS$9:$AS$158,0),"")</f>
        <v>33</v>
      </c>
      <c r="AQ40" s="14">
        <f>IFERROR(MATCH("3-24",'②クラス編成'!$AS$9:$AS$158,0),"")</f>
        <v>40</v>
      </c>
    </row>
    <row r="41">
      <c r="B41" s="58">
        <f>IF($AO41="","",25)</f>
        <v>25</v>
      </c>
      <c r="C41" s="8">
        <f>IF($AO41="","",INDEX('②クラス編成'!$D$9:$D$158,$AO41))</f>
        <v>2203</v>
      </c>
      <c r="D41" s="59" t="str">
        <f>IF($AO41="","",INDEX('②クラス編成'!$F$9:$F$158,$AO41))</f>
        <v>石田　心春</v>
      </c>
      <c r="E41" s="8" t="str">
        <f>IF($AO41="","",INDEX('②クラス編成'!$G$9:$G$158,$AO41))</f>
        <v>女</v>
      </c>
      <c r="F41" s="8">
        <f>IF($AO41="","",INDEX('②クラス編成'!$H$9:$H$158,$AO41))</f>
        <v>2</v>
      </c>
      <c r="G41" s="11">
        <f>IF($AO41="","",INDEX('②クラス編成'!$I$9:$I$158,$AO41))</f>
        <v>74.4</v>
      </c>
      <c r="H41" s="11">
        <f>IF($AO41="","",INDEX('②クラス編成'!$J$9:$J$158,$AO41))</f>
        <v>8.1</v>
      </c>
      <c r="I41" s="8" t="str">
        <f>IF($AO41="","",INDEX('②クラス編成'!$K$9:$K$158,$AO41))</f>
        <v>〇</v>
      </c>
      <c r="J41" s="8" t="str">
        <f>IF($AO41="","",INDEX('②クラス編成'!$L$9:$L$158,$AO41))</f>
        <v/>
      </c>
      <c r="K41" s="8" t="str">
        <f>IF($AO41="","",INDEX('②クラス編成'!$M$9:$M$158,$AO41))</f>
        <v/>
      </c>
      <c r="L41" s="8" t="str">
        <f>IF($AO41="","",INDEX('②クラス編成'!$N$9:$N$158,$AO41))</f>
        <v/>
      </c>
      <c r="M41" s="12" t="str">
        <f>IF($AO41="","",INDEX('②クラス編成'!$P$9:$P$158,$AO41))</f>
        <v/>
      </c>
      <c r="O41" s="58">
        <f>IF($AP41="","",25)</f>
        <v>25</v>
      </c>
      <c r="P41" s="8">
        <f>IF($AP41="","",INDEX('②クラス編成'!$D$9:$D$158,$AP41))</f>
        <v>2201</v>
      </c>
      <c r="Q41" s="59" t="str">
        <f>IF($AP41="","",INDEX('②クラス編成'!$F$9:$F$158,$AP41))</f>
        <v>石井　凛</v>
      </c>
      <c r="R41" s="8" t="str">
        <f>IF($AP41="","",INDEX('②クラス編成'!$G$9:$G$158,$AP41))</f>
        <v>女</v>
      </c>
      <c r="S41" s="8">
        <f>IF($AP41="","",INDEX('②クラス編成'!$H$9:$H$158,$AP41))</f>
        <v>2</v>
      </c>
      <c r="T41" s="11">
        <f>IF($AP41="","",INDEX('②クラス編成'!$I$9:$I$158,$AP41))</f>
        <v>54.6</v>
      </c>
      <c r="U41" s="11">
        <f>IF($AP41="","",INDEX('②クラス編成'!$J$9:$J$158,$AP41))</f>
        <v>8.5</v>
      </c>
      <c r="V41" s="8" t="str">
        <f>IF($AP41="","",INDEX('②クラス編成'!$K$9:$K$158,$AP41))</f>
        <v/>
      </c>
      <c r="W41" s="8" t="str">
        <f>IF($AP41="","",INDEX('②クラス編成'!$L$9:$L$158,$AP41))</f>
        <v/>
      </c>
      <c r="X41" s="8" t="str">
        <f>IF($AP41="","",INDEX('②クラス編成'!$M$9:$M$158,$AP41))</f>
        <v/>
      </c>
      <c r="Y41" s="8" t="str">
        <f>IF($AP41="","",INDEX('②クラス編成'!$N$9:$N$158,$AP41))</f>
        <v/>
      </c>
      <c r="Z41" s="12" t="str">
        <f>IF($AP41="","",INDEX('②クラス編成'!$P$9:$P$158,$AP41))</f>
        <v/>
      </c>
      <c r="AB41" s="58">
        <f>IF($AQ41="","",25)</f>
        <v>25</v>
      </c>
      <c r="AC41" s="8">
        <f>IF($AQ41="","",INDEX('②クラス編成'!$D$9:$D$158,$AQ41))</f>
        <v>2209</v>
      </c>
      <c r="AD41" s="59" t="str">
        <f>IF($AQ41="","",INDEX('②クラス編成'!$F$9:$F$158,$AQ41))</f>
        <v>遠藤　杏</v>
      </c>
      <c r="AE41" s="8" t="str">
        <f>IF($AQ41="","",INDEX('②クラス編成'!$G$9:$G$158,$AQ41))</f>
        <v>女</v>
      </c>
      <c r="AF41" s="8">
        <f>IF($AQ41="","",INDEX('②クラス編成'!$H$9:$H$158,$AQ41))</f>
        <v>2</v>
      </c>
      <c r="AG41" s="11">
        <f>IF($AQ41="","",INDEX('②クラス編成'!$I$9:$I$158,$AQ41))</f>
        <v>69.6</v>
      </c>
      <c r="AH41" s="11">
        <f>IF($AQ41="","",INDEX('②クラス編成'!$J$9:$J$158,$AQ41))</f>
        <v>8.7</v>
      </c>
      <c r="AI41" s="8" t="str">
        <f>IF($AQ41="","",INDEX('②クラス編成'!$K$9:$K$158,$AQ41))</f>
        <v/>
      </c>
      <c r="AJ41" s="8" t="str">
        <f>IF($AQ41="","",INDEX('②クラス編成'!$L$9:$L$158,$AQ41))</f>
        <v/>
      </c>
      <c r="AK41" s="8" t="str">
        <f>IF($AQ41="","",INDEX('②クラス編成'!$M$9:$M$158,$AQ41))</f>
        <v/>
      </c>
      <c r="AL41" s="8" t="str">
        <f>IF($AQ41="","",INDEX('②クラス編成'!$N$9:$N$158,$AQ41))</f>
        <v/>
      </c>
      <c r="AM41" s="12" t="str">
        <f>IF($AQ41="","",INDEX('②クラス編成'!$P$9:$P$158,$AQ41))</f>
        <v/>
      </c>
      <c r="AO41" s="14">
        <f>IFERROR(MATCH("1-25",'②クラス編成'!$AS$9:$AS$158,0),"")</f>
        <v>38</v>
      </c>
      <c r="AP41" s="14">
        <f>IFERROR(MATCH("2-25",'②クラス編成'!$AS$9:$AS$158,0),"")</f>
        <v>36</v>
      </c>
      <c r="AQ41" s="14">
        <f>IFERROR(MATCH("3-25",'②クラス編成'!$AS$9:$AS$158,0),"")</f>
        <v>44</v>
      </c>
    </row>
    <row r="42">
      <c r="B42" s="58">
        <f>IF($AO42="","",26)</f>
        <v>26</v>
      </c>
      <c r="C42" s="8">
        <f>IF($AO42="","",INDEX('②クラス編成'!$D$9:$D$158,$AO42))</f>
        <v>2207</v>
      </c>
      <c r="D42" s="59" t="str">
        <f>IF($AO42="","",INDEX('②クラス編成'!$F$9:$F$158,$AO42))</f>
        <v>伊藤　美桜</v>
      </c>
      <c r="E42" s="8" t="str">
        <f>IF($AO42="","",INDEX('②クラス編成'!$G$9:$G$158,$AO42))</f>
        <v>女</v>
      </c>
      <c r="F42" s="8">
        <f>IF($AO42="","",INDEX('②クラス編成'!$H$9:$H$158,$AO42))</f>
        <v>2</v>
      </c>
      <c r="G42" s="11">
        <f>IF($AO42="","",INDEX('②クラス編成'!$I$9:$I$158,$AO42))</f>
        <v>48</v>
      </c>
      <c r="H42" s="11">
        <f>IF($AO42="","",INDEX('②クラス編成'!$J$9:$J$158,$AO42))</f>
        <v>8.8</v>
      </c>
      <c r="I42" s="8" t="str">
        <f>IF($AO42="","",INDEX('②クラス編成'!$K$9:$K$158,$AO42))</f>
        <v/>
      </c>
      <c r="J42" s="8" t="str">
        <f>IF($AO42="","",INDEX('②クラス編成'!$L$9:$L$158,$AO42))</f>
        <v/>
      </c>
      <c r="K42" s="8" t="str">
        <f>IF($AO42="","",INDEX('②クラス編成'!$M$9:$M$158,$AO42))</f>
        <v/>
      </c>
      <c r="L42" s="8" t="str">
        <f>IF($AO42="","",INDEX('②クラス編成'!$N$9:$N$158,$AO42))</f>
        <v/>
      </c>
      <c r="M42" s="12" t="str">
        <f>IF($AO42="","",INDEX('②クラス編成'!$P$9:$P$158,$AO42))</f>
        <v>吉田　陽翔</v>
      </c>
      <c r="O42" s="58">
        <f>IF($AP42="","",26)</f>
        <v>26</v>
      </c>
      <c r="P42" s="8">
        <f>IF($AP42="","",INDEX('②クラス編成'!$D$9:$D$158,$AP42))</f>
        <v>2202</v>
      </c>
      <c r="Q42" s="59" t="str">
        <f>IF($AP42="","",INDEX('②クラス編成'!$F$9:$F$158,$AP42))</f>
        <v>石川　紬</v>
      </c>
      <c r="R42" s="8" t="str">
        <f>IF($AP42="","",INDEX('②クラス編成'!$G$9:$G$158,$AP42))</f>
        <v>女</v>
      </c>
      <c r="S42" s="8">
        <f>IF($AP42="","",INDEX('②クラス編成'!$H$9:$H$158,$AP42))</f>
        <v>2</v>
      </c>
      <c r="T42" s="11">
        <f>IF($AP42="","",INDEX('②クラス編成'!$I$9:$I$158,$AP42))</f>
        <v>42.4</v>
      </c>
      <c r="U42" s="11">
        <f>IF($AP42="","",INDEX('②クラス編成'!$J$9:$J$158,$AP42))</f>
        <v>8</v>
      </c>
      <c r="V42" s="8" t="str">
        <f>IF($AP42="","",INDEX('②クラス編成'!$K$9:$K$158,$AP42))</f>
        <v/>
      </c>
      <c r="W42" s="8" t="str">
        <f>IF($AP42="","",INDEX('②クラス編成'!$L$9:$L$158,$AP42))</f>
        <v/>
      </c>
      <c r="X42" s="8" t="str">
        <f>IF($AP42="","",INDEX('②クラス編成'!$M$9:$M$158,$AP42))</f>
        <v/>
      </c>
      <c r="Y42" s="8" t="str">
        <f>IF($AP42="","",INDEX('②クラス編成'!$N$9:$N$158,$AP42))</f>
        <v/>
      </c>
      <c r="Z42" s="12" t="str">
        <f>IF($AP42="","",INDEX('②クラス編成'!$P$9:$P$158,$AP42))</f>
        <v/>
      </c>
      <c r="AB42" s="58">
        <f>IF($AQ42="","",26)</f>
        <v>26</v>
      </c>
      <c r="AC42" s="8">
        <f>IF($AQ42="","",INDEX('②クラス編成'!$D$9:$D$158,$AQ42))</f>
        <v>2223</v>
      </c>
      <c r="AD42" s="59" t="str">
        <f>IF($AQ42="","",INDEX('②クラス編成'!$F$9:$F$158,$AQ42))</f>
        <v>橋本　琴音</v>
      </c>
      <c r="AE42" s="8" t="str">
        <f>IF($AQ42="","",INDEX('②クラス編成'!$G$9:$G$158,$AQ42))</f>
        <v>女</v>
      </c>
      <c r="AF42" s="8">
        <f>IF($AQ42="","",INDEX('②クラス編成'!$H$9:$H$158,$AQ42))</f>
        <v>2</v>
      </c>
      <c r="AG42" s="11">
        <f>IF($AQ42="","",INDEX('②クラス編成'!$I$9:$I$158,$AQ42))</f>
        <v>69.6</v>
      </c>
      <c r="AH42" s="11">
        <f>IF($AQ42="","",INDEX('②クラス編成'!$J$9:$J$158,$AQ42))</f>
        <v>9.1</v>
      </c>
      <c r="AI42" s="8" t="str">
        <f>IF($AQ42="","",INDEX('②クラス編成'!$K$9:$K$158,$AQ42))</f>
        <v/>
      </c>
      <c r="AJ42" s="8" t="str">
        <f>IF($AQ42="","",INDEX('②クラス編成'!$L$9:$L$158,$AQ42))</f>
        <v>〇</v>
      </c>
      <c r="AK42" s="8" t="str">
        <f>IF($AQ42="","",INDEX('②クラス編成'!$M$9:$M$158,$AQ42))</f>
        <v/>
      </c>
      <c r="AL42" s="8" t="str">
        <f>IF($AQ42="","",INDEX('②クラス編成'!$N$9:$N$158,$AQ42))</f>
        <v/>
      </c>
      <c r="AM42" s="12" t="str">
        <f>IF($AQ42="","",INDEX('②クラス編成'!$P$9:$P$158,$AQ42))</f>
        <v/>
      </c>
      <c r="AO42" s="14">
        <f>IFERROR(MATCH("1-26",'②クラス編成'!$AS$9:$AS$158,0),"")</f>
        <v>42</v>
      </c>
      <c r="AP42" s="14">
        <f>IFERROR(MATCH("2-26",'②クラス編成'!$AS$9:$AS$158,0),"")</f>
        <v>37</v>
      </c>
      <c r="AQ42" s="14">
        <f>IFERROR(MATCH("3-26",'②クラス編成'!$AS$9:$AS$158,0),"")</f>
        <v>58</v>
      </c>
    </row>
    <row r="43">
      <c r="B43" s="58">
        <f>IF($AO43="","",27)</f>
        <v>27</v>
      </c>
      <c r="C43" s="8">
        <f>IF($AO43="","",INDEX('②クラス編成'!$D$9:$D$158,$AO43))</f>
        <v>2214</v>
      </c>
      <c r="D43" s="59" t="str">
        <f>IF($AO43="","",INDEX('②クラス編成'!$F$9:$F$158,$AO43))</f>
        <v>金子　咲良</v>
      </c>
      <c r="E43" s="8" t="str">
        <f>IF($AO43="","",INDEX('②クラス編成'!$G$9:$G$158,$AO43))</f>
        <v>女</v>
      </c>
      <c r="F43" s="8">
        <f>IF($AO43="","",INDEX('②クラス編成'!$H$9:$H$158,$AO43))</f>
        <v>2</v>
      </c>
      <c r="G43" s="11">
        <f>IF($AO43="","",INDEX('②クラス編成'!$I$9:$I$158,$AO43))</f>
        <v>78.2</v>
      </c>
      <c r="H43" s="11">
        <f>IF($AO43="","",INDEX('②クラス編成'!$J$9:$J$158,$AO43))</f>
        <v>9.9</v>
      </c>
      <c r="I43" s="8" t="str">
        <f>IF($AO43="","",INDEX('②クラス編成'!$K$9:$K$158,$AO43))</f>
        <v/>
      </c>
      <c r="J43" s="8" t="str">
        <f>IF($AO43="","",INDEX('②クラス編成'!$L$9:$L$158,$AO43))</f>
        <v/>
      </c>
      <c r="K43" s="8" t="str">
        <f>IF($AO43="","",INDEX('②クラス編成'!$M$9:$M$158,$AO43))</f>
        <v/>
      </c>
      <c r="L43" s="8" t="str">
        <f>IF($AO43="","",INDEX('②クラス編成'!$N$9:$N$158,$AO43))</f>
        <v>〇</v>
      </c>
      <c r="M43" s="12" t="str">
        <f>IF($AO43="","",INDEX('②クラス編成'!$P$9:$P$158,$AO43))</f>
        <v/>
      </c>
      <c r="O43" s="58">
        <f>IF($AP43="","",27)</f>
        <v>27</v>
      </c>
      <c r="P43" s="8">
        <f>IF($AP43="","",INDEX('②クラス編成'!$D$9:$D$158,$AP43))</f>
        <v>2208</v>
      </c>
      <c r="Q43" s="59" t="str">
        <f>IF($AP43="","",INDEX('②クラス編成'!$F$9:$F$158,$AP43))</f>
        <v>江口　美桜</v>
      </c>
      <c r="R43" s="8" t="str">
        <f>IF($AP43="","",INDEX('②クラス編成'!$G$9:$G$158,$AP43))</f>
        <v>女</v>
      </c>
      <c r="S43" s="8">
        <f>IF($AP43="","",INDEX('②クラス編成'!$H$9:$H$158,$AP43))</f>
        <v>2</v>
      </c>
      <c r="T43" s="11">
        <f>IF($AP43="","",INDEX('②クラス編成'!$I$9:$I$158,$AP43))</f>
        <v>80</v>
      </c>
      <c r="U43" s="11">
        <f>IF($AP43="","",INDEX('②クラス編成'!$J$9:$J$158,$AP43))</f>
        <v>8.7</v>
      </c>
      <c r="V43" s="8" t="str">
        <f>IF($AP43="","",INDEX('②クラス編成'!$K$9:$K$158,$AP43))</f>
        <v/>
      </c>
      <c r="W43" s="8" t="str">
        <f>IF($AP43="","",INDEX('②クラス編成'!$L$9:$L$158,$AP43))</f>
        <v/>
      </c>
      <c r="X43" s="8" t="str">
        <f>IF($AP43="","",INDEX('②クラス編成'!$M$9:$M$158,$AP43))</f>
        <v/>
      </c>
      <c r="Y43" s="8" t="str">
        <f>IF($AP43="","",INDEX('②クラス編成'!$N$9:$N$158,$AP43))</f>
        <v/>
      </c>
      <c r="Z43" s="12" t="str">
        <f>IF($AP43="","",INDEX('②クラス編成'!$P$9:$P$158,$AP43))</f>
        <v/>
      </c>
      <c r="AB43" s="58">
        <f>IF($AQ43="","",27)</f>
        <v>27</v>
      </c>
      <c r="AC43" s="8">
        <f>IF($AQ43="","",INDEX('②クラス編成'!$D$9:$D$158,$AQ43))</f>
        <v>2224</v>
      </c>
      <c r="AD43" s="59" t="str">
        <f>IF($AQ43="","",INDEX('②クラス編成'!$F$9:$F$158,$AQ43))</f>
        <v>福田　美咲</v>
      </c>
      <c r="AE43" s="8" t="str">
        <f>IF($AQ43="","",INDEX('②クラス編成'!$G$9:$G$158,$AQ43))</f>
        <v>女</v>
      </c>
      <c r="AF43" s="8">
        <f>IF($AQ43="","",INDEX('②クラス編成'!$H$9:$H$158,$AQ43))</f>
        <v>2</v>
      </c>
      <c r="AG43" s="11">
        <f>IF($AQ43="","",INDEX('②クラス編成'!$I$9:$I$158,$AQ43))</f>
        <v>38.8</v>
      </c>
      <c r="AH43" s="11">
        <f>IF($AQ43="","",INDEX('②クラス編成'!$J$9:$J$158,$AQ43))</f>
        <v>8.8</v>
      </c>
      <c r="AI43" s="8" t="str">
        <f>IF($AQ43="","",INDEX('②クラス編成'!$K$9:$K$158,$AQ43))</f>
        <v/>
      </c>
      <c r="AJ43" s="8" t="str">
        <f>IF($AQ43="","",INDEX('②クラス編成'!$L$9:$L$158,$AQ43))</f>
        <v/>
      </c>
      <c r="AK43" s="8" t="str">
        <f>IF($AQ43="","",INDEX('②クラス編成'!$M$9:$M$158,$AQ43))</f>
        <v/>
      </c>
      <c r="AL43" s="8" t="str">
        <f>IF($AQ43="","",INDEX('②クラス編成'!$N$9:$N$158,$AQ43))</f>
        <v/>
      </c>
      <c r="AM43" s="12" t="str">
        <f>IF($AQ43="","",INDEX('②クラス編成'!$P$9:$P$158,$AQ43))</f>
        <v/>
      </c>
      <c r="AO43" s="14">
        <f>IFERROR(MATCH("1-27",'②クラス編成'!$AS$9:$AS$158,0),"")</f>
        <v>49</v>
      </c>
      <c r="AP43" s="14">
        <f>IFERROR(MATCH("2-27",'②クラス編成'!$AS$9:$AS$158,0),"")</f>
        <v>43</v>
      </c>
      <c r="AQ43" s="14">
        <f>IFERROR(MATCH("3-27",'②クラス編成'!$AS$9:$AS$158,0),"")</f>
        <v>59</v>
      </c>
    </row>
    <row r="44">
      <c r="B44" s="58">
        <f>IF($AO44="","",28)</f>
        <v>28</v>
      </c>
      <c r="C44" s="8">
        <f>IF($AO44="","",INDEX('②クラス編成'!$D$9:$D$158,$AO44))</f>
        <v>2219</v>
      </c>
      <c r="D44" s="59" t="str">
        <f>IF($AO44="","",INDEX('②クラス編成'!$F$9:$F$158,$AO44))</f>
        <v>鈴木　葵</v>
      </c>
      <c r="E44" s="8" t="str">
        <f>IF($AO44="","",INDEX('②クラス編成'!$G$9:$G$158,$AO44))</f>
        <v>女</v>
      </c>
      <c r="F44" s="8">
        <f>IF($AO44="","",INDEX('②クラス編成'!$H$9:$H$158,$AO44))</f>
        <v>2</v>
      </c>
      <c r="G44" s="11">
        <f>IF($AO44="","",INDEX('②クラス編成'!$I$9:$I$158,$AO44))</f>
        <v>51.8</v>
      </c>
      <c r="H44" s="11">
        <f>IF($AO44="","",INDEX('②クラス編成'!$J$9:$J$158,$AO44))</f>
        <v>8.1</v>
      </c>
      <c r="I44" s="8" t="str">
        <f>IF($AO44="","",INDEX('②クラス編成'!$K$9:$K$158,$AO44))</f>
        <v/>
      </c>
      <c r="J44" s="8" t="str">
        <f>IF($AO44="","",INDEX('②クラス編成'!$L$9:$L$158,$AO44))</f>
        <v/>
      </c>
      <c r="K44" s="8" t="str">
        <f>IF($AO44="","",INDEX('②クラス編成'!$M$9:$M$158,$AO44))</f>
        <v/>
      </c>
      <c r="L44" s="8" t="str">
        <f>IF($AO44="","",INDEX('②クラス編成'!$N$9:$N$158,$AO44))</f>
        <v/>
      </c>
      <c r="M44" s="12" t="str">
        <f>IF($AO44="","",INDEX('②クラス編成'!$P$9:$P$158,$AO44))</f>
        <v/>
      </c>
      <c r="O44" s="58">
        <f>IF($AP44="","",28)</f>
        <v>28</v>
      </c>
      <c r="P44" s="8">
        <f>IF($AP44="","",INDEX('②クラス編成'!$D$9:$D$158,$AP44))</f>
        <v>2211</v>
      </c>
      <c r="Q44" s="59" t="str">
        <f>IF($AP44="","",INDEX('②クラス編成'!$F$9:$F$158,$AP44))</f>
        <v>小川　陽葵</v>
      </c>
      <c r="R44" s="8" t="str">
        <f>IF($AP44="","",INDEX('②クラス編成'!$G$9:$G$158,$AP44))</f>
        <v>女</v>
      </c>
      <c r="S44" s="8">
        <f>IF($AP44="","",INDEX('②クラス編成'!$H$9:$H$158,$AP44))</f>
        <v>2</v>
      </c>
      <c r="T44" s="11">
        <f>IF($AP44="","",INDEX('②クラス編成'!$I$9:$I$158,$AP44))</f>
        <v>47.2</v>
      </c>
      <c r="U44" s="11">
        <f>IF($AP44="","",INDEX('②クラス編成'!$J$9:$J$158,$AP44))</f>
        <v>8.8</v>
      </c>
      <c r="V44" s="8" t="str">
        <f>IF($AP44="","",INDEX('②クラス編成'!$K$9:$K$158,$AP44))</f>
        <v>〇</v>
      </c>
      <c r="W44" s="8" t="str">
        <f>IF($AP44="","",INDEX('②クラス編成'!$L$9:$L$158,$AP44))</f>
        <v/>
      </c>
      <c r="X44" s="8" t="str">
        <f>IF($AP44="","",INDEX('②クラス編成'!$M$9:$M$158,$AP44))</f>
        <v/>
      </c>
      <c r="Y44" s="8" t="str">
        <f>IF($AP44="","",INDEX('②クラス編成'!$N$9:$N$158,$AP44))</f>
        <v/>
      </c>
      <c r="Z44" s="12" t="str">
        <f>IF($AP44="","",INDEX('②クラス編成'!$P$9:$P$158,$AP44))</f>
        <v/>
      </c>
      <c r="AB44" s="58">
        <f>IF($AQ44="","",28)</f>
        <v>28</v>
      </c>
      <c r="AC44" s="8">
        <f>IF($AQ44="","",INDEX('②クラス編成'!$D$9:$D$158,$AQ44))</f>
        <v>2228</v>
      </c>
      <c r="AD44" s="59" t="str">
        <f>IF($AQ44="","",INDEX('②クラス編成'!$F$9:$F$158,$AQ44))</f>
        <v>宮崎　紬</v>
      </c>
      <c r="AE44" s="8" t="str">
        <f>IF($AQ44="","",INDEX('②クラス編成'!$G$9:$G$158,$AQ44))</f>
        <v>女</v>
      </c>
      <c r="AF44" s="8">
        <f>IF($AQ44="","",INDEX('②クラス編成'!$H$9:$H$158,$AQ44))</f>
        <v>2</v>
      </c>
      <c r="AG44" s="11">
        <f>IF($AQ44="","",INDEX('②クラス編成'!$I$9:$I$158,$AQ44))</f>
        <v>83</v>
      </c>
      <c r="AH44" s="11">
        <f>IF($AQ44="","",INDEX('②クラス編成'!$J$9:$J$158,$AQ44))</f>
        <v>9.4</v>
      </c>
      <c r="AI44" s="8" t="str">
        <f>IF($AQ44="","",INDEX('②クラス編成'!$K$9:$K$158,$AQ44))</f>
        <v/>
      </c>
      <c r="AJ44" s="8" t="str">
        <f>IF($AQ44="","",INDEX('②クラス編成'!$L$9:$L$158,$AQ44))</f>
        <v/>
      </c>
      <c r="AK44" s="8" t="str">
        <f>IF($AQ44="","",INDEX('②クラス編成'!$M$9:$M$158,$AQ44))</f>
        <v/>
      </c>
      <c r="AL44" s="8" t="str">
        <f>IF($AQ44="","",INDEX('②クラス編成'!$N$9:$N$158,$AQ44))</f>
        <v/>
      </c>
      <c r="AM44" s="12" t="str">
        <f>IF($AQ44="","",INDEX('②クラス編成'!$P$9:$P$158,$AQ44))</f>
        <v/>
      </c>
      <c r="AO44" s="14">
        <f>IFERROR(MATCH("1-28",'②クラス編成'!$AS$9:$AS$158,0),"")</f>
        <v>54</v>
      </c>
      <c r="AP44" s="14">
        <f>IFERROR(MATCH("2-28",'②クラス編成'!$AS$9:$AS$158,0),"")</f>
        <v>46</v>
      </c>
      <c r="AQ44" s="14">
        <f>IFERROR(MATCH("3-28",'②クラス編成'!$AS$9:$AS$158,0),"")</f>
        <v>63</v>
      </c>
    </row>
    <row r="45">
      <c r="B45" s="58">
        <f>IF($AO45="","",29)</f>
        <v>29</v>
      </c>
      <c r="C45" s="8">
        <f>IF($AO45="","",INDEX('②クラス編成'!$D$9:$D$158,$AO45))</f>
        <v>2226</v>
      </c>
      <c r="D45" s="59" t="str">
        <f>IF($AO45="","",INDEX('②クラス編成'!$F$9:$F$158,$AO45))</f>
        <v>藤田　彩花</v>
      </c>
      <c r="E45" s="8" t="str">
        <f>IF($AO45="","",INDEX('②クラス編成'!$G$9:$G$158,$AO45))</f>
        <v>女</v>
      </c>
      <c r="F45" s="8">
        <f>IF($AO45="","",INDEX('②クラス編成'!$H$9:$H$158,$AO45))</f>
        <v>2</v>
      </c>
      <c r="G45" s="11">
        <f>IF($AO45="","",INDEX('②クラス編成'!$I$9:$I$158,$AO45))</f>
        <v>59.4</v>
      </c>
      <c r="H45" s="11">
        <f>IF($AO45="","",INDEX('②クラス編成'!$J$9:$J$158,$AO45))</f>
        <v>8.9</v>
      </c>
      <c r="I45" s="8" t="str">
        <f>IF($AO45="","",INDEX('②クラス編成'!$K$9:$K$158,$AO45))</f>
        <v/>
      </c>
      <c r="J45" s="8" t="str">
        <f>IF($AO45="","",INDEX('②クラス編成'!$L$9:$L$158,$AO45))</f>
        <v/>
      </c>
      <c r="K45" s="8" t="str">
        <f>IF($AO45="","",INDEX('②クラス編成'!$M$9:$M$158,$AO45))</f>
        <v/>
      </c>
      <c r="L45" s="8" t="str">
        <f>IF($AO45="","",INDEX('②クラス編成'!$N$9:$N$158,$AO45))</f>
        <v/>
      </c>
      <c r="M45" s="12" t="str">
        <f>IF($AO45="","",INDEX('②クラス編成'!$P$9:$P$158,$AO45))</f>
        <v>森田　美羽</v>
      </c>
      <c r="O45" s="58">
        <f>IF($AP45="","",29)</f>
        <v>29</v>
      </c>
      <c r="P45" s="8">
        <f>IF($AP45="","",INDEX('②クラス編成'!$D$9:$D$158,$AP45))</f>
        <v>2216</v>
      </c>
      <c r="Q45" s="59" t="str">
        <f>IF($AP45="","",INDEX('②クラス編成'!$F$9:$F$158,$AP45))</f>
        <v>後藤　美咲</v>
      </c>
      <c r="R45" s="8" t="str">
        <f>IF($AP45="","",INDEX('②クラス編成'!$G$9:$G$158,$AP45))</f>
        <v>女</v>
      </c>
      <c r="S45" s="8">
        <f>IF($AP45="","",INDEX('②クラス編成'!$H$9:$H$158,$AP45))</f>
        <v>2</v>
      </c>
      <c r="T45" s="11">
        <f>IF($AP45="","",INDEX('②クラス編成'!$I$9:$I$158,$AP45))</f>
        <v>65</v>
      </c>
      <c r="U45" s="11">
        <f>IF($AP45="","",INDEX('②クラス編成'!$J$9:$J$158,$AP45))</f>
        <v>10</v>
      </c>
      <c r="V45" s="8" t="str">
        <f>IF($AP45="","",INDEX('②クラス編成'!$K$9:$K$158,$AP45))</f>
        <v/>
      </c>
      <c r="W45" s="8" t="str">
        <f>IF($AP45="","",INDEX('②クラス編成'!$L$9:$L$158,$AP45))</f>
        <v/>
      </c>
      <c r="X45" s="8" t="str">
        <f>IF($AP45="","",INDEX('②クラス編成'!$M$9:$M$158,$AP45))</f>
        <v/>
      </c>
      <c r="Y45" s="8" t="str">
        <f>IF($AP45="","",INDEX('②クラス編成'!$N$9:$N$158,$AP45))</f>
        <v/>
      </c>
      <c r="Z45" s="12" t="str">
        <f>IF($AP45="","",INDEX('②クラス編成'!$P$9:$P$158,$AP45))</f>
        <v/>
      </c>
      <c r="AB45" s="58">
        <f>IF($AQ45="","",29)</f>
        <v>29</v>
      </c>
      <c r="AC45" s="8">
        <f>IF($AQ45="","",INDEX('②クラス編成'!$D$9:$D$158,$AQ45))</f>
        <v>2233</v>
      </c>
      <c r="AD45" s="59" t="str">
        <f>IF($AQ45="","",INDEX('②クラス編成'!$F$9:$F$158,$AQ45))</f>
        <v>吉田　遥</v>
      </c>
      <c r="AE45" s="8" t="str">
        <f>IF($AQ45="","",INDEX('②クラス編成'!$G$9:$G$158,$AQ45))</f>
        <v>女</v>
      </c>
      <c r="AF45" s="8">
        <f>IF($AQ45="","",INDEX('②クラス編成'!$H$9:$H$158,$AQ45))</f>
        <v>2</v>
      </c>
      <c r="AG45" s="11">
        <f>IF($AQ45="","",INDEX('②クラス編成'!$I$9:$I$158,$AQ45))</f>
        <v>52</v>
      </c>
      <c r="AH45" s="11">
        <f>IF($AQ45="","",INDEX('②クラス編成'!$J$9:$J$158,$AQ45))</f>
        <v>9.6</v>
      </c>
      <c r="AI45" s="8" t="str">
        <f>IF($AQ45="","",INDEX('②クラス編成'!$K$9:$K$158,$AQ45))</f>
        <v/>
      </c>
      <c r="AJ45" s="8" t="str">
        <f>IF($AQ45="","",INDEX('②クラス編成'!$L$9:$L$158,$AQ45))</f>
        <v/>
      </c>
      <c r="AK45" s="8" t="str">
        <f>IF($AQ45="","",INDEX('②クラス編成'!$M$9:$M$158,$AQ45))</f>
        <v/>
      </c>
      <c r="AL45" s="8" t="str">
        <f>IF($AQ45="","",INDEX('②クラス編成'!$N$9:$N$158,$AQ45))</f>
        <v/>
      </c>
      <c r="AM45" s="12" t="str">
        <f>IF($AQ45="","",INDEX('②クラス編成'!$P$9:$P$158,$AQ45))</f>
        <v/>
      </c>
      <c r="AO45" s="14">
        <f>IFERROR(MATCH("1-29",'②クラス編成'!$AS$9:$AS$158,0),"")</f>
        <v>61</v>
      </c>
      <c r="AP45" s="14">
        <f>IFERROR(MATCH("2-29",'②クラス編成'!$AS$9:$AS$158,0),"")</f>
        <v>51</v>
      </c>
      <c r="AQ45" s="14">
        <f>IFERROR(MATCH("3-29",'②クラス編成'!$AS$9:$AS$158,0),"")</f>
        <v>68</v>
      </c>
    </row>
    <row r="46">
      <c r="B46" s="58">
        <f>IF($AO46="","",30)</f>
        <v>30</v>
      </c>
      <c r="C46" s="8">
        <f>IF($AO46="","",INDEX('②クラス編成'!$D$9:$D$158,$AO46))</f>
        <v>2231</v>
      </c>
      <c r="D46" s="59" t="str">
        <f>IF($AO46="","",INDEX('②クラス編成'!$F$9:$F$158,$AO46))</f>
        <v>森田　美羽</v>
      </c>
      <c r="E46" s="8" t="str">
        <f>IF($AO46="","",INDEX('②クラス編成'!$G$9:$G$158,$AO46))</f>
        <v>女</v>
      </c>
      <c r="F46" s="8">
        <f>IF($AO46="","",INDEX('②クラス編成'!$H$9:$H$158,$AO46))</f>
        <v>2</v>
      </c>
      <c r="G46" s="11">
        <f>IF($AO46="","",INDEX('②クラス編成'!$I$9:$I$158,$AO46))</f>
        <v>74.4</v>
      </c>
      <c r="H46" s="11">
        <f>IF($AO46="","",INDEX('②クラス編成'!$J$9:$J$158,$AO46))</f>
        <v>9</v>
      </c>
      <c r="I46" s="8" t="str">
        <f>IF($AO46="","",INDEX('②クラス編成'!$K$9:$K$158,$AO46))</f>
        <v/>
      </c>
      <c r="J46" s="8" t="str">
        <f>IF($AO46="","",INDEX('②クラス編成'!$L$9:$L$158,$AO46))</f>
        <v>〇</v>
      </c>
      <c r="K46" s="8" t="str">
        <f>IF($AO46="","",INDEX('②クラス編成'!$M$9:$M$158,$AO46))</f>
        <v/>
      </c>
      <c r="L46" s="8" t="str">
        <f>IF($AO46="","",INDEX('②クラス編成'!$N$9:$N$158,$AO46))</f>
        <v/>
      </c>
      <c r="M46" s="12" t="str">
        <f>IF($AO46="","",INDEX('②クラス編成'!$P$9:$P$158,$AO46))</f>
        <v>藤田　彩花</v>
      </c>
      <c r="O46" s="58">
        <f>IF($AP46="","",30)</f>
        <v>30</v>
      </c>
      <c r="P46" s="8">
        <f>IF($AP46="","",INDEX('②クラス編成'!$D$9:$D$158,$AP46))</f>
        <v>2316</v>
      </c>
      <c r="Q46" s="59" t="str">
        <f>IF($AP46="","",INDEX('②クラス編成'!$F$9:$F$158,$AP46))</f>
        <v>小林　理沙</v>
      </c>
      <c r="R46" s="8" t="str">
        <f>IF($AP46="","",INDEX('②クラス編成'!$G$9:$G$158,$AP46))</f>
        <v>女</v>
      </c>
      <c r="S46" s="8">
        <f>IF($AP46="","",INDEX('②クラス編成'!$H$9:$H$158,$AP46))</f>
        <v>3</v>
      </c>
      <c r="T46" s="11">
        <f>IF($AP46="","",INDEX('②クラス編成'!$I$9:$I$158,$AP46))</f>
        <v>51.4</v>
      </c>
      <c r="U46" s="11">
        <f>IF($AP46="","",INDEX('②クラス編成'!$J$9:$J$158,$AP46))</f>
        <v>8.9</v>
      </c>
      <c r="V46" s="8" t="str">
        <f>IF($AP46="","",INDEX('②クラス編成'!$K$9:$K$158,$AP46))</f>
        <v/>
      </c>
      <c r="W46" s="8" t="str">
        <f>IF($AP46="","",INDEX('②クラス編成'!$L$9:$L$158,$AP46))</f>
        <v/>
      </c>
      <c r="X46" s="8" t="str">
        <f>IF($AP46="","",INDEX('②クラス編成'!$M$9:$M$158,$AP46))</f>
        <v/>
      </c>
      <c r="Y46" s="8" t="str">
        <f>IF($AP46="","",INDEX('②クラス編成'!$N$9:$N$158,$AP46))</f>
        <v/>
      </c>
      <c r="Z46" s="12" t="str">
        <f>IF($AP46="","",INDEX('②クラス編成'!$P$9:$P$158,$AP46))</f>
        <v/>
      </c>
      <c r="AB46" s="58">
        <f>IF($AQ46="","",30)</f>
        <v>30</v>
      </c>
      <c r="AC46" s="8">
        <f>IF($AQ46="","",INDEX('②クラス編成'!$D$9:$D$158,$AQ46))</f>
        <v>2302</v>
      </c>
      <c r="AD46" s="59" t="str">
        <f>IF($AQ46="","",INDEX('②クラス編成'!$F$9:$F$158,$AQ46))</f>
        <v>石井　結衣</v>
      </c>
      <c r="AE46" s="8" t="str">
        <f>IF($AQ46="","",INDEX('②クラス編成'!$G$9:$G$158,$AQ46))</f>
        <v>女</v>
      </c>
      <c r="AF46" s="8">
        <f>IF($AQ46="","",INDEX('②クラス編成'!$H$9:$H$158,$AQ46))</f>
        <v>3</v>
      </c>
      <c r="AG46" s="11">
        <f>IF($AQ46="","",INDEX('②クラス編成'!$I$9:$I$158,$AQ46))</f>
        <v>79.6</v>
      </c>
      <c r="AH46" s="11">
        <f>IF($AQ46="","",INDEX('②クラス編成'!$J$9:$J$158,$AQ46))</f>
        <v>9.3</v>
      </c>
      <c r="AI46" s="8" t="str">
        <f>IF($AQ46="","",INDEX('②クラス編成'!$K$9:$K$158,$AQ46))</f>
        <v>〇</v>
      </c>
      <c r="AJ46" s="8" t="str">
        <f>IF($AQ46="","",INDEX('②クラス編成'!$L$9:$L$158,$AQ46))</f>
        <v/>
      </c>
      <c r="AK46" s="8" t="str">
        <f>IF($AQ46="","",INDEX('②クラス編成'!$M$9:$M$158,$AQ46))</f>
        <v/>
      </c>
      <c r="AL46" s="8" t="str">
        <f>IF($AQ46="","",INDEX('②クラス編成'!$N$9:$N$158,$AQ46))</f>
        <v/>
      </c>
      <c r="AM46" s="12" t="str">
        <f>IF($AQ46="","",INDEX('②クラス編成'!$P$9:$P$158,$AQ46))</f>
        <v/>
      </c>
      <c r="AO46" s="14">
        <f>IFERROR(MATCH("1-30",'②クラス編成'!$AS$9:$AS$158,0),"")</f>
        <v>66</v>
      </c>
      <c r="AP46" s="14">
        <f>IFERROR(MATCH("2-30",'②クラス編成'!$AS$9:$AS$158,0),"")</f>
        <v>86</v>
      </c>
      <c r="AQ46" s="14">
        <f>IFERROR(MATCH("3-30",'②クラス編成'!$AS$9:$AS$158,0),"")</f>
        <v>72</v>
      </c>
    </row>
    <row r="47">
      <c r="B47" s="58">
        <f>IF($AO47="","",31)</f>
        <v>31</v>
      </c>
      <c r="C47" s="8">
        <f>IF($AO47="","",INDEX('②クラス編成'!$D$9:$D$158,$AO47))</f>
        <v>2309</v>
      </c>
      <c r="D47" s="59" t="str">
        <f>IF($AO47="","",INDEX('②クラス編成'!$F$9:$F$158,$AO47))</f>
        <v>大久保　真央</v>
      </c>
      <c r="E47" s="8" t="str">
        <f>IF($AO47="","",INDEX('②クラス編成'!$G$9:$G$158,$AO47))</f>
        <v>女</v>
      </c>
      <c r="F47" s="8">
        <f>IF($AO47="","",INDEX('②クラス編成'!$H$9:$H$158,$AO47))</f>
        <v>3</v>
      </c>
      <c r="G47" s="11">
        <f>IF($AO47="","",INDEX('②クラス編成'!$I$9:$I$158,$AO47))</f>
        <v>84.2</v>
      </c>
      <c r="H47" s="11">
        <f>IF($AO47="","",INDEX('②クラス編成'!$J$9:$J$158,$AO47))</f>
        <v>8.2</v>
      </c>
      <c r="I47" s="8" t="str">
        <f>IF($AO47="","",INDEX('②クラス編成'!$K$9:$K$158,$AO47))</f>
        <v/>
      </c>
      <c r="J47" s="8" t="str">
        <f>IF($AO47="","",INDEX('②クラス編成'!$L$9:$L$158,$AO47))</f>
        <v/>
      </c>
      <c r="K47" s="8" t="str">
        <f>IF($AO47="","",INDEX('②クラス編成'!$M$9:$M$158,$AO47))</f>
        <v/>
      </c>
      <c r="L47" s="8" t="str">
        <f>IF($AO47="","",INDEX('②クラス編成'!$N$9:$N$158,$AO47))</f>
        <v/>
      </c>
      <c r="M47" s="12" t="str">
        <f>IF($AO47="","",INDEX('②クラス編成'!$P$9:$P$158,$AO47))</f>
        <v/>
      </c>
      <c r="O47" s="58">
        <f>IF($AP47="","",31)</f>
        <v>31</v>
      </c>
      <c r="P47" s="8">
        <f>IF($AP47="","",INDEX('②クラス編成'!$D$9:$D$158,$AP47))</f>
        <v>2321</v>
      </c>
      <c r="Q47" s="59" t="str">
        <f>IF($AP47="","",INDEX('②クラス編成'!$F$9:$F$158,$AP47))</f>
        <v>佐藤　結衣</v>
      </c>
      <c r="R47" s="8" t="str">
        <f>IF($AP47="","",INDEX('②クラス編成'!$G$9:$G$158,$AP47))</f>
        <v>女</v>
      </c>
      <c r="S47" s="8">
        <f>IF($AP47="","",INDEX('②クラス編成'!$H$9:$H$158,$AP47))</f>
        <v>3</v>
      </c>
      <c r="T47" s="11">
        <f>IF($AP47="","",INDEX('②クラス編成'!$I$9:$I$158,$AP47))</f>
        <v>65.8</v>
      </c>
      <c r="U47" s="11">
        <f>IF($AP47="","",INDEX('②クラス編成'!$J$9:$J$158,$AP47))</f>
        <v>9.5</v>
      </c>
      <c r="V47" s="8" t="str">
        <f>IF($AP47="","",INDEX('②クラス編成'!$K$9:$K$158,$AP47))</f>
        <v/>
      </c>
      <c r="W47" s="8" t="str">
        <f>IF($AP47="","",INDEX('②クラス編成'!$L$9:$L$158,$AP47))</f>
        <v/>
      </c>
      <c r="X47" s="8" t="str">
        <f>IF($AP47="","",INDEX('②クラス編成'!$M$9:$M$158,$AP47))</f>
        <v/>
      </c>
      <c r="Y47" s="8" t="str">
        <f>IF($AP47="","",INDEX('②クラス編成'!$N$9:$N$158,$AP47))</f>
        <v/>
      </c>
      <c r="Z47" s="12" t="str">
        <f>IF($AP47="","",INDEX('②クラス編成'!$P$9:$P$158,$AP47))</f>
        <v/>
      </c>
      <c r="AB47" s="58">
        <f>IF($AQ47="","",31)</f>
        <v>31</v>
      </c>
      <c r="AC47" s="8">
        <f>IF($AQ47="","",INDEX('②クラス編成'!$D$9:$D$158,$AQ47))</f>
        <v>2304</v>
      </c>
      <c r="AD47" s="59" t="str">
        <f>IF($AQ47="","",INDEX('②クラス編成'!$F$9:$F$158,$AQ47))</f>
        <v>石田　結衣</v>
      </c>
      <c r="AE47" s="8" t="str">
        <f>IF($AQ47="","",INDEX('②クラス編成'!$G$9:$G$158,$AQ47))</f>
        <v>女</v>
      </c>
      <c r="AF47" s="8">
        <f>IF($AQ47="","",INDEX('②クラス編成'!$H$9:$H$158,$AQ47))</f>
        <v>3</v>
      </c>
      <c r="AG47" s="11">
        <f>IF($AQ47="","",INDEX('②クラス編成'!$I$9:$I$158,$AQ47))</f>
        <v>75</v>
      </c>
      <c r="AH47" s="11">
        <f>IF($AQ47="","",INDEX('②クラス編成'!$J$9:$J$158,$AQ47))</f>
        <v>8.6</v>
      </c>
      <c r="AI47" s="8" t="str">
        <f>IF($AQ47="","",INDEX('②クラス編成'!$K$9:$K$158,$AQ47))</f>
        <v>〇</v>
      </c>
      <c r="AJ47" s="8" t="str">
        <f>IF($AQ47="","",INDEX('②クラス編成'!$L$9:$L$158,$AQ47))</f>
        <v/>
      </c>
      <c r="AK47" s="8" t="str">
        <f>IF($AQ47="","",INDEX('②クラス編成'!$M$9:$M$158,$AQ47))</f>
        <v/>
      </c>
      <c r="AL47" s="8" t="str">
        <f>IF($AQ47="","",INDEX('②クラス編成'!$N$9:$N$158,$AQ47))</f>
        <v/>
      </c>
      <c r="AM47" s="12" t="str">
        <f>IF($AQ47="","",INDEX('②クラス編成'!$P$9:$P$158,$AQ47))</f>
        <v/>
      </c>
      <c r="AO47" s="14">
        <f>IFERROR(MATCH("1-31",'②クラス編成'!$AS$9:$AS$158,0),"")</f>
        <v>79</v>
      </c>
      <c r="AP47" s="14">
        <f>IFERROR(MATCH("2-31",'②クラス編成'!$AS$9:$AS$158,0),"")</f>
        <v>91</v>
      </c>
      <c r="AQ47" s="14">
        <f>IFERROR(MATCH("3-31",'②クラス編成'!$AS$9:$AS$158,0),"")</f>
        <v>74</v>
      </c>
    </row>
    <row r="48">
      <c r="B48" s="58">
        <f>IF($AO48="","",32)</f>
        <v>32</v>
      </c>
      <c r="C48" s="8">
        <f>IF($AO48="","",INDEX('②クラス編成'!$D$9:$D$158,$AO48))</f>
        <v>2314</v>
      </c>
      <c r="D48" s="59" t="str">
        <f>IF($AO48="","",INDEX('②クラス編成'!$F$9:$F$158,$AO48))</f>
        <v>小川　詩織</v>
      </c>
      <c r="E48" s="8" t="str">
        <f>IF($AO48="","",INDEX('②クラス編成'!$G$9:$G$158,$AO48))</f>
        <v>女</v>
      </c>
      <c r="F48" s="8">
        <f>IF($AO48="","",INDEX('②クラス編成'!$H$9:$H$158,$AO48))</f>
        <v>3</v>
      </c>
      <c r="G48" s="11">
        <f>IF($AO48="","",INDEX('②クラス編成'!$I$9:$I$158,$AO48))</f>
        <v>82.2</v>
      </c>
      <c r="H48" s="11">
        <f>IF($AO48="","",INDEX('②クラス編成'!$J$9:$J$158,$AO48))</f>
        <v>8.9</v>
      </c>
      <c r="I48" s="8" t="str">
        <f>IF($AO48="","",INDEX('②クラス編成'!$K$9:$K$158,$AO48))</f>
        <v/>
      </c>
      <c r="J48" s="8" t="str">
        <f>IF($AO48="","",INDEX('②クラス編成'!$L$9:$L$158,$AO48))</f>
        <v/>
      </c>
      <c r="K48" s="8" t="str">
        <f>IF($AO48="","",INDEX('②クラス編成'!$M$9:$M$158,$AO48))</f>
        <v>〇</v>
      </c>
      <c r="L48" s="8" t="str">
        <f>IF($AO48="","",INDEX('②クラス編成'!$N$9:$N$158,$AO48))</f>
        <v/>
      </c>
      <c r="M48" s="12" t="str">
        <f>IF($AO48="","",INDEX('②クラス編成'!$P$9:$P$158,$AO48))</f>
        <v/>
      </c>
      <c r="O48" s="58">
        <f>IF($AP48="","",32)</f>
        <v>32</v>
      </c>
      <c r="P48" s="8">
        <f>IF($AP48="","",INDEX('②クラス編成'!$D$9:$D$158,$AP48))</f>
        <v>2322</v>
      </c>
      <c r="Q48" s="59" t="str">
        <f>IF($AP48="","",INDEX('②クラス編成'!$F$9:$F$158,$AP48))</f>
        <v>鈴木　陽葵</v>
      </c>
      <c r="R48" s="8" t="str">
        <f>IF($AP48="","",INDEX('②クラス編成'!$G$9:$G$158,$AP48))</f>
        <v>女</v>
      </c>
      <c r="S48" s="8">
        <f>IF($AP48="","",INDEX('②クラス編成'!$H$9:$H$158,$AP48))</f>
        <v>3</v>
      </c>
      <c r="T48" s="11">
        <f>IF($AP48="","",INDEX('②クラス編成'!$I$9:$I$158,$AP48))</f>
        <v>80.8</v>
      </c>
      <c r="U48" s="11">
        <f>IF($AP48="","",INDEX('②クラス編成'!$J$9:$J$158,$AP48))</f>
        <v>9.5</v>
      </c>
      <c r="V48" s="8" t="str">
        <f>IF($AP48="","",INDEX('②クラス編成'!$K$9:$K$158,$AP48))</f>
        <v/>
      </c>
      <c r="W48" s="8" t="str">
        <f>IF($AP48="","",INDEX('②クラス編成'!$L$9:$L$158,$AP48))</f>
        <v/>
      </c>
      <c r="X48" s="8" t="str">
        <f>IF($AP48="","",INDEX('②クラス編成'!$M$9:$M$158,$AP48))</f>
        <v>〇</v>
      </c>
      <c r="Y48" s="8" t="str">
        <f>IF($AP48="","",INDEX('②クラス編成'!$N$9:$N$158,$AP48))</f>
        <v/>
      </c>
      <c r="Z48" s="12" t="str">
        <f>IF($AP48="","",INDEX('②クラス編成'!$P$9:$P$158,$AP48))</f>
        <v/>
      </c>
      <c r="AB48" s="58">
        <f>IF($AQ48="","",32)</f>
        <v>32</v>
      </c>
      <c r="AC48" s="8">
        <f>IF($AQ48="","",INDEX('②クラス編成'!$D$9:$D$158,$AQ48))</f>
        <v>2324</v>
      </c>
      <c r="AD48" s="59" t="str">
        <f>IF($AQ48="","",INDEX('②クラス編成'!$F$9:$F$158,$AQ48))</f>
        <v>西村　結菜</v>
      </c>
      <c r="AE48" s="8" t="str">
        <f>IF($AQ48="","",INDEX('②クラス編成'!$G$9:$G$158,$AQ48))</f>
        <v>女</v>
      </c>
      <c r="AF48" s="8">
        <f>IF($AQ48="","",INDEX('②クラス編成'!$H$9:$H$158,$AQ48))</f>
        <v>3</v>
      </c>
      <c r="AG48" s="11">
        <f>IF($AQ48="","",INDEX('②クラス編成'!$I$9:$I$158,$AQ48))</f>
        <v>50.6</v>
      </c>
      <c r="AH48" s="11">
        <f>IF($AQ48="","",INDEX('②クラス編成'!$J$9:$J$158,$AQ48))</f>
        <v>8.4</v>
      </c>
      <c r="AI48" s="8" t="str">
        <f>IF($AQ48="","",INDEX('②クラス編成'!$K$9:$K$158,$AQ48))</f>
        <v/>
      </c>
      <c r="AJ48" s="8" t="str">
        <f>IF($AQ48="","",INDEX('②クラス編成'!$L$9:$L$158,$AQ48))</f>
        <v/>
      </c>
      <c r="AK48" s="8" t="str">
        <f>IF($AQ48="","",INDEX('②クラス編成'!$M$9:$M$158,$AQ48))</f>
        <v/>
      </c>
      <c r="AL48" s="8" t="str">
        <f>IF($AQ48="","",INDEX('②クラス編成'!$N$9:$N$158,$AQ48))</f>
        <v/>
      </c>
      <c r="AM48" s="12" t="str">
        <f>IF($AQ48="","",INDEX('②クラス編成'!$P$9:$P$158,$AQ48))</f>
        <v/>
      </c>
      <c r="AO48" s="14">
        <f>IFERROR(MATCH("1-32",'②クラス編成'!$AS$9:$AS$158,0),"")</f>
        <v>84</v>
      </c>
      <c r="AP48" s="14">
        <f>IFERROR(MATCH("2-32",'②クラス編成'!$AS$9:$AS$158,0),"")</f>
        <v>92</v>
      </c>
      <c r="AQ48" s="14">
        <f>IFERROR(MATCH("3-32",'②クラス編成'!$AS$9:$AS$158,0),"")</f>
        <v>94</v>
      </c>
    </row>
    <row r="49">
      <c r="B49" s="58">
        <f>IF($AO49="","",33)</f>
        <v>33</v>
      </c>
      <c r="C49" s="8">
        <f>IF($AO49="","",INDEX('②クラス編成'!$D$9:$D$158,$AO49))</f>
        <v>2317</v>
      </c>
      <c r="D49" s="59" t="str">
        <f>IF($AO49="","",INDEX('②クラス編成'!$F$9:$F$158,$AO49))</f>
        <v>後藤　花音</v>
      </c>
      <c r="E49" s="8" t="str">
        <f>IF($AO49="","",INDEX('②クラス編成'!$G$9:$G$158,$AO49))</f>
        <v>女</v>
      </c>
      <c r="F49" s="8">
        <f>IF($AO49="","",INDEX('②クラス編成'!$H$9:$H$158,$AO49))</f>
        <v>3</v>
      </c>
      <c r="G49" s="11">
        <f>IF($AO49="","",INDEX('②クラス編成'!$I$9:$I$158,$AO49))</f>
        <v>46.4</v>
      </c>
      <c r="H49" s="11">
        <f>IF($AO49="","",INDEX('②クラス編成'!$J$9:$J$158,$AO49))</f>
        <v>8.7</v>
      </c>
      <c r="I49" s="8" t="str">
        <f>IF($AO49="","",INDEX('②クラス編成'!$K$9:$K$158,$AO49))</f>
        <v>〇</v>
      </c>
      <c r="J49" s="8" t="str">
        <f>IF($AO49="","",INDEX('②クラス編成'!$L$9:$L$158,$AO49))</f>
        <v/>
      </c>
      <c r="K49" s="8" t="str">
        <f>IF($AO49="","",INDEX('②クラス編成'!$M$9:$M$158,$AO49))</f>
        <v/>
      </c>
      <c r="L49" s="8" t="str">
        <f>IF($AO49="","",INDEX('②クラス編成'!$N$9:$N$158,$AO49))</f>
        <v/>
      </c>
      <c r="M49" s="12" t="str">
        <f>IF($AO49="","",INDEX('②クラス編成'!$P$9:$P$158,$AO49))</f>
        <v/>
      </c>
      <c r="O49" s="58">
        <f>IF($AP49="","",33)</f>
        <v>33</v>
      </c>
      <c r="P49" s="8">
        <f>IF($AP49="","",INDEX('②クラス編成'!$D$9:$D$158,$AP49))</f>
        <v>2323</v>
      </c>
      <c r="Q49" s="59" t="str">
        <f>IF($AP49="","",INDEX('②クラス編成'!$F$9:$F$158,$AP49))</f>
        <v>副島　美羽</v>
      </c>
      <c r="R49" s="8" t="str">
        <f>IF($AP49="","",INDEX('②クラス編成'!$G$9:$G$158,$AP49))</f>
        <v>女</v>
      </c>
      <c r="S49" s="8">
        <f>IF($AP49="","",INDEX('②クラス編成'!$H$9:$H$158,$AP49))</f>
        <v>3</v>
      </c>
      <c r="T49" s="11">
        <f>IF($AP49="","",INDEX('②クラス編成'!$I$9:$I$158,$AP49))</f>
        <v>84.4</v>
      </c>
      <c r="U49" s="11">
        <f>IF($AP49="","",INDEX('②クラス編成'!$J$9:$J$158,$AP49))</f>
        <v>8.5</v>
      </c>
      <c r="V49" s="8" t="str">
        <f>IF($AP49="","",INDEX('②クラス編成'!$K$9:$K$158,$AP49))</f>
        <v/>
      </c>
      <c r="W49" s="8" t="str">
        <f>IF($AP49="","",INDEX('②クラス編成'!$L$9:$L$158,$AP49))</f>
        <v/>
      </c>
      <c r="X49" s="8" t="str">
        <f>IF($AP49="","",INDEX('②クラス編成'!$M$9:$M$158,$AP49))</f>
        <v/>
      </c>
      <c r="Y49" s="8" t="str">
        <f>IF($AP49="","",INDEX('②クラス編成'!$N$9:$N$158,$AP49))</f>
        <v/>
      </c>
      <c r="Z49" s="12" t="str">
        <f>IF($AP49="","",INDEX('②クラス編成'!$P$9:$P$158,$AP49))</f>
        <v/>
      </c>
      <c r="AB49" s="58">
        <f>IF($AQ49="","",33)</f>
        <v>33</v>
      </c>
      <c r="AC49" s="8">
        <f>IF($AQ49="","",INDEX('②クラス編成'!$D$9:$D$158,$AQ49))</f>
        <v>2325</v>
      </c>
      <c r="AD49" s="59" t="str">
        <f>IF($AQ49="","",INDEX('②クラス編成'!$F$9:$F$158,$AQ49))</f>
        <v>西村　理沙</v>
      </c>
      <c r="AE49" s="8" t="str">
        <f>IF($AQ49="","",INDEX('②クラス編成'!$G$9:$G$158,$AQ49))</f>
        <v>女</v>
      </c>
      <c r="AF49" s="8">
        <f>IF($AQ49="","",INDEX('②クラス編成'!$H$9:$H$158,$AQ49))</f>
        <v>3</v>
      </c>
      <c r="AG49" s="11">
        <f>IF($AQ49="","",INDEX('②クラス編成'!$I$9:$I$158,$AQ49))</f>
        <v>48.4</v>
      </c>
      <c r="AH49" s="11">
        <f>IF($AQ49="","",INDEX('②クラス編成'!$J$9:$J$158,$AQ49))</f>
        <v>9.7</v>
      </c>
      <c r="AI49" s="8" t="str">
        <f>IF($AQ49="","",INDEX('②クラス編成'!$K$9:$K$158,$AQ49))</f>
        <v/>
      </c>
      <c r="AJ49" s="8" t="str">
        <f>IF($AQ49="","",INDEX('②クラス編成'!$L$9:$L$158,$AQ49))</f>
        <v>〇</v>
      </c>
      <c r="AK49" s="8" t="str">
        <f>IF($AQ49="","",INDEX('②クラス編成'!$M$9:$M$158,$AQ49))</f>
        <v/>
      </c>
      <c r="AL49" s="8" t="str">
        <f>IF($AQ49="","",INDEX('②クラス編成'!$N$9:$N$158,$AQ49))</f>
        <v/>
      </c>
      <c r="AM49" s="12" t="str">
        <f>IF($AQ49="","",INDEX('②クラス編成'!$P$9:$P$158,$AQ49))</f>
        <v/>
      </c>
      <c r="AO49" s="14">
        <f>IFERROR(MATCH("1-33",'②クラス編成'!$AS$9:$AS$158,0),"")</f>
        <v>87</v>
      </c>
      <c r="AP49" s="14">
        <f>IFERROR(MATCH("2-33",'②クラス編成'!$AS$9:$AS$158,0),"")</f>
        <v>93</v>
      </c>
      <c r="AQ49" s="14">
        <f>IFERROR(MATCH("3-33",'②クラス編成'!$AS$9:$AS$158,0),"")</f>
        <v>95</v>
      </c>
    </row>
    <row r="50">
      <c r="B50" s="58">
        <f>IF($AO50="","",34)</f>
        <v>34</v>
      </c>
      <c r="C50" s="8">
        <f>IF($AO50="","",INDEX('②クラス編成'!$D$9:$D$158,$AO50))</f>
        <v>2319</v>
      </c>
      <c r="D50" s="59" t="str">
        <f>IF($AO50="","",INDEX('②クラス編成'!$F$9:$F$158,$AO50))</f>
        <v>坂本　結菜</v>
      </c>
      <c r="E50" s="8" t="str">
        <f>IF($AO50="","",INDEX('②クラス編成'!$G$9:$G$158,$AO50))</f>
        <v>女</v>
      </c>
      <c r="F50" s="8">
        <f>IF($AO50="","",INDEX('②クラス編成'!$H$9:$H$158,$AO50))</f>
        <v>3</v>
      </c>
      <c r="G50" s="11">
        <f>IF($AO50="","",INDEX('②クラス編成'!$I$9:$I$158,$AO50))</f>
        <v>78.6</v>
      </c>
      <c r="H50" s="11">
        <f>IF($AO50="","",INDEX('②クラス編成'!$J$9:$J$158,$AO50))</f>
        <v>9.2</v>
      </c>
      <c r="I50" s="8" t="str">
        <f>IF($AO50="","",INDEX('②クラス編成'!$K$9:$K$158,$AO50))</f>
        <v/>
      </c>
      <c r="J50" s="8" t="str">
        <f>IF($AO50="","",INDEX('②クラス編成'!$L$9:$L$158,$AO50))</f>
        <v/>
      </c>
      <c r="K50" s="8" t="str">
        <f>IF($AO50="","",INDEX('②クラス編成'!$M$9:$M$158,$AO50))</f>
        <v/>
      </c>
      <c r="L50" s="8" t="str">
        <f>IF($AO50="","",INDEX('②クラス編成'!$N$9:$N$158,$AO50))</f>
        <v/>
      </c>
      <c r="M50" s="12" t="str">
        <f>IF($AO50="","",INDEX('②クラス編成'!$P$9:$P$158,$AO50))</f>
        <v/>
      </c>
      <c r="O50" s="58">
        <f>IF($AP50="","",34)</f>
        <v>34</v>
      </c>
      <c r="P50" s="8">
        <f>IF($AP50="","",INDEX('②クラス編成'!$D$9:$D$158,$AP50))</f>
        <v>2327</v>
      </c>
      <c r="Q50" s="59" t="str">
        <f>IF($AP50="","",INDEX('②クラス編成'!$F$9:$F$158,$AP50))</f>
        <v>橋本　芽依</v>
      </c>
      <c r="R50" s="8" t="str">
        <f>IF($AP50="","",INDEX('②クラス編成'!$G$9:$G$158,$AP50))</f>
        <v>女</v>
      </c>
      <c r="S50" s="8">
        <f>IF($AP50="","",INDEX('②クラス編成'!$H$9:$H$158,$AP50))</f>
        <v>3</v>
      </c>
      <c r="T50" s="11">
        <f>IF($AP50="","",INDEX('②クラス編成'!$I$9:$I$158,$AP50))</f>
        <v>66</v>
      </c>
      <c r="U50" s="11">
        <f>IF($AP50="","",INDEX('②クラス編成'!$J$9:$J$158,$AP50))</f>
        <v>9</v>
      </c>
      <c r="V50" s="8" t="str">
        <f>IF($AP50="","",INDEX('②クラス編成'!$K$9:$K$158,$AP50))</f>
        <v>〇</v>
      </c>
      <c r="W50" s="8" t="str">
        <f>IF($AP50="","",INDEX('②クラス編成'!$L$9:$L$158,$AP50))</f>
        <v/>
      </c>
      <c r="X50" s="8" t="str">
        <f>IF($AP50="","",INDEX('②クラス編成'!$M$9:$M$158,$AP50))</f>
        <v/>
      </c>
      <c r="Y50" s="8" t="str">
        <f>IF($AP50="","",INDEX('②クラス編成'!$N$9:$N$158,$AP50))</f>
        <v/>
      </c>
      <c r="Z50" s="12" t="str">
        <f>IF($AP50="","",INDEX('②クラス編成'!$P$9:$P$158,$AP50))</f>
        <v/>
      </c>
      <c r="AB50" s="58">
        <f>IF($AQ50="","",34)</f>
        <v>34</v>
      </c>
      <c r="AC50" s="8">
        <f>IF($AQ50="","",INDEX('②クラス編成'!$D$9:$D$158,$AQ50))</f>
        <v>2326</v>
      </c>
      <c r="AD50" s="59" t="str">
        <f>IF($AQ50="","",INDEX('②クラス編成'!$F$9:$F$158,$AQ50))</f>
        <v>野中　理沙</v>
      </c>
      <c r="AE50" s="8" t="str">
        <f>IF($AQ50="","",INDEX('②クラス編成'!$G$9:$G$158,$AQ50))</f>
        <v>女</v>
      </c>
      <c r="AF50" s="8">
        <f>IF($AQ50="","",INDEX('②クラス編成'!$H$9:$H$158,$AQ50))</f>
        <v>3</v>
      </c>
      <c r="AG50" s="11">
        <f>IF($AQ50="","",INDEX('②クラス編成'!$I$9:$I$158,$AQ50))</f>
        <v>53.2</v>
      </c>
      <c r="AH50" s="11">
        <f>IF($AQ50="","",INDEX('②クラス編成'!$J$9:$J$158,$AQ50))</f>
        <v>7.9</v>
      </c>
      <c r="AI50" s="8" t="str">
        <f>IF($AQ50="","",INDEX('②クラス編成'!$K$9:$K$158,$AQ50))</f>
        <v/>
      </c>
      <c r="AJ50" s="8" t="str">
        <f>IF($AQ50="","",INDEX('②クラス編成'!$L$9:$L$158,$AQ50))</f>
        <v/>
      </c>
      <c r="AK50" s="8" t="str">
        <f>IF($AQ50="","",INDEX('②クラス編成'!$M$9:$M$158,$AQ50))</f>
        <v/>
      </c>
      <c r="AL50" s="8" t="str">
        <f>IF($AQ50="","",INDEX('②クラス編成'!$N$9:$N$158,$AQ50))</f>
        <v/>
      </c>
      <c r="AM50" s="12" t="str">
        <f>IF($AQ50="","",INDEX('②クラス編成'!$P$9:$P$158,$AQ50))</f>
        <v/>
      </c>
      <c r="AO50" s="14">
        <f>IFERROR(MATCH("1-34",'②クラス編成'!$AS$9:$AS$158,0),"")</f>
        <v>89</v>
      </c>
      <c r="AP50" s="14">
        <f>IFERROR(MATCH("2-34",'②クラス編成'!$AS$9:$AS$158,0),"")</f>
        <v>97</v>
      </c>
      <c r="AQ50" s="14">
        <f>IFERROR(MATCH("3-34",'②クラス編成'!$AS$9:$AS$158,0),"")</f>
        <v>96</v>
      </c>
    </row>
    <row r="51">
      <c r="B51" s="58">
        <f>IF($AO51="","",35)</f>
        <v>35</v>
      </c>
      <c r="C51" s="8">
        <f>IF($AO51="","",INDEX('②クラス編成'!$D$9:$D$158,$AO51))</f>
        <v>2333</v>
      </c>
      <c r="D51" s="59" t="str">
        <f>IF($AO51="","",INDEX('②クラス編成'!$F$9:$F$158,$AO51))</f>
        <v>山下　沙耶</v>
      </c>
      <c r="E51" s="8" t="str">
        <f>IF($AO51="","",INDEX('②クラス編成'!$G$9:$G$158,$AO51))</f>
        <v>女</v>
      </c>
      <c r="F51" s="8">
        <f>IF($AO51="","",INDEX('②クラス編成'!$H$9:$H$158,$AO51))</f>
        <v>3</v>
      </c>
      <c r="G51" s="11">
        <f>IF($AO51="","",INDEX('②クラス編成'!$I$9:$I$158,$AO51))</f>
        <v>65.2</v>
      </c>
      <c r="H51" s="11">
        <f>IF($AO51="","",INDEX('②クラス編成'!$J$9:$J$158,$AO51))</f>
        <v>9.6</v>
      </c>
      <c r="I51" s="8" t="str">
        <f>IF($AO51="","",INDEX('②クラス編成'!$K$9:$K$158,$AO51))</f>
        <v/>
      </c>
      <c r="J51" s="8" t="str">
        <f>IF($AO51="","",INDEX('②クラス編成'!$L$9:$L$158,$AO51))</f>
        <v/>
      </c>
      <c r="K51" s="8" t="str">
        <f>IF($AO51="","",INDEX('②クラス編成'!$M$9:$M$158,$AO51))</f>
        <v/>
      </c>
      <c r="L51" s="8" t="str">
        <f>IF($AO51="","",INDEX('②クラス編成'!$N$9:$N$158,$AO51))</f>
        <v/>
      </c>
      <c r="M51" s="12" t="str">
        <f>IF($AO51="","",INDEX('②クラス編成'!$P$9:$P$158,$AO51))</f>
        <v/>
      </c>
      <c r="O51" s="58">
        <f>IF($AP51="","",35)</f>
        <v>35</v>
      </c>
      <c r="P51" s="8">
        <f>IF($AP51="","",INDEX('②クラス編成'!$D$9:$D$158,$AP51))</f>
        <v>2329</v>
      </c>
      <c r="Q51" s="59" t="str">
        <f>IF($AP51="","",INDEX('②クラス編成'!$F$9:$F$158,$AP51))</f>
        <v>原田　結菜</v>
      </c>
      <c r="R51" s="8" t="str">
        <f>IF($AP51="","",INDEX('②クラス編成'!$G$9:$G$158,$AP51))</f>
        <v>女</v>
      </c>
      <c r="S51" s="8">
        <f>IF($AP51="","",INDEX('②クラス編成'!$H$9:$H$158,$AP51))</f>
        <v>3</v>
      </c>
      <c r="T51" s="11">
        <f>IF($AP51="","",INDEX('②クラス編成'!$I$9:$I$158,$AP51))</f>
        <v>69</v>
      </c>
      <c r="U51" s="11">
        <f>IF($AP51="","",INDEX('②クラス編成'!$J$9:$J$158,$AP51))</f>
        <v>7.9</v>
      </c>
      <c r="V51" s="8" t="str">
        <f>IF($AP51="","",INDEX('②クラス編成'!$K$9:$K$158,$AP51))</f>
        <v/>
      </c>
      <c r="W51" s="8" t="str">
        <f>IF($AP51="","",INDEX('②クラス編成'!$L$9:$L$158,$AP51))</f>
        <v/>
      </c>
      <c r="X51" s="8" t="str">
        <f>IF($AP51="","",INDEX('②クラス編成'!$M$9:$M$158,$AP51))</f>
        <v/>
      </c>
      <c r="Y51" s="8" t="str">
        <f>IF($AP51="","",INDEX('②クラス編成'!$N$9:$N$158,$AP51))</f>
        <v/>
      </c>
      <c r="Z51" s="12" t="str">
        <f>IF($AP51="","",INDEX('②クラス編成'!$P$9:$P$158,$AP51))</f>
        <v/>
      </c>
      <c r="AB51" s="58">
        <f>IF($AQ51="","",35)</f>
        <v>35</v>
      </c>
      <c r="AC51" s="8">
        <f>IF($AQ51="","",INDEX('②クラス編成'!$D$9:$D$158,$AQ51))</f>
        <v>2332</v>
      </c>
      <c r="AD51" s="59" t="str">
        <f>IF($AQ51="","",INDEX('②クラス編成'!$F$9:$F$158,$AQ51))</f>
        <v>山崎　優奈</v>
      </c>
      <c r="AE51" s="8" t="str">
        <f>IF($AQ51="","",INDEX('②クラス編成'!$G$9:$G$158,$AQ51))</f>
        <v>女</v>
      </c>
      <c r="AF51" s="8">
        <f>IF($AQ51="","",INDEX('②クラス編成'!$H$9:$H$158,$AQ51))</f>
        <v>3</v>
      </c>
      <c r="AG51" s="11">
        <f>IF($AQ51="","",INDEX('②クラス編成'!$I$9:$I$158,$AQ51))</f>
        <v>64</v>
      </c>
      <c r="AH51" s="11">
        <f>IF($AQ51="","",INDEX('②クラス編成'!$J$9:$J$158,$AQ51))</f>
        <v>8.4</v>
      </c>
      <c r="AI51" s="8" t="str">
        <f>IF($AQ51="","",INDEX('②クラス編成'!$K$9:$K$158,$AQ51))</f>
        <v/>
      </c>
      <c r="AJ51" s="8" t="str">
        <f>IF($AQ51="","",INDEX('②クラス編成'!$L$9:$L$158,$AQ51))</f>
        <v/>
      </c>
      <c r="AK51" s="8" t="str">
        <f>IF($AQ51="","",INDEX('②クラス編成'!$M$9:$M$158,$AQ51))</f>
        <v/>
      </c>
      <c r="AL51" s="8" t="str">
        <f>IF($AQ51="","",INDEX('②クラス編成'!$N$9:$N$158,$AQ51))</f>
        <v/>
      </c>
      <c r="AM51" s="12" t="str">
        <f>IF($AQ51="","",INDEX('②クラス編成'!$P$9:$P$158,$AQ51))</f>
        <v/>
      </c>
      <c r="AO51" s="14">
        <f>IFERROR(MATCH("1-35",'②クラス編成'!$AS$9:$AS$158,0),"")</f>
        <v>103</v>
      </c>
      <c r="AP51" s="14">
        <f>IFERROR(MATCH("2-35",'②クラス編成'!$AS$9:$AS$158,0),"")</f>
        <v>99</v>
      </c>
      <c r="AQ51" s="14">
        <f>IFERROR(MATCH("3-35",'②クラス編成'!$AS$9:$AS$158,0),"")</f>
        <v>102</v>
      </c>
    </row>
    <row r="52">
      <c r="B52" s="58" t="str">
        <f>IF($AO52="","",36)</f>
        <v/>
      </c>
      <c r="C52" s="8" t="str">
        <f>IF($AO52="","",INDEX('②クラス編成'!$D$9:$D$158,$AO52))</f>
        <v/>
      </c>
      <c r="D52" s="59" t="str">
        <f>IF($AO52="","",INDEX('②クラス編成'!$F$9:$F$158,$AO52))</f>
        <v/>
      </c>
      <c r="E52" s="8" t="str">
        <f>IF($AO52="","",INDEX('②クラス編成'!$G$9:$G$158,$AO52))</f>
        <v/>
      </c>
      <c r="F52" s="8" t="str">
        <f>IF($AO52="","",INDEX('②クラス編成'!$H$9:$H$158,$AO52))</f>
        <v/>
      </c>
      <c r="G52" s="11" t="str">
        <f>IF($AO52="","",INDEX('②クラス編成'!$I$9:$I$158,$AO52))</f>
        <v/>
      </c>
      <c r="H52" s="11" t="str">
        <f>IF($AO52="","",INDEX('②クラス編成'!$J$9:$J$158,$AO52))</f>
        <v/>
      </c>
      <c r="I52" s="8" t="str">
        <f>IF($AO52="","",INDEX('②クラス編成'!$K$9:$K$158,$AO52))</f>
        <v/>
      </c>
      <c r="J52" s="8" t="str">
        <f>IF($AO52="","",INDEX('②クラス編成'!$L$9:$L$158,$AO52))</f>
        <v/>
      </c>
      <c r="K52" s="8" t="str">
        <f>IF($AO52="","",INDEX('②クラス編成'!$M$9:$M$158,$AO52))</f>
        <v/>
      </c>
      <c r="L52" s="8" t="str">
        <f>IF($AO52="","",INDEX('②クラス編成'!$N$9:$N$158,$AO52))</f>
        <v/>
      </c>
      <c r="M52" s="12" t="str">
        <f>IF($AO52="","",INDEX('②クラス編成'!$P$9:$P$158,$AO52))</f>
        <v/>
      </c>
      <c r="O52" s="58" t="str">
        <f>IF($AP52="","",36)</f>
        <v/>
      </c>
      <c r="P52" s="8" t="str">
        <f>IF($AP52="","",INDEX('②クラス編成'!$D$9:$D$158,$AP52))</f>
        <v/>
      </c>
      <c r="Q52" s="59" t="str">
        <f>IF($AP52="","",INDEX('②クラス編成'!$F$9:$F$158,$AP52))</f>
        <v/>
      </c>
      <c r="R52" s="8" t="str">
        <f>IF($AP52="","",INDEX('②クラス編成'!$G$9:$G$158,$AP52))</f>
        <v/>
      </c>
      <c r="S52" s="8" t="str">
        <f>IF($AP52="","",INDEX('②クラス編成'!$H$9:$H$158,$AP52))</f>
        <v/>
      </c>
      <c r="T52" s="11" t="str">
        <f>IF($AP52="","",INDEX('②クラス編成'!$I$9:$I$158,$AP52))</f>
        <v/>
      </c>
      <c r="U52" s="11" t="str">
        <f>IF($AP52="","",INDEX('②クラス編成'!$J$9:$J$158,$AP52))</f>
        <v/>
      </c>
      <c r="V52" s="8" t="str">
        <f>IF($AP52="","",INDEX('②クラス編成'!$K$9:$K$158,$AP52))</f>
        <v/>
      </c>
      <c r="W52" s="8" t="str">
        <f>IF($AP52="","",INDEX('②クラス編成'!$L$9:$L$158,$AP52))</f>
        <v/>
      </c>
      <c r="X52" s="8" t="str">
        <f>IF($AP52="","",INDEX('②クラス編成'!$M$9:$M$158,$AP52))</f>
        <v/>
      </c>
      <c r="Y52" s="8" t="str">
        <f>IF($AP52="","",INDEX('②クラス編成'!$N$9:$N$158,$AP52))</f>
        <v/>
      </c>
      <c r="Z52" s="12" t="str">
        <f>IF($AP52="","",INDEX('②クラス編成'!$P$9:$P$158,$AP52))</f>
        <v/>
      </c>
      <c r="AB52" s="58" t="str">
        <f>IF($AQ52="","",36)</f>
        <v/>
      </c>
      <c r="AC52" s="8" t="str">
        <f>IF($AQ52="","",INDEX('②クラス編成'!$D$9:$D$158,$AQ52))</f>
        <v/>
      </c>
      <c r="AD52" s="59" t="str">
        <f>IF($AQ52="","",INDEX('②クラス編成'!$F$9:$F$158,$AQ52))</f>
        <v/>
      </c>
      <c r="AE52" s="8" t="str">
        <f>IF($AQ52="","",INDEX('②クラス編成'!$G$9:$G$158,$AQ52))</f>
        <v/>
      </c>
      <c r="AF52" s="8" t="str">
        <f>IF($AQ52="","",INDEX('②クラス編成'!$H$9:$H$158,$AQ52))</f>
        <v/>
      </c>
      <c r="AG52" s="11" t="str">
        <f>IF($AQ52="","",INDEX('②クラス編成'!$I$9:$I$158,$AQ52))</f>
        <v/>
      </c>
      <c r="AH52" s="11" t="str">
        <f>IF($AQ52="","",INDEX('②クラス編成'!$J$9:$J$158,$AQ52))</f>
        <v/>
      </c>
      <c r="AI52" s="8" t="str">
        <f>IF($AQ52="","",INDEX('②クラス編成'!$K$9:$K$158,$AQ52))</f>
        <v/>
      </c>
      <c r="AJ52" s="8" t="str">
        <f>IF($AQ52="","",INDEX('②クラス編成'!$L$9:$L$158,$AQ52))</f>
        <v/>
      </c>
      <c r="AK52" s="8" t="str">
        <f>IF($AQ52="","",INDEX('②クラス編成'!$M$9:$M$158,$AQ52))</f>
        <v/>
      </c>
      <c r="AL52" s="8" t="str">
        <f>IF($AQ52="","",INDEX('②クラス編成'!$N$9:$N$158,$AQ52))</f>
        <v/>
      </c>
      <c r="AM52" s="12" t="str">
        <f>IF($AQ52="","",INDEX('②クラス編成'!$P$9:$P$158,$AQ52))</f>
        <v/>
      </c>
      <c r="AO52" s="14" t="str">
        <f>IFERROR(MATCH("1-36",'②クラス編成'!$AS$9:$AS$158,0),"")</f>
        <v/>
      </c>
      <c r="AP52" s="14" t="str">
        <f>IFERROR(MATCH("2-36",'②クラス編成'!$AS$9:$AS$158,0),"")</f>
        <v/>
      </c>
      <c r="AQ52" s="14" t="str">
        <f>IFERROR(MATCH("3-36",'②クラス編成'!$AS$9:$AS$158,0),"")</f>
        <v/>
      </c>
    </row>
    <row r="53">
      <c r="B53" s="58" t="str">
        <f>IF($AO53="","",37)</f>
        <v/>
      </c>
      <c r="C53" s="8" t="str">
        <f>IF($AO53="","",INDEX('②クラス編成'!$D$9:$D$158,$AO53))</f>
        <v/>
      </c>
      <c r="D53" s="59" t="str">
        <f>IF($AO53="","",INDEX('②クラス編成'!$F$9:$F$158,$AO53))</f>
        <v/>
      </c>
      <c r="E53" s="8" t="str">
        <f>IF($AO53="","",INDEX('②クラス編成'!$G$9:$G$158,$AO53))</f>
        <v/>
      </c>
      <c r="F53" s="8" t="str">
        <f>IF($AO53="","",INDEX('②クラス編成'!$H$9:$H$158,$AO53))</f>
        <v/>
      </c>
      <c r="G53" s="11" t="str">
        <f>IF($AO53="","",INDEX('②クラス編成'!$I$9:$I$158,$AO53))</f>
        <v/>
      </c>
      <c r="H53" s="11" t="str">
        <f>IF($AO53="","",INDEX('②クラス編成'!$J$9:$J$158,$AO53))</f>
        <v/>
      </c>
      <c r="I53" s="8" t="str">
        <f>IF($AO53="","",INDEX('②クラス編成'!$K$9:$K$158,$AO53))</f>
        <v/>
      </c>
      <c r="J53" s="8" t="str">
        <f>IF($AO53="","",INDEX('②クラス編成'!$L$9:$L$158,$AO53))</f>
        <v/>
      </c>
      <c r="K53" s="8" t="str">
        <f>IF($AO53="","",INDEX('②クラス編成'!$M$9:$M$158,$AO53))</f>
        <v/>
      </c>
      <c r="L53" s="8" t="str">
        <f>IF($AO53="","",INDEX('②クラス編成'!$N$9:$N$158,$AO53))</f>
        <v/>
      </c>
      <c r="M53" s="12" t="str">
        <f>IF($AO53="","",INDEX('②クラス編成'!$P$9:$P$158,$AO53))</f>
        <v/>
      </c>
      <c r="O53" s="58" t="str">
        <f>IF($AP53="","",37)</f>
        <v/>
      </c>
      <c r="P53" s="8" t="str">
        <f>IF($AP53="","",INDEX('②クラス編成'!$D$9:$D$158,$AP53))</f>
        <v/>
      </c>
      <c r="Q53" s="59" t="str">
        <f>IF($AP53="","",INDEX('②クラス編成'!$F$9:$F$158,$AP53))</f>
        <v/>
      </c>
      <c r="R53" s="8" t="str">
        <f>IF($AP53="","",INDEX('②クラス編成'!$G$9:$G$158,$AP53))</f>
        <v/>
      </c>
      <c r="S53" s="8" t="str">
        <f>IF($AP53="","",INDEX('②クラス編成'!$H$9:$H$158,$AP53))</f>
        <v/>
      </c>
      <c r="T53" s="11" t="str">
        <f>IF($AP53="","",INDEX('②クラス編成'!$I$9:$I$158,$AP53))</f>
        <v/>
      </c>
      <c r="U53" s="11" t="str">
        <f>IF($AP53="","",INDEX('②クラス編成'!$J$9:$J$158,$AP53))</f>
        <v/>
      </c>
      <c r="V53" s="8" t="str">
        <f>IF($AP53="","",INDEX('②クラス編成'!$K$9:$K$158,$AP53))</f>
        <v/>
      </c>
      <c r="W53" s="8" t="str">
        <f>IF($AP53="","",INDEX('②クラス編成'!$L$9:$L$158,$AP53))</f>
        <v/>
      </c>
      <c r="X53" s="8" t="str">
        <f>IF($AP53="","",INDEX('②クラス編成'!$M$9:$M$158,$AP53))</f>
        <v/>
      </c>
      <c r="Y53" s="8" t="str">
        <f>IF($AP53="","",INDEX('②クラス編成'!$N$9:$N$158,$AP53))</f>
        <v/>
      </c>
      <c r="Z53" s="12" t="str">
        <f>IF($AP53="","",INDEX('②クラス編成'!$P$9:$P$158,$AP53))</f>
        <v/>
      </c>
      <c r="AB53" s="58" t="str">
        <f>IF($AQ53="","",37)</f>
        <v/>
      </c>
      <c r="AC53" s="8" t="str">
        <f>IF($AQ53="","",INDEX('②クラス編成'!$D$9:$D$158,$AQ53))</f>
        <v/>
      </c>
      <c r="AD53" s="59" t="str">
        <f>IF($AQ53="","",INDEX('②クラス編成'!$F$9:$F$158,$AQ53))</f>
        <v/>
      </c>
      <c r="AE53" s="8" t="str">
        <f>IF($AQ53="","",INDEX('②クラス編成'!$G$9:$G$158,$AQ53))</f>
        <v/>
      </c>
      <c r="AF53" s="8" t="str">
        <f>IF($AQ53="","",INDEX('②クラス編成'!$H$9:$H$158,$AQ53))</f>
        <v/>
      </c>
      <c r="AG53" s="11" t="str">
        <f>IF($AQ53="","",INDEX('②クラス編成'!$I$9:$I$158,$AQ53))</f>
        <v/>
      </c>
      <c r="AH53" s="11" t="str">
        <f>IF($AQ53="","",INDEX('②クラス編成'!$J$9:$J$158,$AQ53))</f>
        <v/>
      </c>
      <c r="AI53" s="8" t="str">
        <f>IF($AQ53="","",INDEX('②クラス編成'!$K$9:$K$158,$AQ53))</f>
        <v/>
      </c>
      <c r="AJ53" s="8" t="str">
        <f>IF($AQ53="","",INDEX('②クラス編成'!$L$9:$L$158,$AQ53))</f>
        <v/>
      </c>
      <c r="AK53" s="8" t="str">
        <f>IF($AQ53="","",INDEX('②クラス編成'!$M$9:$M$158,$AQ53))</f>
        <v/>
      </c>
      <c r="AL53" s="8" t="str">
        <f>IF($AQ53="","",INDEX('②クラス編成'!$N$9:$N$158,$AQ53))</f>
        <v/>
      </c>
      <c r="AM53" s="12" t="str">
        <f>IF($AQ53="","",INDEX('②クラス編成'!$P$9:$P$158,$AQ53))</f>
        <v/>
      </c>
      <c r="AO53" s="14" t="str">
        <f>IFERROR(MATCH("1-37",'②クラス編成'!$AS$9:$AS$158,0),"")</f>
        <v/>
      </c>
      <c r="AP53" s="14" t="str">
        <f>IFERROR(MATCH("2-37",'②クラス編成'!$AS$9:$AS$158,0),"")</f>
        <v/>
      </c>
      <c r="AQ53" s="14" t="str">
        <f>IFERROR(MATCH("3-37",'②クラス編成'!$AS$9:$AS$158,0),"")</f>
        <v/>
      </c>
    </row>
    <row r="54">
      <c r="B54" s="58" t="str">
        <f>IF($AO54="","",38)</f>
        <v/>
      </c>
      <c r="C54" s="8" t="str">
        <f>IF($AO54="","",INDEX('②クラス編成'!$D$9:$D$158,$AO54))</f>
        <v/>
      </c>
      <c r="D54" s="59" t="str">
        <f>IF($AO54="","",INDEX('②クラス編成'!$F$9:$F$158,$AO54))</f>
        <v/>
      </c>
      <c r="E54" s="8" t="str">
        <f>IF($AO54="","",INDEX('②クラス編成'!$G$9:$G$158,$AO54))</f>
        <v/>
      </c>
      <c r="F54" s="8" t="str">
        <f>IF($AO54="","",INDEX('②クラス編成'!$H$9:$H$158,$AO54))</f>
        <v/>
      </c>
      <c r="G54" s="11" t="str">
        <f>IF($AO54="","",INDEX('②クラス編成'!$I$9:$I$158,$AO54))</f>
        <v/>
      </c>
      <c r="H54" s="11" t="str">
        <f>IF($AO54="","",INDEX('②クラス編成'!$J$9:$J$158,$AO54))</f>
        <v/>
      </c>
      <c r="I54" s="8" t="str">
        <f>IF($AO54="","",INDEX('②クラス編成'!$K$9:$K$158,$AO54))</f>
        <v/>
      </c>
      <c r="J54" s="8" t="str">
        <f>IF($AO54="","",INDEX('②クラス編成'!$L$9:$L$158,$AO54))</f>
        <v/>
      </c>
      <c r="K54" s="8" t="str">
        <f>IF($AO54="","",INDEX('②クラス編成'!$M$9:$M$158,$AO54))</f>
        <v/>
      </c>
      <c r="L54" s="8" t="str">
        <f>IF($AO54="","",INDEX('②クラス編成'!$N$9:$N$158,$AO54))</f>
        <v/>
      </c>
      <c r="M54" s="12" t="str">
        <f>IF($AO54="","",INDEX('②クラス編成'!$P$9:$P$158,$AO54))</f>
        <v/>
      </c>
      <c r="O54" s="58" t="str">
        <f>IF($AP54="","",38)</f>
        <v/>
      </c>
      <c r="P54" s="8" t="str">
        <f>IF($AP54="","",INDEX('②クラス編成'!$D$9:$D$158,$AP54))</f>
        <v/>
      </c>
      <c r="Q54" s="59" t="str">
        <f>IF($AP54="","",INDEX('②クラス編成'!$F$9:$F$158,$AP54))</f>
        <v/>
      </c>
      <c r="R54" s="8" t="str">
        <f>IF($AP54="","",INDEX('②クラス編成'!$G$9:$G$158,$AP54))</f>
        <v/>
      </c>
      <c r="S54" s="8" t="str">
        <f>IF($AP54="","",INDEX('②クラス編成'!$H$9:$H$158,$AP54))</f>
        <v/>
      </c>
      <c r="T54" s="11" t="str">
        <f>IF($AP54="","",INDEX('②クラス編成'!$I$9:$I$158,$AP54))</f>
        <v/>
      </c>
      <c r="U54" s="11" t="str">
        <f>IF($AP54="","",INDEX('②クラス編成'!$J$9:$J$158,$AP54))</f>
        <v/>
      </c>
      <c r="V54" s="8" t="str">
        <f>IF($AP54="","",INDEX('②クラス編成'!$K$9:$K$158,$AP54))</f>
        <v/>
      </c>
      <c r="W54" s="8" t="str">
        <f>IF($AP54="","",INDEX('②クラス編成'!$L$9:$L$158,$AP54))</f>
        <v/>
      </c>
      <c r="X54" s="8" t="str">
        <f>IF($AP54="","",INDEX('②クラス編成'!$M$9:$M$158,$AP54))</f>
        <v/>
      </c>
      <c r="Y54" s="8" t="str">
        <f>IF($AP54="","",INDEX('②クラス編成'!$N$9:$N$158,$AP54))</f>
        <v/>
      </c>
      <c r="Z54" s="12" t="str">
        <f>IF($AP54="","",INDEX('②クラス編成'!$P$9:$P$158,$AP54))</f>
        <v/>
      </c>
      <c r="AB54" s="58" t="str">
        <f>IF($AQ54="","",38)</f>
        <v/>
      </c>
      <c r="AC54" s="8" t="str">
        <f>IF($AQ54="","",INDEX('②クラス編成'!$D$9:$D$158,$AQ54))</f>
        <v/>
      </c>
      <c r="AD54" s="59" t="str">
        <f>IF($AQ54="","",INDEX('②クラス編成'!$F$9:$F$158,$AQ54))</f>
        <v/>
      </c>
      <c r="AE54" s="8" t="str">
        <f>IF($AQ54="","",INDEX('②クラス編成'!$G$9:$G$158,$AQ54))</f>
        <v/>
      </c>
      <c r="AF54" s="8" t="str">
        <f>IF($AQ54="","",INDEX('②クラス編成'!$H$9:$H$158,$AQ54))</f>
        <v/>
      </c>
      <c r="AG54" s="11" t="str">
        <f>IF($AQ54="","",INDEX('②クラス編成'!$I$9:$I$158,$AQ54))</f>
        <v/>
      </c>
      <c r="AH54" s="11" t="str">
        <f>IF($AQ54="","",INDEX('②クラス編成'!$J$9:$J$158,$AQ54))</f>
        <v/>
      </c>
      <c r="AI54" s="8" t="str">
        <f>IF($AQ54="","",INDEX('②クラス編成'!$K$9:$K$158,$AQ54))</f>
        <v/>
      </c>
      <c r="AJ54" s="8" t="str">
        <f>IF($AQ54="","",INDEX('②クラス編成'!$L$9:$L$158,$AQ54))</f>
        <v/>
      </c>
      <c r="AK54" s="8" t="str">
        <f>IF($AQ54="","",INDEX('②クラス編成'!$M$9:$M$158,$AQ54))</f>
        <v/>
      </c>
      <c r="AL54" s="8" t="str">
        <f>IF($AQ54="","",INDEX('②クラス編成'!$N$9:$N$158,$AQ54))</f>
        <v/>
      </c>
      <c r="AM54" s="12" t="str">
        <f>IF($AQ54="","",INDEX('②クラス編成'!$P$9:$P$158,$AQ54))</f>
        <v/>
      </c>
      <c r="AO54" s="14" t="str">
        <f>IFERROR(MATCH("1-38",'②クラス編成'!$AS$9:$AS$158,0),"")</f>
        <v/>
      </c>
      <c r="AP54" s="14" t="str">
        <f>IFERROR(MATCH("2-38",'②クラス編成'!$AS$9:$AS$158,0),"")</f>
        <v/>
      </c>
      <c r="AQ54" s="14" t="str">
        <f>IFERROR(MATCH("3-38",'②クラス編成'!$AS$9:$AS$158,0),"")</f>
        <v/>
      </c>
    </row>
    <row r="55">
      <c r="B55" s="58" t="str">
        <f>IF($AO55="","",39)</f>
        <v/>
      </c>
      <c r="C55" s="8" t="str">
        <f>IF($AO55="","",INDEX('②クラス編成'!$D$9:$D$158,$AO55))</f>
        <v/>
      </c>
      <c r="D55" s="59" t="str">
        <f>IF($AO55="","",INDEX('②クラス編成'!$F$9:$F$158,$AO55))</f>
        <v/>
      </c>
      <c r="E55" s="8" t="str">
        <f>IF($AO55="","",INDEX('②クラス編成'!$G$9:$G$158,$AO55))</f>
        <v/>
      </c>
      <c r="F55" s="8" t="str">
        <f>IF($AO55="","",INDEX('②クラス編成'!$H$9:$H$158,$AO55))</f>
        <v/>
      </c>
      <c r="G55" s="11" t="str">
        <f>IF($AO55="","",INDEX('②クラス編成'!$I$9:$I$158,$AO55))</f>
        <v/>
      </c>
      <c r="H55" s="11" t="str">
        <f>IF($AO55="","",INDEX('②クラス編成'!$J$9:$J$158,$AO55))</f>
        <v/>
      </c>
      <c r="I55" s="8" t="str">
        <f>IF($AO55="","",INDEX('②クラス編成'!$K$9:$K$158,$AO55))</f>
        <v/>
      </c>
      <c r="J55" s="8" t="str">
        <f>IF($AO55="","",INDEX('②クラス編成'!$L$9:$L$158,$AO55))</f>
        <v/>
      </c>
      <c r="K55" s="8" t="str">
        <f>IF($AO55="","",INDEX('②クラス編成'!$M$9:$M$158,$AO55))</f>
        <v/>
      </c>
      <c r="L55" s="8" t="str">
        <f>IF($AO55="","",INDEX('②クラス編成'!$N$9:$N$158,$AO55))</f>
        <v/>
      </c>
      <c r="M55" s="12" t="str">
        <f>IF($AO55="","",INDEX('②クラス編成'!$P$9:$P$158,$AO55))</f>
        <v/>
      </c>
      <c r="O55" s="58" t="str">
        <f>IF($AP55="","",39)</f>
        <v/>
      </c>
      <c r="P55" s="8" t="str">
        <f>IF($AP55="","",INDEX('②クラス編成'!$D$9:$D$158,$AP55))</f>
        <v/>
      </c>
      <c r="Q55" s="59" t="str">
        <f>IF($AP55="","",INDEX('②クラス編成'!$F$9:$F$158,$AP55))</f>
        <v/>
      </c>
      <c r="R55" s="8" t="str">
        <f>IF($AP55="","",INDEX('②クラス編成'!$G$9:$G$158,$AP55))</f>
        <v/>
      </c>
      <c r="S55" s="8" t="str">
        <f>IF($AP55="","",INDEX('②クラス編成'!$H$9:$H$158,$AP55))</f>
        <v/>
      </c>
      <c r="T55" s="11" t="str">
        <f>IF($AP55="","",INDEX('②クラス編成'!$I$9:$I$158,$AP55))</f>
        <v/>
      </c>
      <c r="U55" s="11" t="str">
        <f>IF($AP55="","",INDEX('②クラス編成'!$J$9:$J$158,$AP55))</f>
        <v/>
      </c>
      <c r="V55" s="8" t="str">
        <f>IF($AP55="","",INDEX('②クラス編成'!$K$9:$K$158,$AP55))</f>
        <v/>
      </c>
      <c r="W55" s="8" t="str">
        <f>IF($AP55="","",INDEX('②クラス編成'!$L$9:$L$158,$AP55))</f>
        <v/>
      </c>
      <c r="X55" s="8" t="str">
        <f>IF($AP55="","",INDEX('②クラス編成'!$M$9:$M$158,$AP55))</f>
        <v/>
      </c>
      <c r="Y55" s="8" t="str">
        <f>IF($AP55="","",INDEX('②クラス編成'!$N$9:$N$158,$AP55))</f>
        <v/>
      </c>
      <c r="Z55" s="12" t="str">
        <f>IF($AP55="","",INDEX('②クラス編成'!$P$9:$P$158,$AP55))</f>
        <v/>
      </c>
      <c r="AB55" s="58" t="str">
        <f>IF($AQ55="","",39)</f>
        <v/>
      </c>
      <c r="AC55" s="8" t="str">
        <f>IF($AQ55="","",INDEX('②クラス編成'!$D$9:$D$158,$AQ55))</f>
        <v/>
      </c>
      <c r="AD55" s="59" t="str">
        <f>IF($AQ55="","",INDEX('②クラス編成'!$F$9:$F$158,$AQ55))</f>
        <v/>
      </c>
      <c r="AE55" s="8" t="str">
        <f>IF($AQ55="","",INDEX('②クラス編成'!$G$9:$G$158,$AQ55))</f>
        <v/>
      </c>
      <c r="AF55" s="8" t="str">
        <f>IF($AQ55="","",INDEX('②クラス編成'!$H$9:$H$158,$AQ55))</f>
        <v/>
      </c>
      <c r="AG55" s="11" t="str">
        <f>IF($AQ55="","",INDEX('②クラス編成'!$I$9:$I$158,$AQ55))</f>
        <v/>
      </c>
      <c r="AH55" s="11" t="str">
        <f>IF($AQ55="","",INDEX('②クラス編成'!$J$9:$J$158,$AQ55))</f>
        <v/>
      </c>
      <c r="AI55" s="8" t="str">
        <f>IF($AQ55="","",INDEX('②クラス編成'!$K$9:$K$158,$AQ55))</f>
        <v/>
      </c>
      <c r="AJ55" s="8" t="str">
        <f>IF($AQ55="","",INDEX('②クラス編成'!$L$9:$L$158,$AQ55))</f>
        <v/>
      </c>
      <c r="AK55" s="8" t="str">
        <f>IF($AQ55="","",INDEX('②クラス編成'!$M$9:$M$158,$AQ55))</f>
        <v/>
      </c>
      <c r="AL55" s="8" t="str">
        <f>IF($AQ55="","",INDEX('②クラス編成'!$N$9:$N$158,$AQ55))</f>
        <v/>
      </c>
      <c r="AM55" s="12" t="str">
        <f>IF($AQ55="","",INDEX('②クラス編成'!$P$9:$P$158,$AQ55))</f>
        <v/>
      </c>
      <c r="AO55" s="14" t="str">
        <f>IFERROR(MATCH("1-39",'②クラス編成'!$AS$9:$AS$158,0),"")</f>
        <v/>
      </c>
      <c r="AP55" s="14" t="str">
        <f>IFERROR(MATCH("2-39",'②クラス編成'!$AS$9:$AS$158,0),"")</f>
        <v/>
      </c>
      <c r="AQ55" s="14" t="str">
        <f>IFERROR(MATCH("3-39",'②クラス編成'!$AS$9:$AS$158,0),"")</f>
        <v/>
      </c>
    </row>
    <row r="56">
      <c r="B56" s="58" t="str">
        <f>IF($AO56="","",40)</f>
        <v/>
      </c>
      <c r="C56" s="8" t="str">
        <f>IF($AO56="","",INDEX('②クラス編成'!$D$9:$D$158,$AO56))</f>
        <v/>
      </c>
      <c r="D56" s="59" t="str">
        <f>IF($AO56="","",INDEX('②クラス編成'!$F$9:$F$158,$AO56))</f>
        <v/>
      </c>
      <c r="E56" s="8" t="str">
        <f>IF($AO56="","",INDEX('②クラス編成'!$G$9:$G$158,$AO56))</f>
        <v/>
      </c>
      <c r="F56" s="8" t="str">
        <f>IF($AO56="","",INDEX('②クラス編成'!$H$9:$H$158,$AO56))</f>
        <v/>
      </c>
      <c r="G56" s="11" t="str">
        <f>IF($AO56="","",INDEX('②クラス編成'!$I$9:$I$158,$AO56))</f>
        <v/>
      </c>
      <c r="H56" s="11" t="str">
        <f>IF($AO56="","",INDEX('②クラス編成'!$J$9:$J$158,$AO56))</f>
        <v/>
      </c>
      <c r="I56" s="8" t="str">
        <f>IF($AO56="","",INDEX('②クラス編成'!$K$9:$K$158,$AO56))</f>
        <v/>
      </c>
      <c r="J56" s="8" t="str">
        <f>IF($AO56="","",INDEX('②クラス編成'!$L$9:$L$158,$AO56))</f>
        <v/>
      </c>
      <c r="K56" s="8" t="str">
        <f>IF($AO56="","",INDEX('②クラス編成'!$M$9:$M$158,$AO56))</f>
        <v/>
      </c>
      <c r="L56" s="8" t="str">
        <f>IF($AO56="","",INDEX('②クラス編成'!$N$9:$N$158,$AO56))</f>
        <v/>
      </c>
      <c r="M56" s="12" t="str">
        <f>IF($AO56="","",INDEX('②クラス編成'!$P$9:$P$158,$AO56))</f>
        <v/>
      </c>
      <c r="O56" s="58" t="str">
        <f>IF($AP56="","",40)</f>
        <v/>
      </c>
      <c r="P56" s="8" t="str">
        <f>IF($AP56="","",INDEX('②クラス編成'!$D$9:$D$158,$AP56))</f>
        <v/>
      </c>
      <c r="Q56" s="59" t="str">
        <f>IF($AP56="","",INDEX('②クラス編成'!$F$9:$F$158,$AP56))</f>
        <v/>
      </c>
      <c r="R56" s="8" t="str">
        <f>IF($AP56="","",INDEX('②クラス編成'!$G$9:$G$158,$AP56))</f>
        <v/>
      </c>
      <c r="S56" s="8" t="str">
        <f>IF($AP56="","",INDEX('②クラス編成'!$H$9:$H$158,$AP56))</f>
        <v/>
      </c>
      <c r="T56" s="11" t="str">
        <f>IF($AP56="","",INDEX('②クラス編成'!$I$9:$I$158,$AP56))</f>
        <v/>
      </c>
      <c r="U56" s="11" t="str">
        <f>IF($AP56="","",INDEX('②クラス編成'!$J$9:$J$158,$AP56))</f>
        <v/>
      </c>
      <c r="V56" s="8" t="str">
        <f>IF($AP56="","",INDEX('②クラス編成'!$K$9:$K$158,$AP56))</f>
        <v/>
      </c>
      <c r="W56" s="8" t="str">
        <f>IF($AP56="","",INDEX('②クラス編成'!$L$9:$L$158,$AP56))</f>
        <v/>
      </c>
      <c r="X56" s="8" t="str">
        <f>IF($AP56="","",INDEX('②クラス編成'!$M$9:$M$158,$AP56))</f>
        <v/>
      </c>
      <c r="Y56" s="8" t="str">
        <f>IF($AP56="","",INDEX('②クラス編成'!$N$9:$N$158,$AP56))</f>
        <v/>
      </c>
      <c r="Z56" s="12" t="str">
        <f>IF($AP56="","",INDEX('②クラス編成'!$P$9:$P$158,$AP56))</f>
        <v/>
      </c>
      <c r="AB56" s="58" t="str">
        <f>IF($AQ56="","",40)</f>
        <v/>
      </c>
      <c r="AC56" s="8" t="str">
        <f>IF($AQ56="","",INDEX('②クラス編成'!$D$9:$D$158,$AQ56))</f>
        <v/>
      </c>
      <c r="AD56" s="59" t="str">
        <f>IF($AQ56="","",INDEX('②クラス編成'!$F$9:$F$158,$AQ56))</f>
        <v/>
      </c>
      <c r="AE56" s="8" t="str">
        <f>IF($AQ56="","",INDEX('②クラス編成'!$G$9:$G$158,$AQ56))</f>
        <v/>
      </c>
      <c r="AF56" s="8" t="str">
        <f>IF($AQ56="","",INDEX('②クラス編成'!$H$9:$H$158,$AQ56))</f>
        <v/>
      </c>
      <c r="AG56" s="11" t="str">
        <f>IF($AQ56="","",INDEX('②クラス編成'!$I$9:$I$158,$AQ56))</f>
        <v/>
      </c>
      <c r="AH56" s="11" t="str">
        <f>IF($AQ56="","",INDEX('②クラス編成'!$J$9:$J$158,$AQ56))</f>
        <v/>
      </c>
      <c r="AI56" s="8" t="str">
        <f>IF($AQ56="","",INDEX('②クラス編成'!$K$9:$K$158,$AQ56))</f>
        <v/>
      </c>
      <c r="AJ56" s="8" t="str">
        <f>IF($AQ56="","",INDEX('②クラス編成'!$L$9:$L$158,$AQ56))</f>
        <v/>
      </c>
      <c r="AK56" s="8" t="str">
        <f>IF($AQ56="","",INDEX('②クラス編成'!$M$9:$M$158,$AQ56))</f>
        <v/>
      </c>
      <c r="AL56" s="8" t="str">
        <f>IF($AQ56="","",INDEX('②クラス編成'!$N$9:$N$158,$AQ56))</f>
        <v/>
      </c>
      <c r="AM56" s="12" t="str">
        <f>IF($AQ56="","",INDEX('②クラス編成'!$P$9:$P$158,$AQ56))</f>
        <v/>
      </c>
      <c r="AO56" s="14" t="str">
        <f>IFERROR(MATCH("1-40",'②クラス編成'!$AS$9:$AS$158,0),"")</f>
        <v/>
      </c>
      <c r="AP56" s="14" t="str">
        <f>IFERROR(MATCH("2-40",'②クラス編成'!$AS$9:$AS$158,0),"")</f>
        <v/>
      </c>
      <c r="AQ56" s="14" t="str">
        <f>IFERROR(MATCH("3-40",'②クラス編成'!$AS$9:$AS$158,0),"")</f>
        <v/>
      </c>
    </row>
    <row r="57">
      <c r="B57" s="58" t="str">
        <f>IF($AO57="","",41)</f>
        <v/>
      </c>
      <c r="C57" s="8" t="str">
        <f>IF($AO57="","",INDEX('②クラス編成'!$D$9:$D$158,$AO57))</f>
        <v/>
      </c>
      <c r="D57" s="59" t="str">
        <f>IF($AO57="","",INDEX('②クラス編成'!$F$9:$F$158,$AO57))</f>
        <v/>
      </c>
      <c r="E57" s="8" t="str">
        <f>IF($AO57="","",INDEX('②クラス編成'!$G$9:$G$158,$AO57))</f>
        <v/>
      </c>
      <c r="F57" s="8" t="str">
        <f>IF($AO57="","",INDEX('②クラス編成'!$H$9:$H$158,$AO57))</f>
        <v/>
      </c>
      <c r="G57" s="11" t="str">
        <f>IF($AO57="","",INDEX('②クラス編成'!$I$9:$I$158,$AO57))</f>
        <v/>
      </c>
      <c r="H57" s="11" t="str">
        <f>IF($AO57="","",INDEX('②クラス編成'!$J$9:$J$158,$AO57))</f>
        <v/>
      </c>
      <c r="I57" s="8" t="str">
        <f>IF($AO57="","",INDEX('②クラス編成'!$K$9:$K$158,$AO57))</f>
        <v/>
      </c>
      <c r="J57" s="8" t="str">
        <f>IF($AO57="","",INDEX('②クラス編成'!$L$9:$L$158,$AO57))</f>
        <v/>
      </c>
      <c r="K57" s="8" t="str">
        <f>IF($AO57="","",INDEX('②クラス編成'!$M$9:$M$158,$AO57))</f>
        <v/>
      </c>
      <c r="L57" s="8" t="str">
        <f>IF($AO57="","",INDEX('②クラス編成'!$N$9:$N$158,$AO57))</f>
        <v/>
      </c>
      <c r="M57" s="12" t="str">
        <f>IF($AO57="","",INDEX('②クラス編成'!$P$9:$P$158,$AO57))</f>
        <v/>
      </c>
      <c r="O57" s="58" t="str">
        <f>IF($AP57="","",41)</f>
        <v/>
      </c>
      <c r="P57" s="8" t="str">
        <f>IF($AP57="","",INDEX('②クラス編成'!$D$9:$D$158,$AP57))</f>
        <v/>
      </c>
      <c r="Q57" s="59" t="str">
        <f>IF($AP57="","",INDEX('②クラス編成'!$F$9:$F$158,$AP57))</f>
        <v/>
      </c>
      <c r="R57" s="8" t="str">
        <f>IF($AP57="","",INDEX('②クラス編成'!$G$9:$G$158,$AP57))</f>
        <v/>
      </c>
      <c r="S57" s="8" t="str">
        <f>IF($AP57="","",INDEX('②クラス編成'!$H$9:$H$158,$AP57))</f>
        <v/>
      </c>
      <c r="T57" s="11" t="str">
        <f>IF($AP57="","",INDEX('②クラス編成'!$I$9:$I$158,$AP57))</f>
        <v/>
      </c>
      <c r="U57" s="11" t="str">
        <f>IF($AP57="","",INDEX('②クラス編成'!$J$9:$J$158,$AP57))</f>
        <v/>
      </c>
      <c r="V57" s="8" t="str">
        <f>IF($AP57="","",INDEX('②クラス編成'!$K$9:$K$158,$AP57))</f>
        <v/>
      </c>
      <c r="W57" s="8" t="str">
        <f>IF($AP57="","",INDEX('②クラス編成'!$L$9:$L$158,$AP57))</f>
        <v/>
      </c>
      <c r="X57" s="8" t="str">
        <f>IF($AP57="","",INDEX('②クラス編成'!$M$9:$M$158,$AP57))</f>
        <v/>
      </c>
      <c r="Y57" s="8" t="str">
        <f>IF($AP57="","",INDEX('②クラス編成'!$N$9:$N$158,$AP57))</f>
        <v/>
      </c>
      <c r="Z57" s="12" t="str">
        <f>IF($AP57="","",INDEX('②クラス編成'!$P$9:$P$158,$AP57))</f>
        <v/>
      </c>
      <c r="AB57" s="58" t="str">
        <f>IF($AQ57="","",41)</f>
        <v/>
      </c>
      <c r="AC57" s="8" t="str">
        <f>IF($AQ57="","",INDEX('②クラス編成'!$D$9:$D$158,$AQ57))</f>
        <v/>
      </c>
      <c r="AD57" s="59" t="str">
        <f>IF($AQ57="","",INDEX('②クラス編成'!$F$9:$F$158,$AQ57))</f>
        <v/>
      </c>
      <c r="AE57" s="8" t="str">
        <f>IF($AQ57="","",INDEX('②クラス編成'!$G$9:$G$158,$AQ57))</f>
        <v/>
      </c>
      <c r="AF57" s="8" t="str">
        <f>IF($AQ57="","",INDEX('②クラス編成'!$H$9:$H$158,$AQ57))</f>
        <v/>
      </c>
      <c r="AG57" s="11" t="str">
        <f>IF($AQ57="","",INDEX('②クラス編成'!$I$9:$I$158,$AQ57))</f>
        <v/>
      </c>
      <c r="AH57" s="11" t="str">
        <f>IF($AQ57="","",INDEX('②クラス編成'!$J$9:$J$158,$AQ57))</f>
        <v/>
      </c>
      <c r="AI57" s="8" t="str">
        <f>IF($AQ57="","",INDEX('②クラス編成'!$K$9:$K$158,$AQ57))</f>
        <v/>
      </c>
      <c r="AJ57" s="8" t="str">
        <f>IF($AQ57="","",INDEX('②クラス編成'!$L$9:$L$158,$AQ57))</f>
        <v/>
      </c>
      <c r="AK57" s="8" t="str">
        <f>IF($AQ57="","",INDEX('②クラス編成'!$M$9:$M$158,$AQ57))</f>
        <v/>
      </c>
      <c r="AL57" s="8" t="str">
        <f>IF($AQ57="","",INDEX('②クラス編成'!$N$9:$N$158,$AQ57))</f>
        <v/>
      </c>
      <c r="AM57" s="12" t="str">
        <f>IF($AQ57="","",INDEX('②クラス編成'!$P$9:$P$158,$AQ57))</f>
        <v/>
      </c>
      <c r="AO57" s="14" t="str">
        <f>IFERROR(MATCH("1-41",'②クラス編成'!$AS$9:$AS$158,0),"")</f>
        <v/>
      </c>
      <c r="AP57" s="14" t="str">
        <f>IFERROR(MATCH("2-41",'②クラス編成'!$AS$9:$AS$158,0),"")</f>
        <v/>
      </c>
      <c r="AQ57" s="14" t="str">
        <f>IFERROR(MATCH("3-41",'②クラス編成'!$AS$9:$AS$158,0),"")</f>
        <v/>
      </c>
    </row>
    <row r="58">
      <c r="B58" s="58" t="str">
        <f>IF($AO58="","",42)</f>
        <v/>
      </c>
      <c r="C58" s="8" t="str">
        <f>IF($AO58="","",INDEX('②クラス編成'!$D$9:$D$158,$AO58))</f>
        <v/>
      </c>
      <c r="D58" s="59" t="str">
        <f>IF($AO58="","",INDEX('②クラス編成'!$F$9:$F$158,$AO58))</f>
        <v/>
      </c>
      <c r="E58" s="8" t="str">
        <f>IF($AO58="","",INDEX('②クラス編成'!$G$9:$G$158,$AO58))</f>
        <v/>
      </c>
      <c r="F58" s="8" t="str">
        <f>IF($AO58="","",INDEX('②クラス編成'!$H$9:$H$158,$AO58))</f>
        <v/>
      </c>
      <c r="G58" s="11" t="str">
        <f>IF($AO58="","",INDEX('②クラス編成'!$I$9:$I$158,$AO58))</f>
        <v/>
      </c>
      <c r="H58" s="11" t="str">
        <f>IF($AO58="","",INDEX('②クラス編成'!$J$9:$J$158,$AO58))</f>
        <v/>
      </c>
      <c r="I58" s="8" t="str">
        <f>IF($AO58="","",INDEX('②クラス編成'!$K$9:$K$158,$AO58))</f>
        <v/>
      </c>
      <c r="J58" s="8" t="str">
        <f>IF($AO58="","",INDEX('②クラス編成'!$L$9:$L$158,$AO58))</f>
        <v/>
      </c>
      <c r="K58" s="8" t="str">
        <f>IF($AO58="","",INDEX('②クラス編成'!$M$9:$M$158,$AO58))</f>
        <v/>
      </c>
      <c r="L58" s="8" t="str">
        <f>IF($AO58="","",INDEX('②クラス編成'!$N$9:$N$158,$AO58))</f>
        <v/>
      </c>
      <c r="M58" s="12" t="str">
        <f>IF($AO58="","",INDEX('②クラス編成'!$P$9:$P$158,$AO58))</f>
        <v/>
      </c>
      <c r="O58" s="58" t="str">
        <f>IF($AP58="","",42)</f>
        <v/>
      </c>
      <c r="P58" s="8" t="str">
        <f>IF($AP58="","",INDEX('②クラス編成'!$D$9:$D$158,$AP58))</f>
        <v/>
      </c>
      <c r="Q58" s="59" t="str">
        <f>IF($AP58="","",INDEX('②クラス編成'!$F$9:$F$158,$AP58))</f>
        <v/>
      </c>
      <c r="R58" s="8" t="str">
        <f>IF($AP58="","",INDEX('②クラス編成'!$G$9:$G$158,$AP58))</f>
        <v/>
      </c>
      <c r="S58" s="8" t="str">
        <f>IF($AP58="","",INDEX('②クラス編成'!$H$9:$H$158,$AP58))</f>
        <v/>
      </c>
      <c r="T58" s="11" t="str">
        <f>IF($AP58="","",INDEX('②クラス編成'!$I$9:$I$158,$AP58))</f>
        <v/>
      </c>
      <c r="U58" s="11" t="str">
        <f>IF($AP58="","",INDEX('②クラス編成'!$J$9:$J$158,$AP58))</f>
        <v/>
      </c>
      <c r="V58" s="8" t="str">
        <f>IF($AP58="","",INDEX('②クラス編成'!$K$9:$K$158,$AP58))</f>
        <v/>
      </c>
      <c r="W58" s="8" t="str">
        <f>IF($AP58="","",INDEX('②クラス編成'!$L$9:$L$158,$AP58))</f>
        <v/>
      </c>
      <c r="X58" s="8" t="str">
        <f>IF($AP58="","",INDEX('②クラス編成'!$M$9:$M$158,$AP58))</f>
        <v/>
      </c>
      <c r="Y58" s="8" t="str">
        <f>IF($AP58="","",INDEX('②クラス編成'!$N$9:$N$158,$AP58))</f>
        <v/>
      </c>
      <c r="Z58" s="12" t="str">
        <f>IF($AP58="","",INDEX('②クラス編成'!$P$9:$P$158,$AP58))</f>
        <v/>
      </c>
      <c r="AB58" s="58" t="str">
        <f>IF($AQ58="","",42)</f>
        <v/>
      </c>
      <c r="AC58" s="8" t="str">
        <f>IF($AQ58="","",INDEX('②クラス編成'!$D$9:$D$158,$AQ58))</f>
        <v/>
      </c>
      <c r="AD58" s="59" t="str">
        <f>IF($AQ58="","",INDEX('②クラス編成'!$F$9:$F$158,$AQ58))</f>
        <v/>
      </c>
      <c r="AE58" s="8" t="str">
        <f>IF($AQ58="","",INDEX('②クラス編成'!$G$9:$G$158,$AQ58))</f>
        <v/>
      </c>
      <c r="AF58" s="8" t="str">
        <f>IF($AQ58="","",INDEX('②クラス編成'!$H$9:$H$158,$AQ58))</f>
        <v/>
      </c>
      <c r="AG58" s="11" t="str">
        <f>IF($AQ58="","",INDEX('②クラス編成'!$I$9:$I$158,$AQ58))</f>
        <v/>
      </c>
      <c r="AH58" s="11" t="str">
        <f>IF($AQ58="","",INDEX('②クラス編成'!$J$9:$J$158,$AQ58))</f>
        <v/>
      </c>
      <c r="AI58" s="8" t="str">
        <f>IF($AQ58="","",INDEX('②クラス編成'!$K$9:$K$158,$AQ58))</f>
        <v/>
      </c>
      <c r="AJ58" s="8" t="str">
        <f>IF($AQ58="","",INDEX('②クラス編成'!$L$9:$L$158,$AQ58))</f>
        <v/>
      </c>
      <c r="AK58" s="8" t="str">
        <f>IF($AQ58="","",INDEX('②クラス編成'!$M$9:$M$158,$AQ58))</f>
        <v/>
      </c>
      <c r="AL58" s="8" t="str">
        <f>IF($AQ58="","",INDEX('②クラス編成'!$N$9:$N$158,$AQ58))</f>
        <v/>
      </c>
      <c r="AM58" s="12" t="str">
        <f>IF($AQ58="","",INDEX('②クラス編成'!$P$9:$P$158,$AQ58))</f>
        <v/>
      </c>
      <c r="AO58" s="14" t="str">
        <f>IFERROR(MATCH("1-42",'②クラス編成'!$AS$9:$AS$158,0),"")</f>
        <v/>
      </c>
      <c r="AP58" s="14" t="str">
        <f>IFERROR(MATCH("2-42",'②クラス編成'!$AS$9:$AS$158,0),"")</f>
        <v/>
      </c>
      <c r="AQ58" s="14" t="str">
        <f>IFERROR(MATCH("3-42",'②クラス編成'!$AS$9:$AS$158,0),"")</f>
        <v/>
      </c>
    </row>
    <row r="59">
      <c r="B59" s="58" t="str">
        <f>IF($AO59="","",43)</f>
        <v/>
      </c>
      <c r="C59" s="8" t="str">
        <f>IF($AO59="","",INDEX('②クラス編成'!$D$9:$D$158,$AO59))</f>
        <v/>
      </c>
      <c r="D59" s="59" t="str">
        <f>IF($AO59="","",INDEX('②クラス編成'!$F$9:$F$158,$AO59))</f>
        <v/>
      </c>
      <c r="E59" s="8" t="str">
        <f>IF($AO59="","",INDEX('②クラス編成'!$G$9:$G$158,$AO59))</f>
        <v/>
      </c>
      <c r="F59" s="8" t="str">
        <f>IF($AO59="","",INDEX('②クラス編成'!$H$9:$H$158,$AO59))</f>
        <v/>
      </c>
      <c r="G59" s="11" t="str">
        <f>IF($AO59="","",INDEX('②クラス編成'!$I$9:$I$158,$AO59))</f>
        <v/>
      </c>
      <c r="H59" s="11" t="str">
        <f>IF($AO59="","",INDEX('②クラス編成'!$J$9:$J$158,$AO59))</f>
        <v/>
      </c>
      <c r="I59" s="8" t="str">
        <f>IF($AO59="","",INDEX('②クラス編成'!$K$9:$K$158,$AO59))</f>
        <v/>
      </c>
      <c r="J59" s="8" t="str">
        <f>IF($AO59="","",INDEX('②クラス編成'!$L$9:$L$158,$AO59))</f>
        <v/>
      </c>
      <c r="K59" s="8" t="str">
        <f>IF($AO59="","",INDEX('②クラス編成'!$M$9:$M$158,$AO59))</f>
        <v/>
      </c>
      <c r="L59" s="8" t="str">
        <f>IF($AO59="","",INDEX('②クラス編成'!$N$9:$N$158,$AO59))</f>
        <v/>
      </c>
      <c r="M59" s="12" t="str">
        <f>IF($AO59="","",INDEX('②クラス編成'!$P$9:$P$158,$AO59))</f>
        <v/>
      </c>
      <c r="O59" s="58" t="str">
        <f>IF($AP59="","",43)</f>
        <v/>
      </c>
      <c r="P59" s="8" t="str">
        <f>IF($AP59="","",INDEX('②クラス編成'!$D$9:$D$158,$AP59))</f>
        <v/>
      </c>
      <c r="Q59" s="59" t="str">
        <f>IF($AP59="","",INDEX('②クラス編成'!$F$9:$F$158,$AP59))</f>
        <v/>
      </c>
      <c r="R59" s="8" t="str">
        <f>IF($AP59="","",INDEX('②クラス編成'!$G$9:$G$158,$AP59))</f>
        <v/>
      </c>
      <c r="S59" s="8" t="str">
        <f>IF($AP59="","",INDEX('②クラス編成'!$H$9:$H$158,$AP59))</f>
        <v/>
      </c>
      <c r="T59" s="11" t="str">
        <f>IF($AP59="","",INDEX('②クラス編成'!$I$9:$I$158,$AP59))</f>
        <v/>
      </c>
      <c r="U59" s="11" t="str">
        <f>IF($AP59="","",INDEX('②クラス編成'!$J$9:$J$158,$AP59))</f>
        <v/>
      </c>
      <c r="V59" s="8" t="str">
        <f>IF($AP59="","",INDEX('②クラス編成'!$K$9:$K$158,$AP59))</f>
        <v/>
      </c>
      <c r="W59" s="8" t="str">
        <f>IF($AP59="","",INDEX('②クラス編成'!$L$9:$L$158,$AP59))</f>
        <v/>
      </c>
      <c r="X59" s="8" t="str">
        <f>IF($AP59="","",INDEX('②クラス編成'!$M$9:$M$158,$AP59))</f>
        <v/>
      </c>
      <c r="Y59" s="8" t="str">
        <f>IF($AP59="","",INDEX('②クラス編成'!$N$9:$N$158,$AP59))</f>
        <v/>
      </c>
      <c r="Z59" s="12" t="str">
        <f>IF($AP59="","",INDEX('②クラス編成'!$P$9:$P$158,$AP59))</f>
        <v/>
      </c>
      <c r="AB59" s="58" t="str">
        <f>IF($AQ59="","",43)</f>
        <v/>
      </c>
      <c r="AC59" s="8" t="str">
        <f>IF($AQ59="","",INDEX('②クラス編成'!$D$9:$D$158,$AQ59))</f>
        <v/>
      </c>
      <c r="AD59" s="59" t="str">
        <f>IF($AQ59="","",INDEX('②クラス編成'!$F$9:$F$158,$AQ59))</f>
        <v/>
      </c>
      <c r="AE59" s="8" t="str">
        <f>IF($AQ59="","",INDEX('②クラス編成'!$G$9:$G$158,$AQ59))</f>
        <v/>
      </c>
      <c r="AF59" s="8" t="str">
        <f>IF($AQ59="","",INDEX('②クラス編成'!$H$9:$H$158,$AQ59))</f>
        <v/>
      </c>
      <c r="AG59" s="11" t="str">
        <f>IF($AQ59="","",INDEX('②クラス編成'!$I$9:$I$158,$AQ59))</f>
        <v/>
      </c>
      <c r="AH59" s="11" t="str">
        <f>IF($AQ59="","",INDEX('②クラス編成'!$J$9:$J$158,$AQ59))</f>
        <v/>
      </c>
      <c r="AI59" s="8" t="str">
        <f>IF($AQ59="","",INDEX('②クラス編成'!$K$9:$K$158,$AQ59))</f>
        <v/>
      </c>
      <c r="AJ59" s="8" t="str">
        <f>IF($AQ59="","",INDEX('②クラス編成'!$L$9:$L$158,$AQ59))</f>
        <v/>
      </c>
      <c r="AK59" s="8" t="str">
        <f>IF($AQ59="","",INDEX('②クラス編成'!$M$9:$M$158,$AQ59))</f>
        <v/>
      </c>
      <c r="AL59" s="8" t="str">
        <f>IF($AQ59="","",INDEX('②クラス編成'!$N$9:$N$158,$AQ59))</f>
        <v/>
      </c>
      <c r="AM59" s="12" t="str">
        <f>IF($AQ59="","",INDEX('②クラス編成'!$P$9:$P$158,$AQ59))</f>
        <v/>
      </c>
      <c r="AO59" s="14" t="str">
        <f>IFERROR(MATCH("1-43",'②クラス編成'!$AS$9:$AS$158,0),"")</f>
        <v/>
      </c>
      <c r="AP59" s="14" t="str">
        <f>IFERROR(MATCH("2-43",'②クラス編成'!$AS$9:$AS$158,0),"")</f>
        <v/>
      </c>
      <c r="AQ59" s="14" t="str">
        <f>IFERROR(MATCH("3-43",'②クラス編成'!$AS$9:$AS$158,0),"")</f>
        <v/>
      </c>
    </row>
    <row r="60">
      <c r="B60" s="58" t="str">
        <f>IF($AO60="","",44)</f>
        <v/>
      </c>
      <c r="C60" s="8" t="str">
        <f>IF($AO60="","",INDEX('②クラス編成'!$D$9:$D$158,$AO60))</f>
        <v/>
      </c>
      <c r="D60" s="59" t="str">
        <f>IF($AO60="","",INDEX('②クラス編成'!$F$9:$F$158,$AO60))</f>
        <v/>
      </c>
      <c r="E60" s="8" t="str">
        <f>IF($AO60="","",INDEX('②クラス編成'!$G$9:$G$158,$AO60))</f>
        <v/>
      </c>
      <c r="F60" s="8" t="str">
        <f>IF($AO60="","",INDEX('②クラス編成'!$H$9:$H$158,$AO60))</f>
        <v/>
      </c>
      <c r="G60" s="11" t="str">
        <f>IF($AO60="","",INDEX('②クラス編成'!$I$9:$I$158,$AO60))</f>
        <v/>
      </c>
      <c r="H60" s="11" t="str">
        <f>IF($AO60="","",INDEX('②クラス編成'!$J$9:$J$158,$AO60))</f>
        <v/>
      </c>
      <c r="I60" s="8" t="str">
        <f>IF($AO60="","",INDEX('②クラス編成'!$K$9:$K$158,$AO60))</f>
        <v/>
      </c>
      <c r="J60" s="8" t="str">
        <f>IF($AO60="","",INDEX('②クラス編成'!$L$9:$L$158,$AO60))</f>
        <v/>
      </c>
      <c r="K60" s="8" t="str">
        <f>IF($AO60="","",INDEX('②クラス編成'!$M$9:$M$158,$AO60))</f>
        <v/>
      </c>
      <c r="L60" s="8" t="str">
        <f>IF($AO60="","",INDEX('②クラス編成'!$N$9:$N$158,$AO60))</f>
        <v/>
      </c>
      <c r="M60" s="12" t="str">
        <f>IF($AO60="","",INDEX('②クラス編成'!$P$9:$P$158,$AO60))</f>
        <v/>
      </c>
      <c r="O60" s="58" t="str">
        <f>IF($AP60="","",44)</f>
        <v/>
      </c>
      <c r="P60" s="8" t="str">
        <f>IF($AP60="","",INDEX('②クラス編成'!$D$9:$D$158,$AP60))</f>
        <v/>
      </c>
      <c r="Q60" s="59" t="str">
        <f>IF($AP60="","",INDEX('②クラス編成'!$F$9:$F$158,$AP60))</f>
        <v/>
      </c>
      <c r="R60" s="8" t="str">
        <f>IF($AP60="","",INDEX('②クラス編成'!$G$9:$G$158,$AP60))</f>
        <v/>
      </c>
      <c r="S60" s="8" t="str">
        <f>IF($AP60="","",INDEX('②クラス編成'!$H$9:$H$158,$AP60))</f>
        <v/>
      </c>
      <c r="T60" s="11" t="str">
        <f>IF($AP60="","",INDEX('②クラス編成'!$I$9:$I$158,$AP60))</f>
        <v/>
      </c>
      <c r="U60" s="11" t="str">
        <f>IF($AP60="","",INDEX('②クラス編成'!$J$9:$J$158,$AP60))</f>
        <v/>
      </c>
      <c r="V60" s="8" t="str">
        <f>IF($AP60="","",INDEX('②クラス編成'!$K$9:$K$158,$AP60))</f>
        <v/>
      </c>
      <c r="W60" s="8" t="str">
        <f>IF($AP60="","",INDEX('②クラス編成'!$L$9:$L$158,$AP60))</f>
        <v/>
      </c>
      <c r="X60" s="8" t="str">
        <f>IF($AP60="","",INDEX('②クラス編成'!$M$9:$M$158,$AP60))</f>
        <v/>
      </c>
      <c r="Y60" s="8" t="str">
        <f>IF($AP60="","",INDEX('②クラス編成'!$N$9:$N$158,$AP60))</f>
        <v/>
      </c>
      <c r="Z60" s="12" t="str">
        <f>IF($AP60="","",INDEX('②クラス編成'!$P$9:$P$158,$AP60))</f>
        <v/>
      </c>
      <c r="AB60" s="58" t="str">
        <f>IF($AQ60="","",44)</f>
        <v/>
      </c>
      <c r="AC60" s="8" t="str">
        <f>IF($AQ60="","",INDEX('②クラス編成'!$D$9:$D$158,$AQ60))</f>
        <v/>
      </c>
      <c r="AD60" s="59" t="str">
        <f>IF($AQ60="","",INDEX('②クラス編成'!$F$9:$F$158,$AQ60))</f>
        <v/>
      </c>
      <c r="AE60" s="8" t="str">
        <f>IF($AQ60="","",INDEX('②クラス編成'!$G$9:$G$158,$AQ60))</f>
        <v/>
      </c>
      <c r="AF60" s="8" t="str">
        <f>IF($AQ60="","",INDEX('②クラス編成'!$H$9:$H$158,$AQ60))</f>
        <v/>
      </c>
      <c r="AG60" s="11" t="str">
        <f>IF($AQ60="","",INDEX('②クラス編成'!$I$9:$I$158,$AQ60))</f>
        <v/>
      </c>
      <c r="AH60" s="11" t="str">
        <f>IF($AQ60="","",INDEX('②クラス編成'!$J$9:$J$158,$AQ60))</f>
        <v/>
      </c>
      <c r="AI60" s="8" t="str">
        <f>IF($AQ60="","",INDEX('②クラス編成'!$K$9:$K$158,$AQ60))</f>
        <v/>
      </c>
      <c r="AJ60" s="8" t="str">
        <f>IF($AQ60="","",INDEX('②クラス編成'!$L$9:$L$158,$AQ60))</f>
        <v/>
      </c>
      <c r="AK60" s="8" t="str">
        <f>IF($AQ60="","",INDEX('②クラス編成'!$M$9:$M$158,$AQ60))</f>
        <v/>
      </c>
      <c r="AL60" s="8" t="str">
        <f>IF($AQ60="","",INDEX('②クラス編成'!$N$9:$N$158,$AQ60))</f>
        <v/>
      </c>
      <c r="AM60" s="12" t="str">
        <f>IF($AQ60="","",INDEX('②クラス編成'!$P$9:$P$158,$AQ60))</f>
        <v/>
      </c>
      <c r="AO60" s="14" t="str">
        <f>IFERROR(MATCH("1-44",'②クラス編成'!$AS$9:$AS$158,0),"")</f>
        <v/>
      </c>
      <c r="AP60" s="14" t="str">
        <f>IFERROR(MATCH("2-44",'②クラス編成'!$AS$9:$AS$158,0),"")</f>
        <v/>
      </c>
      <c r="AQ60" s="14" t="str">
        <f>IFERROR(MATCH("3-44",'②クラス編成'!$AS$9:$AS$158,0),"")</f>
        <v/>
      </c>
    </row>
    <row r="61">
      <c r="B61" s="58" t="str">
        <f>IF($AO61="","",45)</f>
        <v/>
      </c>
      <c r="C61" s="8" t="str">
        <f>IF($AO61="","",INDEX('②クラス編成'!$D$9:$D$158,$AO61))</f>
        <v/>
      </c>
      <c r="D61" s="59" t="str">
        <f>IF($AO61="","",INDEX('②クラス編成'!$F$9:$F$158,$AO61))</f>
        <v/>
      </c>
      <c r="E61" s="8" t="str">
        <f>IF($AO61="","",INDEX('②クラス編成'!$G$9:$G$158,$AO61))</f>
        <v/>
      </c>
      <c r="F61" s="8" t="str">
        <f>IF($AO61="","",INDEX('②クラス編成'!$H$9:$H$158,$AO61))</f>
        <v/>
      </c>
      <c r="G61" s="11" t="str">
        <f>IF($AO61="","",INDEX('②クラス編成'!$I$9:$I$158,$AO61))</f>
        <v/>
      </c>
      <c r="H61" s="11" t="str">
        <f>IF($AO61="","",INDEX('②クラス編成'!$J$9:$J$158,$AO61))</f>
        <v/>
      </c>
      <c r="I61" s="8" t="str">
        <f>IF($AO61="","",INDEX('②クラス編成'!$K$9:$K$158,$AO61))</f>
        <v/>
      </c>
      <c r="J61" s="8" t="str">
        <f>IF($AO61="","",INDEX('②クラス編成'!$L$9:$L$158,$AO61))</f>
        <v/>
      </c>
      <c r="K61" s="8" t="str">
        <f>IF($AO61="","",INDEX('②クラス編成'!$M$9:$M$158,$AO61))</f>
        <v/>
      </c>
      <c r="L61" s="8" t="str">
        <f>IF($AO61="","",INDEX('②クラス編成'!$N$9:$N$158,$AO61))</f>
        <v/>
      </c>
      <c r="M61" s="12" t="str">
        <f>IF($AO61="","",INDEX('②クラス編成'!$P$9:$P$158,$AO61))</f>
        <v/>
      </c>
      <c r="O61" s="58" t="str">
        <f>IF($AP61="","",45)</f>
        <v/>
      </c>
      <c r="P61" s="8" t="str">
        <f>IF($AP61="","",INDEX('②クラス編成'!$D$9:$D$158,$AP61))</f>
        <v/>
      </c>
      <c r="Q61" s="59" t="str">
        <f>IF($AP61="","",INDEX('②クラス編成'!$F$9:$F$158,$AP61))</f>
        <v/>
      </c>
      <c r="R61" s="8" t="str">
        <f>IF($AP61="","",INDEX('②クラス編成'!$G$9:$G$158,$AP61))</f>
        <v/>
      </c>
      <c r="S61" s="8" t="str">
        <f>IF($AP61="","",INDEX('②クラス編成'!$H$9:$H$158,$AP61))</f>
        <v/>
      </c>
      <c r="T61" s="11" t="str">
        <f>IF($AP61="","",INDEX('②クラス編成'!$I$9:$I$158,$AP61))</f>
        <v/>
      </c>
      <c r="U61" s="11" t="str">
        <f>IF($AP61="","",INDEX('②クラス編成'!$J$9:$J$158,$AP61))</f>
        <v/>
      </c>
      <c r="V61" s="8" t="str">
        <f>IF($AP61="","",INDEX('②クラス編成'!$K$9:$K$158,$AP61))</f>
        <v/>
      </c>
      <c r="W61" s="8" t="str">
        <f>IF($AP61="","",INDEX('②クラス編成'!$L$9:$L$158,$AP61))</f>
        <v/>
      </c>
      <c r="X61" s="8" t="str">
        <f>IF($AP61="","",INDEX('②クラス編成'!$M$9:$M$158,$AP61))</f>
        <v/>
      </c>
      <c r="Y61" s="8" t="str">
        <f>IF($AP61="","",INDEX('②クラス編成'!$N$9:$N$158,$AP61))</f>
        <v/>
      </c>
      <c r="Z61" s="12" t="str">
        <f>IF($AP61="","",INDEX('②クラス編成'!$P$9:$P$158,$AP61))</f>
        <v/>
      </c>
      <c r="AB61" s="58" t="str">
        <f>IF($AQ61="","",45)</f>
        <v/>
      </c>
      <c r="AC61" s="8" t="str">
        <f>IF($AQ61="","",INDEX('②クラス編成'!$D$9:$D$158,$AQ61))</f>
        <v/>
      </c>
      <c r="AD61" s="59" t="str">
        <f>IF($AQ61="","",INDEX('②クラス編成'!$F$9:$F$158,$AQ61))</f>
        <v/>
      </c>
      <c r="AE61" s="8" t="str">
        <f>IF($AQ61="","",INDEX('②クラス編成'!$G$9:$G$158,$AQ61))</f>
        <v/>
      </c>
      <c r="AF61" s="8" t="str">
        <f>IF($AQ61="","",INDEX('②クラス編成'!$H$9:$H$158,$AQ61))</f>
        <v/>
      </c>
      <c r="AG61" s="11" t="str">
        <f>IF($AQ61="","",INDEX('②クラス編成'!$I$9:$I$158,$AQ61))</f>
        <v/>
      </c>
      <c r="AH61" s="11" t="str">
        <f>IF($AQ61="","",INDEX('②クラス編成'!$J$9:$J$158,$AQ61))</f>
        <v/>
      </c>
      <c r="AI61" s="8" t="str">
        <f>IF($AQ61="","",INDEX('②クラス編成'!$K$9:$K$158,$AQ61))</f>
        <v/>
      </c>
      <c r="AJ61" s="8" t="str">
        <f>IF($AQ61="","",INDEX('②クラス編成'!$L$9:$L$158,$AQ61))</f>
        <v/>
      </c>
      <c r="AK61" s="8" t="str">
        <f>IF($AQ61="","",INDEX('②クラス編成'!$M$9:$M$158,$AQ61))</f>
        <v/>
      </c>
      <c r="AL61" s="8" t="str">
        <f>IF($AQ61="","",INDEX('②クラス編成'!$N$9:$N$158,$AQ61))</f>
        <v/>
      </c>
      <c r="AM61" s="12" t="str">
        <f>IF($AQ61="","",INDEX('②クラス編成'!$P$9:$P$158,$AQ61))</f>
        <v/>
      </c>
      <c r="AO61" s="14" t="str">
        <f>IFERROR(MATCH("1-45",'②クラス編成'!$AS$9:$AS$158,0),"")</f>
        <v/>
      </c>
      <c r="AP61" s="14" t="str">
        <f>IFERROR(MATCH("2-45",'②クラス編成'!$AS$9:$AS$158,0),"")</f>
        <v/>
      </c>
      <c r="AQ61" s="14" t="str">
        <f>IFERROR(MATCH("3-45",'②クラス編成'!$AS$9:$AS$158,0),"")</f>
        <v/>
      </c>
    </row>
    <row r="62">
      <c r="B62" s="58" t="str">
        <f>IF($AO62="","",46)</f>
        <v/>
      </c>
      <c r="C62" s="8" t="str">
        <f>IF($AO62="","",INDEX('②クラス編成'!$D$9:$D$158,$AO62))</f>
        <v/>
      </c>
      <c r="D62" s="59" t="str">
        <f>IF($AO62="","",INDEX('②クラス編成'!$F$9:$F$158,$AO62))</f>
        <v/>
      </c>
      <c r="E62" s="8" t="str">
        <f>IF($AO62="","",INDEX('②クラス編成'!$G$9:$G$158,$AO62))</f>
        <v/>
      </c>
      <c r="F62" s="8" t="str">
        <f>IF($AO62="","",INDEX('②クラス編成'!$H$9:$H$158,$AO62))</f>
        <v/>
      </c>
      <c r="G62" s="11" t="str">
        <f>IF($AO62="","",INDEX('②クラス編成'!$I$9:$I$158,$AO62))</f>
        <v/>
      </c>
      <c r="H62" s="11" t="str">
        <f>IF($AO62="","",INDEX('②クラス編成'!$J$9:$J$158,$AO62))</f>
        <v/>
      </c>
      <c r="I62" s="8" t="str">
        <f>IF($AO62="","",INDEX('②クラス編成'!$K$9:$K$158,$AO62))</f>
        <v/>
      </c>
      <c r="J62" s="8" t="str">
        <f>IF($AO62="","",INDEX('②クラス編成'!$L$9:$L$158,$AO62))</f>
        <v/>
      </c>
      <c r="K62" s="8" t="str">
        <f>IF($AO62="","",INDEX('②クラス編成'!$M$9:$M$158,$AO62))</f>
        <v/>
      </c>
      <c r="L62" s="8" t="str">
        <f>IF($AO62="","",INDEX('②クラス編成'!$N$9:$N$158,$AO62))</f>
        <v/>
      </c>
      <c r="M62" s="12" t="str">
        <f>IF($AO62="","",INDEX('②クラス編成'!$P$9:$P$158,$AO62))</f>
        <v/>
      </c>
      <c r="O62" s="58" t="str">
        <f>IF($AP62="","",46)</f>
        <v/>
      </c>
      <c r="P62" s="8" t="str">
        <f>IF($AP62="","",INDEX('②クラス編成'!$D$9:$D$158,$AP62))</f>
        <v/>
      </c>
      <c r="Q62" s="59" t="str">
        <f>IF($AP62="","",INDEX('②クラス編成'!$F$9:$F$158,$AP62))</f>
        <v/>
      </c>
      <c r="R62" s="8" t="str">
        <f>IF($AP62="","",INDEX('②クラス編成'!$G$9:$G$158,$AP62))</f>
        <v/>
      </c>
      <c r="S62" s="8" t="str">
        <f>IF($AP62="","",INDEX('②クラス編成'!$H$9:$H$158,$AP62))</f>
        <v/>
      </c>
      <c r="T62" s="11" t="str">
        <f>IF($AP62="","",INDEX('②クラス編成'!$I$9:$I$158,$AP62))</f>
        <v/>
      </c>
      <c r="U62" s="11" t="str">
        <f>IF($AP62="","",INDEX('②クラス編成'!$J$9:$J$158,$AP62))</f>
        <v/>
      </c>
      <c r="V62" s="8" t="str">
        <f>IF($AP62="","",INDEX('②クラス編成'!$K$9:$K$158,$AP62))</f>
        <v/>
      </c>
      <c r="W62" s="8" t="str">
        <f>IF($AP62="","",INDEX('②クラス編成'!$L$9:$L$158,$AP62))</f>
        <v/>
      </c>
      <c r="X62" s="8" t="str">
        <f>IF($AP62="","",INDEX('②クラス編成'!$M$9:$M$158,$AP62))</f>
        <v/>
      </c>
      <c r="Y62" s="8" t="str">
        <f>IF($AP62="","",INDEX('②クラス編成'!$N$9:$N$158,$AP62))</f>
        <v/>
      </c>
      <c r="Z62" s="12" t="str">
        <f>IF($AP62="","",INDEX('②クラス編成'!$P$9:$P$158,$AP62))</f>
        <v/>
      </c>
      <c r="AB62" s="58" t="str">
        <f>IF($AQ62="","",46)</f>
        <v/>
      </c>
      <c r="AC62" s="8" t="str">
        <f>IF($AQ62="","",INDEX('②クラス編成'!$D$9:$D$158,$AQ62))</f>
        <v/>
      </c>
      <c r="AD62" s="59" t="str">
        <f>IF($AQ62="","",INDEX('②クラス編成'!$F$9:$F$158,$AQ62))</f>
        <v/>
      </c>
      <c r="AE62" s="8" t="str">
        <f>IF($AQ62="","",INDEX('②クラス編成'!$G$9:$G$158,$AQ62))</f>
        <v/>
      </c>
      <c r="AF62" s="8" t="str">
        <f>IF($AQ62="","",INDEX('②クラス編成'!$H$9:$H$158,$AQ62))</f>
        <v/>
      </c>
      <c r="AG62" s="11" t="str">
        <f>IF($AQ62="","",INDEX('②クラス編成'!$I$9:$I$158,$AQ62))</f>
        <v/>
      </c>
      <c r="AH62" s="11" t="str">
        <f>IF($AQ62="","",INDEX('②クラス編成'!$J$9:$J$158,$AQ62))</f>
        <v/>
      </c>
      <c r="AI62" s="8" t="str">
        <f>IF($AQ62="","",INDEX('②クラス編成'!$K$9:$K$158,$AQ62))</f>
        <v/>
      </c>
      <c r="AJ62" s="8" t="str">
        <f>IF($AQ62="","",INDEX('②クラス編成'!$L$9:$L$158,$AQ62))</f>
        <v/>
      </c>
      <c r="AK62" s="8" t="str">
        <f>IF($AQ62="","",INDEX('②クラス編成'!$M$9:$M$158,$AQ62))</f>
        <v/>
      </c>
      <c r="AL62" s="8" t="str">
        <f>IF($AQ62="","",INDEX('②クラス編成'!$N$9:$N$158,$AQ62))</f>
        <v/>
      </c>
      <c r="AM62" s="12" t="str">
        <f>IF($AQ62="","",INDEX('②クラス編成'!$P$9:$P$158,$AQ62))</f>
        <v/>
      </c>
      <c r="AO62" s="14" t="str">
        <f>IFERROR(MATCH("1-46",'②クラス編成'!$AS$9:$AS$158,0),"")</f>
        <v/>
      </c>
      <c r="AP62" s="14" t="str">
        <f>IFERROR(MATCH("2-46",'②クラス編成'!$AS$9:$AS$158,0),"")</f>
        <v/>
      </c>
      <c r="AQ62" s="14" t="str">
        <f>IFERROR(MATCH("3-46",'②クラス編成'!$AS$9:$AS$158,0),"")</f>
        <v/>
      </c>
    </row>
    <row r="63">
      <c r="B63" s="58" t="str">
        <f>IF($AO63="","",47)</f>
        <v/>
      </c>
      <c r="C63" s="8" t="str">
        <f>IF($AO63="","",INDEX('②クラス編成'!$D$9:$D$158,$AO63))</f>
        <v/>
      </c>
      <c r="D63" s="59" t="str">
        <f>IF($AO63="","",INDEX('②クラス編成'!$F$9:$F$158,$AO63))</f>
        <v/>
      </c>
      <c r="E63" s="8" t="str">
        <f>IF($AO63="","",INDEX('②クラス編成'!$G$9:$G$158,$AO63))</f>
        <v/>
      </c>
      <c r="F63" s="8" t="str">
        <f>IF($AO63="","",INDEX('②クラス編成'!$H$9:$H$158,$AO63))</f>
        <v/>
      </c>
      <c r="G63" s="11" t="str">
        <f>IF($AO63="","",INDEX('②クラス編成'!$I$9:$I$158,$AO63))</f>
        <v/>
      </c>
      <c r="H63" s="11" t="str">
        <f>IF($AO63="","",INDEX('②クラス編成'!$J$9:$J$158,$AO63))</f>
        <v/>
      </c>
      <c r="I63" s="8" t="str">
        <f>IF($AO63="","",INDEX('②クラス編成'!$K$9:$K$158,$AO63))</f>
        <v/>
      </c>
      <c r="J63" s="8" t="str">
        <f>IF($AO63="","",INDEX('②クラス編成'!$L$9:$L$158,$AO63))</f>
        <v/>
      </c>
      <c r="K63" s="8" t="str">
        <f>IF($AO63="","",INDEX('②クラス編成'!$M$9:$M$158,$AO63))</f>
        <v/>
      </c>
      <c r="L63" s="8" t="str">
        <f>IF($AO63="","",INDEX('②クラス編成'!$N$9:$N$158,$AO63))</f>
        <v/>
      </c>
      <c r="M63" s="12" t="str">
        <f>IF($AO63="","",INDEX('②クラス編成'!$P$9:$P$158,$AO63))</f>
        <v/>
      </c>
      <c r="O63" s="58" t="str">
        <f>IF($AP63="","",47)</f>
        <v/>
      </c>
      <c r="P63" s="8" t="str">
        <f>IF($AP63="","",INDEX('②クラス編成'!$D$9:$D$158,$AP63))</f>
        <v/>
      </c>
      <c r="Q63" s="59" t="str">
        <f>IF($AP63="","",INDEX('②クラス編成'!$F$9:$F$158,$AP63))</f>
        <v/>
      </c>
      <c r="R63" s="8" t="str">
        <f>IF($AP63="","",INDEX('②クラス編成'!$G$9:$G$158,$AP63))</f>
        <v/>
      </c>
      <c r="S63" s="8" t="str">
        <f>IF($AP63="","",INDEX('②クラス編成'!$H$9:$H$158,$AP63))</f>
        <v/>
      </c>
      <c r="T63" s="11" t="str">
        <f>IF($AP63="","",INDEX('②クラス編成'!$I$9:$I$158,$AP63))</f>
        <v/>
      </c>
      <c r="U63" s="11" t="str">
        <f>IF($AP63="","",INDEX('②クラス編成'!$J$9:$J$158,$AP63))</f>
        <v/>
      </c>
      <c r="V63" s="8" t="str">
        <f>IF($AP63="","",INDEX('②クラス編成'!$K$9:$K$158,$AP63))</f>
        <v/>
      </c>
      <c r="W63" s="8" t="str">
        <f>IF($AP63="","",INDEX('②クラス編成'!$L$9:$L$158,$AP63))</f>
        <v/>
      </c>
      <c r="X63" s="8" t="str">
        <f>IF($AP63="","",INDEX('②クラス編成'!$M$9:$M$158,$AP63))</f>
        <v/>
      </c>
      <c r="Y63" s="8" t="str">
        <f>IF($AP63="","",INDEX('②クラス編成'!$N$9:$N$158,$AP63))</f>
        <v/>
      </c>
      <c r="Z63" s="12" t="str">
        <f>IF($AP63="","",INDEX('②クラス編成'!$P$9:$P$158,$AP63))</f>
        <v/>
      </c>
      <c r="AB63" s="58" t="str">
        <f>IF($AQ63="","",47)</f>
        <v/>
      </c>
      <c r="AC63" s="8" t="str">
        <f>IF($AQ63="","",INDEX('②クラス編成'!$D$9:$D$158,$AQ63))</f>
        <v/>
      </c>
      <c r="AD63" s="59" t="str">
        <f>IF($AQ63="","",INDEX('②クラス編成'!$F$9:$F$158,$AQ63))</f>
        <v/>
      </c>
      <c r="AE63" s="8" t="str">
        <f>IF($AQ63="","",INDEX('②クラス編成'!$G$9:$G$158,$AQ63))</f>
        <v/>
      </c>
      <c r="AF63" s="8" t="str">
        <f>IF($AQ63="","",INDEX('②クラス編成'!$H$9:$H$158,$AQ63))</f>
        <v/>
      </c>
      <c r="AG63" s="11" t="str">
        <f>IF($AQ63="","",INDEX('②クラス編成'!$I$9:$I$158,$AQ63))</f>
        <v/>
      </c>
      <c r="AH63" s="11" t="str">
        <f>IF($AQ63="","",INDEX('②クラス編成'!$J$9:$J$158,$AQ63))</f>
        <v/>
      </c>
      <c r="AI63" s="8" t="str">
        <f>IF($AQ63="","",INDEX('②クラス編成'!$K$9:$K$158,$AQ63))</f>
        <v/>
      </c>
      <c r="AJ63" s="8" t="str">
        <f>IF($AQ63="","",INDEX('②クラス編成'!$L$9:$L$158,$AQ63))</f>
        <v/>
      </c>
      <c r="AK63" s="8" t="str">
        <f>IF($AQ63="","",INDEX('②クラス編成'!$M$9:$M$158,$AQ63))</f>
        <v/>
      </c>
      <c r="AL63" s="8" t="str">
        <f>IF($AQ63="","",INDEX('②クラス編成'!$N$9:$N$158,$AQ63))</f>
        <v/>
      </c>
      <c r="AM63" s="12" t="str">
        <f>IF($AQ63="","",INDEX('②クラス編成'!$P$9:$P$158,$AQ63))</f>
        <v/>
      </c>
      <c r="AO63" s="14" t="str">
        <f>IFERROR(MATCH("1-47",'②クラス編成'!$AS$9:$AS$158,0),"")</f>
        <v/>
      </c>
      <c r="AP63" s="14" t="str">
        <f>IFERROR(MATCH("2-47",'②クラス編成'!$AS$9:$AS$158,0),"")</f>
        <v/>
      </c>
      <c r="AQ63" s="14" t="str">
        <f>IFERROR(MATCH("3-47",'②クラス編成'!$AS$9:$AS$158,0),"")</f>
        <v/>
      </c>
    </row>
    <row r="64">
      <c r="B64" s="58" t="str">
        <f>IF($AO64="","",48)</f>
        <v/>
      </c>
      <c r="C64" s="8" t="str">
        <f>IF($AO64="","",INDEX('②クラス編成'!$D$9:$D$158,$AO64))</f>
        <v/>
      </c>
      <c r="D64" s="59" t="str">
        <f>IF($AO64="","",INDEX('②クラス編成'!$F$9:$F$158,$AO64))</f>
        <v/>
      </c>
      <c r="E64" s="8" t="str">
        <f>IF($AO64="","",INDEX('②クラス編成'!$G$9:$G$158,$AO64))</f>
        <v/>
      </c>
      <c r="F64" s="8" t="str">
        <f>IF($AO64="","",INDEX('②クラス編成'!$H$9:$H$158,$AO64))</f>
        <v/>
      </c>
      <c r="G64" s="11" t="str">
        <f>IF($AO64="","",INDEX('②クラス編成'!$I$9:$I$158,$AO64))</f>
        <v/>
      </c>
      <c r="H64" s="11" t="str">
        <f>IF($AO64="","",INDEX('②クラス編成'!$J$9:$J$158,$AO64))</f>
        <v/>
      </c>
      <c r="I64" s="8" t="str">
        <f>IF($AO64="","",INDEX('②クラス編成'!$K$9:$K$158,$AO64))</f>
        <v/>
      </c>
      <c r="J64" s="8" t="str">
        <f>IF($AO64="","",INDEX('②クラス編成'!$L$9:$L$158,$AO64))</f>
        <v/>
      </c>
      <c r="K64" s="8" t="str">
        <f>IF($AO64="","",INDEX('②クラス編成'!$M$9:$M$158,$AO64))</f>
        <v/>
      </c>
      <c r="L64" s="8" t="str">
        <f>IF($AO64="","",INDEX('②クラス編成'!$N$9:$N$158,$AO64))</f>
        <v/>
      </c>
      <c r="M64" s="12" t="str">
        <f>IF($AO64="","",INDEX('②クラス編成'!$P$9:$P$158,$AO64))</f>
        <v/>
      </c>
      <c r="O64" s="58" t="str">
        <f>IF($AP64="","",48)</f>
        <v/>
      </c>
      <c r="P64" s="8" t="str">
        <f>IF($AP64="","",INDEX('②クラス編成'!$D$9:$D$158,$AP64))</f>
        <v/>
      </c>
      <c r="Q64" s="59" t="str">
        <f>IF($AP64="","",INDEX('②クラス編成'!$F$9:$F$158,$AP64))</f>
        <v/>
      </c>
      <c r="R64" s="8" t="str">
        <f>IF($AP64="","",INDEX('②クラス編成'!$G$9:$G$158,$AP64))</f>
        <v/>
      </c>
      <c r="S64" s="8" t="str">
        <f>IF($AP64="","",INDEX('②クラス編成'!$H$9:$H$158,$AP64))</f>
        <v/>
      </c>
      <c r="T64" s="11" t="str">
        <f>IF($AP64="","",INDEX('②クラス編成'!$I$9:$I$158,$AP64))</f>
        <v/>
      </c>
      <c r="U64" s="11" t="str">
        <f>IF($AP64="","",INDEX('②クラス編成'!$J$9:$J$158,$AP64))</f>
        <v/>
      </c>
      <c r="V64" s="8" t="str">
        <f>IF($AP64="","",INDEX('②クラス編成'!$K$9:$K$158,$AP64))</f>
        <v/>
      </c>
      <c r="W64" s="8" t="str">
        <f>IF($AP64="","",INDEX('②クラス編成'!$L$9:$L$158,$AP64))</f>
        <v/>
      </c>
      <c r="X64" s="8" t="str">
        <f>IF($AP64="","",INDEX('②クラス編成'!$M$9:$M$158,$AP64))</f>
        <v/>
      </c>
      <c r="Y64" s="8" t="str">
        <f>IF($AP64="","",INDEX('②クラス編成'!$N$9:$N$158,$AP64))</f>
        <v/>
      </c>
      <c r="Z64" s="12" t="str">
        <f>IF($AP64="","",INDEX('②クラス編成'!$P$9:$P$158,$AP64))</f>
        <v/>
      </c>
      <c r="AB64" s="58" t="str">
        <f>IF($AQ64="","",48)</f>
        <v/>
      </c>
      <c r="AC64" s="8" t="str">
        <f>IF($AQ64="","",INDEX('②クラス編成'!$D$9:$D$158,$AQ64))</f>
        <v/>
      </c>
      <c r="AD64" s="59" t="str">
        <f>IF($AQ64="","",INDEX('②クラス編成'!$F$9:$F$158,$AQ64))</f>
        <v/>
      </c>
      <c r="AE64" s="8" t="str">
        <f>IF($AQ64="","",INDEX('②クラス編成'!$G$9:$G$158,$AQ64))</f>
        <v/>
      </c>
      <c r="AF64" s="8" t="str">
        <f>IF($AQ64="","",INDEX('②クラス編成'!$H$9:$H$158,$AQ64))</f>
        <v/>
      </c>
      <c r="AG64" s="11" t="str">
        <f>IF($AQ64="","",INDEX('②クラス編成'!$I$9:$I$158,$AQ64))</f>
        <v/>
      </c>
      <c r="AH64" s="11" t="str">
        <f>IF($AQ64="","",INDEX('②クラス編成'!$J$9:$J$158,$AQ64))</f>
        <v/>
      </c>
      <c r="AI64" s="8" t="str">
        <f>IF($AQ64="","",INDEX('②クラス編成'!$K$9:$K$158,$AQ64))</f>
        <v/>
      </c>
      <c r="AJ64" s="8" t="str">
        <f>IF($AQ64="","",INDEX('②クラス編成'!$L$9:$L$158,$AQ64))</f>
        <v/>
      </c>
      <c r="AK64" s="8" t="str">
        <f>IF($AQ64="","",INDEX('②クラス編成'!$M$9:$M$158,$AQ64))</f>
        <v/>
      </c>
      <c r="AL64" s="8" t="str">
        <f>IF($AQ64="","",INDEX('②クラス編成'!$N$9:$N$158,$AQ64))</f>
        <v/>
      </c>
      <c r="AM64" s="12" t="str">
        <f>IF($AQ64="","",INDEX('②クラス編成'!$P$9:$P$158,$AQ64))</f>
        <v/>
      </c>
      <c r="AO64" s="14" t="str">
        <f>IFERROR(MATCH("1-48",'②クラス編成'!$AS$9:$AS$158,0),"")</f>
        <v/>
      </c>
      <c r="AP64" s="14" t="str">
        <f>IFERROR(MATCH("2-48",'②クラス編成'!$AS$9:$AS$158,0),"")</f>
        <v/>
      </c>
      <c r="AQ64" s="14" t="str">
        <f>IFERROR(MATCH("3-48",'②クラス編成'!$AS$9:$AS$158,0),"")</f>
        <v/>
      </c>
    </row>
    <row r="65">
      <c r="B65" s="58" t="str">
        <f>IF($AO65="","",49)</f>
        <v/>
      </c>
      <c r="C65" s="8" t="str">
        <f>IF($AO65="","",INDEX('②クラス編成'!$D$9:$D$158,$AO65))</f>
        <v/>
      </c>
      <c r="D65" s="59" t="str">
        <f>IF($AO65="","",INDEX('②クラス編成'!$F$9:$F$158,$AO65))</f>
        <v/>
      </c>
      <c r="E65" s="8" t="str">
        <f>IF($AO65="","",INDEX('②クラス編成'!$G$9:$G$158,$AO65))</f>
        <v/>
      </c>
      <c r="F65" s="8" t="str">
        <f>IF($AO65="","",INDEX('②クラス編成'!$H$9:$H$158,$AO65))</f>
        <v/>
      </c>
      <c r="G65" s="11" t="str">
        <f>IF($AO65="","",INDEX('②クラス編成'!$I$9:$I$158,$AO65))</f>
        <v/>
      </c>
      <c r="H65" s="11" t="str">
        <f>IF($AO65="","",INDEX('②クラス編成'!$J$9:$J$158,$AO65))</f>
        <v/>
      </c>
      <c r="I65" s="8" t="str">
        <f>IF($AO65="","",INDEX('②クラス編成'!$K$9:$K$158,$AO65))</f>
        <v/>
      </c>
      <c r="J65" s="8" t="str">
        <f>IF($AO65="","",INDEX('②クラス編成'!$L$9:$L$158,$AO65))</f>
        <v/>
      </c>
      <c r="K65" s="8" t="str">
        <f>IF($AO65="","",INDEX('②クラス編成'!$M$9:$M$158,$AO65))</f>
        <v/>
      </c>
      <c r="L65" s="8" t="str">
        <f>IF($AO65="","",INDEX('②クラス編成'!$N$9:$N$158,$AO65))</f>
        <v/>
      </c>
      <c r="M65" s="12" t="str">
        <f>IF($AO65="","",INDEX('②クラス編成'!$P$9:$P$158,$AO65))</f>
        <v/>
      </c>
      <c r="O65" s="58" t="str">
        <f>IF($AP65="","",49)</f>
        <v/>
      </c>
      <c r="P65" s="8" t="str">
        <f>IF($AP65="","",INDEX('②クラス編成'!$D$9:$D$158,$AP65))</f>
        <v/>
      </c>
      <c r="Q65" s="59" t="str">
        <f>IF($AP65="","",INDEX('②クラス編成'!$F$9:$F$158,$AP65))</f>
        <v/>
      </c>
      <c r="R65" s="8" t="str">
        <f>IF($AP65="","",INDEX('②クラス編成'!$G$9:$G$158,$AP65))</f>
        <v/>
      </c>
      <c r="S65" s="8" t="str">
        <f>IF($AP65="","",INDEX('②クラス編成'!$H$9:$H$158,$AP65))</f>
        <v/>
      </c>
      <c r="T65" s="11" t="str">
        <f>IF($AP65="","",INDEX('②クラス編成'!$I$9:$I$158,$AP65))</f>
        <v/>
      </c>
      <c r="U65" s="11" t="str">
        <f>IF($AP65="","",INDEX('②クラス編成'!$J$9:$J$158,$AP65))</f>
        <v/>
      </c>
      <c r="V65" s="8" t="str">
        <f>IF($AP65="","",INDEX('②クラス編成'!$K$9:$K$158,$AP65))</f>
        <v/>
      </c>
      <c r="W65" s="8" t="str">
        <f>IF($AP65="","",INDEX('②クラス編成'!$L$9:$L$158,$AP65))</f>
        <v/>
      </c>
      <c r="X65" s="8" t="str">
        <f>IF($AP65="","",INDEX('②クラス編成'!$M$9:$M$158,$AP65))</f>
        <v/>
      </c>
      <c r="Y65" s="8" t="str">
        <f>IF($AP65="","",INDEX('②クラス編成'!$N$9:$N$158,$AP65))</f>
        <v/>
      </c>
      <c r="Z65" s="12" t="str">
        <f>IF($AP65="","",INDEX('②クラス編成'!$P$9:$P$158,$AP65))</f>
        <v/>
      </c>
      <c r="AB65" s="58" t="str">
        <f>IF($AQ65="","",49)</f>
        <v/>
      </c>
      <c r="AC65" s="8" t="str">
        <f>IF($AQ65="","",INDEX('②クラス編成'!$D$9:$D$158,$AQ65))</f>
        <v/>
      </c>
      <c r="AD65" s="59" t="str">
        <f>IF($AQ65="","",INDEX('②クラス編成'!$F$9:$F$158,$AQ65))</f>
        <v/>
      </c>
      <c r="AE65" s="8" t="str">
        <f>IF($AQ65="","",INDEX('②クラス編成'!$G$9:$G$158,$AQ65))</f>
        <v/>
      </c>
      <c r="AF65" s="8" t="str">
        <f>IF($AQ65="","",INDEX('②クラス編成'!$H$9:$H$158,$AQ65))</f>
        <v/>
      </c>
      <c r="AG65" s="11" t="str">
        <f>IF($AQ65="","",INDEX('②クラス編成'!$I$9:$I$158,$AQ65))</f>
        <v/>
      </c>
      <c r="AH65" s="11" t="str">
        <f>IF($AQ65="","",INDEX('②クラス編成'!$J$9:$J$158,$AQ65))</f>
        <v/>
      </c>
      <c r="AI65" s="8" t="str">
        <f>IF($AQ65="","",INDEX('②クラス編成'!$K$9:$K$158,$AQ65))</f>
        <v/>
      </c>
      <c r="AJ65" s="8" t="str">
        <f>IF($AQ65="","",INDEX('②クラス編成'!$L$9:$L$158,$AQ65))</f>
        <v/>
      </c>
      <c r="AK65" s="8" t="str">
        <f>IF($AQ65="","",INDEX('②クラス編成'!$M$9:$M$158,$AQ65))</f>
        <v/>
      </c>
      <c r="AL65" s="8" t="str">
        <f>IF($AQ65="","",INDEX('②クラス編成'!$N$9:$N$158,$AQ65))</f>
        <v/>
      </c>
      <c r="AM65" s="12" t="str">
        <f>IF($AQ65="","",INDEX('②クラス編成'!$P$9:$P$158,$AQ65))</f>
        <v/>
      </c>
      <c r="AO65" s="14" t="str">
        <f>IFERROR(MATCH("1-49",'②クラス編成'!$AS$9:$AS$158,0),"")</f>
        <v/>
      </c>
      <c r="AP65" s="14" t="str">
        <f>IFERROR(MATCH("2-49",'②クラス編成'!$AS$9:$AS$158,0),"")</f>
        <v/>
      </c>
      <c r="AQ65" s="14" t="str">
        <f>IFERROR(MATCH("3-49",'②クラス編成'!$AS$9:$AS$158,0),"")</f>
        <v/>
      </c>
    </row>
    <row r="66">
      <c r="B66" s="58" t="str">
        <f>IF($AO66="","",50)</f>
        <v/>
      </c>
      <c r="C66" s="8" t="str">
        <f>IF($AO66="","",INDEX('②クラス編成'!$D$9:$D$158,$AO66))</f>
        <v/>
      </c>
      <c r="D66" s="59" t="str">
        <f>IF($AO66="","",INDEX('②クラス編成'!$F$9:$F$158,$AO66))</f>
        <v/>
      </c>
      <c r="E66" s="8" t="str">
        <f>IF($AO66="","",INDEX('②クラス編成'!$G$9:$G$158,$AO66))</f>
        <v/>
      </c>
      <c r="F66" s="8" t="str">
        <f>IF($AO66="","",INDEX('②クラス編成'!$H$9:$H$158,$AO66))</f>
        <v/>
      </c>
      <c r="G66" s="11" t="str">
        <f>IF($AO66="","",INDEX('②クラス編成'!$I$9:$I$158,$AO66))</f>
        <v/>
      </c>
      <c r="H66" s="11" t="str">
        <f>IF($AO66="","",INDEX('②クラス編成'!$J$9:$J$158,$AO66))</f>
        <v/>
      </c>
      <c r="I66" s="8" t="str">
        <f>IF($AO66="","",INDEX('②クラス編成'!$K$9:$K$158,$AO66))</f>
        <v/>
      </c>
      <c r="J66" s="8" t="str">
        <f>IF($AO66="","",INDEX('②クラス編成'!$L$9:$L$158,$AO66))</f>
        <v/>
      </c>
      <c r="K66" s="8" t="str">
        <f>IF($AO66="","",INDEX('②クラス編成'!$M$9:$M$158,$AO66))</f>
        <v/>
      </c>
      <c r="L66" s="8" t="str">
        <f>IF($AO66="","",INDEX('②クラス編成'!$N$9:$N$158,$AO66))</f>
        <v/>
      </c>
      <c r="M66" s="12" t="str">
        <f>IF($AO66="","",INDEX('②クラス編成'!$P$9:$P$158,$AO66))</f>
        <v/>
      </c>
      <c r="O66" s="58" t="str">
        <f>IF($AP66="","",50)</f>
        <v/>
      </c>
      <c r="P66" s="8" t="str">
        <f>IF($AP66="","",INDEX('②クラス編成'!$D$9:$D$158,$AP66))</f>
        <v/>
      </c>
      <c r="Q66" s="59" t="str">
        <f>IF($AP66="","",INDEX('②クラス編成'!$F$9:$F$158,$AP66))</f>
        <v/>
      </c>
      <c r="R66" s="8" t="str">
        <f>IF($AP66="","",INDEX('②クラス編成'!$G$9:$G$158,$AP66))</f>
        <v/>
      </c>
      <c r="S66" s="8" t="str">
        <f>IF($AP66="","",INDEX('②クラス編成'!$H$9:$H$158,$AP66))</f>
        <v/>
      </c>
      <c r="T66" s="11" t="str">
        <f>IF($AP66="","",INDEX('②クラス編成'!$I$9:$I$158,$AP66))</f>
        <v/>
      </c>
      <c r="U66" s="11" t="str">
        <f>IF($AP66="","",INDEX('②クラス編成'!$J$9:$J$158,$AP66))</f>
        <v/>
      </c>
      <c r="V66" s="8" t="str">
        <f>IF($AP66="","",INDEX('②クラス編成'!$K$9:$K$158,$AP66))</f>
        <v/>
      </c>
      <c r="W66" s="8" t="str">
        <f>IF($AP66="","",INDEX('②クラス編成'!$L$9:$L$158,$AP66))</f>
        <v/>
      </c>
      <c r="X66" s="8" t="str">
        <f>IF($AP66="","",INDEX('②クラス編成'!$M$9:$M$158,$AP66))</f>
        <v/>
      </c>
      <c r="Y66" s="8" t="str">
        <f>IF($AP66="","",INDEX('②クラス編成'!$N$9:$N$158,$AP66))</f>
        <v/>
      </c>
      <c r="Z66" s="12" t="str">
        <f>IF($AP66="","",INDEX('②クラス編成'!$P$9:$P$158,$AP66))</f>
        <v/>
      </c>
      <c r="AB66" s="58" t="str">
        <f>IF($AQ66="","",50)</f>
        <v/>
      </c>
      <c r="AC66" s="8" t="str">
        <f>IF($AQ66="","",INDEX('②クラス編成'!$D$9:$D$158,$AQ66))</f>
        <v/>
      </c>
      <c r="AD66" s="59" t="str">
        <f>IF($AQ66="","",INDEX('②クラス編成'!$F$9:$F$158,$AQ66))</f>
        <v/>
      </c>
      <c r="AE66" s="8" t="str">
        <f>IF($AQ66="","",INDEX('②クラス編成'!$G$9:$G$158,$AQ66))</f>
        <v/>
      </c>
      <c r="AF66" s="8" t="str">
        <f>IF($AQ66="","",INDEX('②クラス編成'!$H$9:$H$158,$AQ66))</f>
        <v/>
      </c>
      <c r="AG66" s="11" t="str">
        <f>IF($AQ66="","",INDEX('②クラス編成'!$I$9:$I$158,$AQ66))</f>
        <v/>
      </c>
      <c r="AH66" s="11" t="str">
        <f>IF($AQ66="","",INDEX('②クラス編成'!$J$9:$J$158,$AQ66))</f>
        <v/>
      </c>
      <c r="AI66" s="8" t="str">
        <f>IF($AQ66="","",INDEX('②クラス編成'!$K$9:$K$158,$AQ66))</f>
        <v/>
      </c>
      <c r="AJ66" s="8" t="str">
        <f>IF($AQ66="","",INDEX('②クラス編成'!$L$9:$L$158,$AQ66))</f>
        <v/>
      </c>
      <c r="AK66" s="8" t="str">
        <f>IF($AQ66="","",INDEX('②クラス編成'!$M$9:$M$158,$AQ66))</f>
        <v/>
      </c>
      <c r="AL66" s="8" t="str">
        <f>IF($AQ66="","",INDEX('②クラス編成'!$N$9:$N$158,$AQ66))</f>
        <v/>
      </c>
      <c r="AM66" s="12" t="str">
        <f>IF($AQ66="","",INDEX('②クラス編成'!$P$9:$P$158,$AQ66))</f>
        <v/>
      </c>
      <c r="AO66" s="14" t="str">
        <f>IFERROR(MATCH("1-50",'②クラス編成'!$AS$9:$AS$158,0),"")</f>
        <v/>
      </c>
      <c r="AP66" s="14" t="str">
        <f>IFERROR(MATCH("2-50",'②クラス編成'!$AS$9:$AS$158,0),"")</f>
        <v/>
      </c>
      <c r="AQ66" s="14" t="str">
        <f>IFERROR(MATCH("3-50",'②クラス編成'!$AS$9:$AS$158,0),"")</f>
        <v/>
      </c>
    </row>
  </sheetData>
  <mergeCells count="60">
    <mergeCell ref="E10:G10"/>
    <mergeCell ref="E13:G13"/>
    <mergeCell ref="B7:C7"/>
    <mergeCell ref="AB15:AC15"/>
    <mergeCell ref="O10:P10"/>
    <mergeCell ref="AI12:AL12"/>
    <mergeCell ref="AB14:AC14"/>
    <mergeCell ref="AE14:AG14"/>
    <mergeCell ref="R12:T12"/>
    <mergeCell ref="O15:P15"/>
    <mergeCell ref="AB9:AM9"/>
    <mergeCell ref="D15:M15"/>
    <mergeCell ref="I10:L10"/>
    <mergeCell ref="D5:G5"/>
    <mergeCell ref="B12:C12"/>
    <mergeCell ref="I13:L13"/>
    <mergeCell ref="E11:G11"/>
    <mergeCell ref="B11:C11"/>
    <mergeCell ref="AE10:AG10"/>
    <mergeCell ref="V12:Y12"/>
    <mergeCell ref="AE13:AG13"/>
    <mergeCell ref="D7:AM7"/>
    <mergeCell ref="AI13:AL13"/>
    <mergeCell ref="B14:C14"/>
    <mergeCell ref="B9:M9"/>
    <mergeCell ref="I11:L11"/>
    <mergeCell ref="AI10:AL10"/>
    <mergeCell ref="B13:C13"/>
    <mergeCell ref="V13:Y13"/>
    <mergeCell ref="AE11:AG11"/>
    <mergeCell ref="U14:Z14"/>
    <mergeCell ref="AB12:AC12"/>
    <mergeCell ref="D6:G6"/>
    <mergeCell ref="H14:M14"/>
    <mergeCell ref="B10:C10"/>
    <mergeCell ref="AB11:AC11"/>
    <mergeCell ref="R14:T14"/>
    <mergeCell ref="E12:G12"/>
    <mergeCell ref="V10:Y10"/>
    <mergeCell ref="Q5:T5"/>
    <mergeCell ref="O12:P12"/>
    <mergeCell ref="AB13:AC13"/>
    <mergeCell ref="AI11:AL11"/>
    <mergeCell ref="H5:H6"/>
    <mergeCell ref="R11:T11"/>
    <mergeCell ref="B15:C15"/>
    <mergeCell ref="E14:G14"/>
    <mergeCell ref="O11:P11"/>
    <mergeCell ref="AD15:AM15"/>
    <mergeCell ref="R10:T10"/>
    <mergeCell ref="I12:L12"/>
    <mergeCell ref="R13:T13"/>
    <mergeCell ref="AB10:AC10"/>
    <mergeCell ref="O14:P14"/>
    <mergeCell ref="O9:Z9"/>
    <mergeCell ref="AH14:AM14"/>
    <mergeCell ref="V11:Y11"/>
    <mergeCell ref="AE12:AG12"/>
    <mergeCell ref="Q15:Z15"/>
    <mergeCell ref="O13:P13"/>
  </mergeCells>
  <conditionalFormatting sqref="B3">
    <cfRule type="expression" priority="1" dxfId="5">
      <formula>'設定'!$C$45&gt;0</formula>
    </cfRule>
  </conditionalFormatting>
  <conditionalFormatting sqref="B17:M66">
    <cfRule type="expression" priority="2" dxfId="0">
      <formula>$M17&lt;&gt;""</formula>
    </cfRule>
    <cfRule type="expression" priority="3" dxfId="12">
      <formula>AND($C17&lt;&gt;"",OR($C17=$AO$3,$C17=$AP$3))</formula>
    </cfRule>
  </conditionalFormatting>
  <conditionalFormatting sqref="E17:E66">
    <cfRule type="cellIs" priority="4" operator="equal" dxfId="10">
      <formula>"男"</formula>
    </cfRule>
    <cfRule type="cellIs" priority="5" operator="equal" dxfId="5">
      <formula>"女"</formula>
    </cfRule>
  </conditionalFormatting>
  <conditionalFormatting sqref="I17:I66">
    <cfRule type="cellIs" priority="6" operator="equal" dxfId="6">
      <formula>"〇"</formula>
    </cfRule>
  </conditionalFormatting>
  <conditionalFormatting sqref="J17:J66">
    <cfRule type="cellIs" priority="7" operator="equal" dxfId="7">
      <formula>"〇"</formula>
    </cfRule>
  </conditionalFormatting>
  <conditionalFormatting sqref="K17:K66">
    <cfRule type="cellIs" priority="8" operator="equal" dxfId="8">
      <formula>"〇"</formula>
    </cfRule>
  </conditionalFormatting>
  <conditionalFormatting sqref="L17:L66">
    <cfRule type="cellIs" priority="9" operator="equal" dxfId="9">
      <formula>"〇"</formula>
    </cfRule>
  </conditionalFormatting>
  <conditionalFormatting sqref="O17:Z66">
    <cfRule type="expression" priority="10" dxfId="0">
      <formula>$Z17&lt;&gt;""</formula>
    </cfRule>
    <cfRule type="expression" priority="11" dxfId="12">
      <formula>AND($P17&lt;&gt;"",OR($P17=$AO$3,$P17=$AP$3))</formula>
    </cfRule>
  </conditionalFormatting>
  <conditionalFormatting sqref="R17:R66">
    <cfRule type="cellIs" priority="12" operator="equal" dxfId="10">
      <formula>"男"</formula>
    </cfRule>
    <cfRule type="cellIs" priority="13" operator="equal" dxfId="5">
      <formula>"女"</formula>
    </cfRule>
  </conditionalFormatting>
  <conditionalFormatting sqref="V17:V66">
    <cfRule type="cellIs" priority="14" operator="equal" dxfId="6">
      <formula>"〇"</formula>
    </cfRule>
  </conditionalFormatting>
  <conditionalFormatting sqref="W17:W66">
    <cfRule type="cellIs" priority="15" operator="equal" dxfId="7">
      <formula>"〇"</formula>
    </cfRule>
  </conditionalFormatting>
  <conditionalFormatting sqref="X17:X66">
    <cfRule type="cellIs" priority="16" operator="equal" dxfId="8">
      <formula>"〇"</formula>
    </cfRule>
  </conditionalFormatting>
  <conditionalFormatting sqref="Y17:Y66">
    <cfRule type="cellIs" priority="17" operator="equal" dxfId="9">
      <formula>"〇"</formula>
    </cfRule>
  </conditionalFormatting>
  <conditionalFormatting sqref="AB17:AM66">
    <cfRule type="expression" priority="18" dxfId="0">
      <formula>$AM17&lt;&gt;""</formula>
    </cfRule>
    <cfRule type="expression" priority="19" dxfId="12">
      <formula>AND($AC17&lt;&gt;"",OR($AC17=$AO$3,$AC17=$AP$3))</formula>
    </cfRule>
  </conditionalFormatting>
  <conditionalFormatting sqref="AE17:AE66">
    <cfRule type="cellIs" priority="20" operator="equal" dxfId="10">
      <formula>"男"</formula>
    </cfRule>
    <cfRule type="cellIs" priority="21" operator="equal" dxfId="5">
      <formula>"女"</formula>
    </cfRule>
  </conditionalFormatting>
  <conditionalFormatting sqref="AI17:AI66">
    <cfRule type="cellIs" priority="22" operator="equal" dxfId="6">
      <formula>"〇"</formula>
    </cfRule>
  </conditionalFormatting>
  <conditionalFormatting sqref="AJ17:AJ66">
    <cfRule type="cellIs" priority="23" operator="equal" dxfId="7">
      <formula>"〇"</formula>
    </cfRule>
  </conditionalFormatting>
  <conditionalFormatting sqref="AK17:AK66">
    <cfRule type="cellIs" priority="24" operator="equal" dxfId="8">
      <formula>"〇"</formula>
    </cfRule>
  </conditionalFormatting>
  <conditionalFormatting sqref="AL17:AL66">
    <cfRule type="cellIs" priority="25" operator="equal" dxfId="9">
      <formula>"〇"</formula>
    </cfRule>
  </conditionalFormatting>
  <conditionalFormatting sqref="G17:G66 T17:T66 AG17:AG66">
    <cfRule type="dataBar" priority="26">
      <dataBar showValue="1">
        <cfvo type="num" val="0"/>
        <cfvo type="max"/>
        <color rgb="009BC2E6"/>
      </dataBar>
    </cfRule>
  </conditionalFormatting>
  <conditionalFormatting sqref="D10">
    <cfRule type="expression" priority="27" dxfId="1">
      <formula>AND(ISNUMBER(D10),MAX($D$10,$Q$10,$AD$10)-MIN($D$10,$Q$10,$AD$10)&gt;'設定'!$C$22,OR(D10=MAX($D$10,$Q$10,$AD$10),D10=MIN($D$10,$Q$10,$AD$10)))</formula>
    </cfRule>
  </conditionalFormatting>
  <conditionalFormatting sqref="Q10">
    <cfRule type="expression" priority="28" dxfId="1">
      <formula>AND(ISNUMBER(Q10),MAX($D$10,$Q$10,$AD$10)-MIN($D$10,$Q$10,$AD$10)&gt;'設定'!$C$22,OR(Q10=MAX($D$10,$Q$10,$AD$10),Q10=MIN($D$10,$Q$10,$AD$10)))</formula>
    </cfRule>
  </conditionalFormatting>
  <conditionalFormatting sqref="AD10">
    <cfRule type="expression" priority="29" dxfId="1">
      <formula>AND(ISNUMBER(AD10),MAX($D$10,$Q$10,$AD$10)-MIN($D$10,$Q$10,$AD$10)&gt;'設定'!$C$22,OR(AD10=MAX($D$10,$Q$10,$AD$10),AD10=MIN($D$10,$Q$10,$AD$10)))</formula>
    </cfRule>
  </conditionalFormatting>
  <conditionalFormatting sqref="H10">
    <cfRule type="expression" priority="30" dxfId="1">
      <formula>AND(ISNUMBER(H10),MAX($H$10,$U$10,$AH$10)-MIN($H$10,$U$10,$AH$10)&gt;'設定'!$C$23,OR(H10=MAX($H$10,$U$10,$AH$10),H10=MIN($H$10,$U$10,$AH$10)))</formula>
    </cfRule>
  </conditionalFormatting>
  <conditionalFormatting sqref="U10">
    <cfRule type="expression" priority="31" dxfId="1">
      <formula>AND(ISNUMBER(U10),MAX($H$10,$U$10,$AH$10)-MIN($H$10,$U$10,$AH$10)&gt;'設定'!$C$23,OR(U10=MAX($H$10,$U$10,$AH$10),U10=MIN($H$10,$U$10,$AH$10)))</formula>
    </cfRule>
  </conditionalFormatting>
  <conditionalFormatting sqref="AH10">
    <cfRule type="expression" priority="32" dxfId="1">
      <formula>AND(ISNUMBER(AH10),MAX($H$10,$U$10,$AH$10)-MIN($H$10,$U$10,$AH$10)&gt;'設定'!$C$23,OR(AH10=MAX($H$10,$U$10,$AH$10),AH10=MIN($H$10,$U$10,$AH$10)))</formula>
    </cfRule>
  </conditionalFormatting>
  <conditionalFormatting sqref="M10">
    <cfRule type="expression" priority="33" dxfId="1">
      <formula>AND(ISNUMBER(M10),MAX($M$10,$Z$10,$AM$10)-MIN($M$10,$Z$10,$AM$10)&gt;'設定'!$C$24,OR(M10=MAX($M$10,$Z$10,$AM$10),M10=MIN($M$10,$Z$10,$AM$10)))</formula>
    </cfRule>
  </conditionalFormatting>
  <conditionalFormatting sqref="Z10">
    <cfRule type="expression" priority="34" dxfId="1">
      <formula>AND(ISNUMBER(Z10),MAX($M$10,$Z$10,$AM$10)-MIN($M$10,$Z$10,$AM$10)&gt;'設定'!$C$24,OR(Z10=MAX($M$10,$Z$10,$AM$10),Z10=MIN($M$10,$Z$10,$AM$10)))</formula>
    </cfRule>
  </conditionalFormatting>
  <conditionalFormatting sqref="AM10">
    <cfRule type="expression" priority="35" dxfId="1">
      <formula>AND(ISNUMBER(AM10),MAX($M$10,$Z$10,$AM$10)-MIN($M$10,$Z$10,$AM$10)&gt;'設定'!$C$24,OR(AM10=MAX($M$10,$Z$10,$AM$10),AM10=MIN($M$10,$Z$10,$AM$10)))</formula>
    </cfRule>
  </conditionalFormatting>
  <conditionalFormatting sqref="D11">
    <cfRule type="expression" priority="36" dxfId="1">
      <formula>AND(ISNUMBER(D11),MAX($D$11,$Q$11,$AD$11)-MIN($D$11,$Q$11,$AD$11)&gt;'設定'!$C$25,OR(D11=MAX($D$11,$Q$11,$AD$11),D11=MIN($D$11,$Q$11,$AD$11)))</formula>
    </cfRule>
  </conditionalFormatting>
  <conditionalFormatting sqref="Q11">
    <cfRule type="expression" priority="37" dxfId="1">
      <formula>AND(ISNUMBER(Q11),MAX($D$11,$Q$11,$AD$11)-MIN($D$11,$Q$11,$AD$11)&gt;'設定'!$C$25,OR(Q11=MAX($D$11,$Q$11,$AD$11),Q11=MIN($D$11,$Q$11,$AD$11)))</formula>
    </cfRule>
  </conditionalFormatting>
  <conditionalFormatting sqref="AD11">
    <cfRule type="expression" priority="38" dxfId="1">
      <formula>AND(ISNUMBER(AD11),MAX($D$11,$Q$11,$AD$11)-MIN($D$11,$Q$11,$AD$11)&gt;'設定'!$C$25,OR(AD11=MAX($D$11,$Q$11,$AD$11),AD11=MIN($D$11,$Q$11,$AD$11)))</formula>
    </cfRule>
  </conditionalFormatting>
  <conditionalFormatting sqref="H11">
    <cfRule type="expression" priority="39" dxfId="1">
      <formula>AND(ISNUMBER(H11),MAX($H$11,$U$11,$AH$11)-MIN($H$11,$U$11,$AH$11)&gt;'設定'!$C$26,OR(H11=MAX($H$11,$U$11,$AH$11),H11=MIN($H$11,$U$11,$AH$11)))</formula>
    </cfRule>
  </conditionalFormatting>
  <conditionalFormatting sqref="U11">
    <cfRule type="expression" priority="40" dxfId="1">
      <formula>AND(ISNUMBER(U11),MAX($H$11,$U$11,$AH$11)-MIN($H$11,$U$11,$AH$11)&gt;'設定'!$C$26,OR(U11=MAX($H$11,$U$11,$AH$11),U11=MIN($H$11,$U$11,$AH$11)))</formula>
    </cfRule>
  </conditionalFormatting>
  <conditionalFormatting sqref="AH11">
    <cfRule type="expression" priority="41" dxfId="1">
      <formula>AND(ISNUMBER(AH11),MAX($H$11,$U$11,$AH$11)-MIN($H$11,$U$11,$AH$11)&gt;'設定'!$C$26,OR(AH11=MAX($H$11,$U$11,$AH$11),AH11=MIN($H$11,$U$11,$AH$11)))</formula>
    </cfRule>
  </conditionalFormatting>
  <conditionalFormatting sqref="M11">
    <cfRule type="expression" priority="42" dxfId="1">
      <formula>AND(ISNUMBER(M11),MAX($M$11,$Z$11,$AM$11)-MIN($M$11,$Z$11,$AM$11)&gt;'設定'!$C$27,OR(M11=MAX($M$11,$Z$11,$AM$11),M11=MIN($M$11,$Z$11,$AM$11)))</formula>
    </cfRule>
  </conditionalFormatting>
  <conditionalFormatting sqref="Z11">
    <cfRule type="expression" priority="43" dxfId="1">
      <formula>AND(ISNUMBER(Z11),MAX($M$11,$Z$11,$AM$11)-MIN($M$11,$Z$11,$AM$11)&gt;'設定'!$C$27,OR(Z11=MAX($M$11,$Z$11,$AM$11),Z11=MIN($M$11,$Z$11,$AM$11)))</formula>
    </cfRule>
  </conditionalFormatting>
  <conditionalFormatting sqref="AM11">
    <cfRule type="expression" priority="44" dxfId="1">
      <formula>AND(ISNUMBER(AM11),MAX($M$11,$Z$11,$AM$11)-MIN($M$11,$Z$11,$AM$11)&gt;'設定'!$C$27,OR(AM11=MAX($M$11,$Z$11,$AM$11),AM11=MIN($M$11,$Z$11,$AM$11)))</formula>
    </cfRule>
  </conditionalFormatting>
  <conditionalFormatting sqref="D12">
    <cfRule type="expression" priority="45" dxfId="1">
      <formula>AND(ISNUMBER(D12),MAX($D$12,$Q$12,$AD$12)-MIN($D$12,$Q$12,$AD$12)&gt;'設定'!$C$28,OR(D12=MAX($D$12,$Q$12,$AD$12),D12=MIN($D$12,$Q$12,$AD$12)))</formula>
    </cfRule>
  </conditionalFormatting>
  <conditionalFormatting sqref="Q12">
    <cfRule type="expression" priority="46" dxfId="1">
      <formula>AND(ISNUMBER(Q12),MAX($D$12,$Q$12,$AD$12)-MIN($D$12,$Q$12,$AD$12)&gt;'設定'!$C$28,OR(Q12=MAX($D$12,$Q$12,$AD$12),Q12=MIN($D$12,$Q$12,$AD$12)))</formula>
    </cfRule>
  </conditionalFormatting>
  <conditionalFormatting sqref="AD12">
    <cfRule type="expression" priority="47" dxfId="1">
      <formula>AND(ISNUMBER(AD12),MAX($D$12,$Q$12,$AD$12)-MIN($D$12,$Q$12,$AD$12)&gt;'設定'!$C$28,OR(AD12=MAX($D$12,$Q$12,$AD$12),AD12=MIN($D$12,$Q$12,$AD$12)))</formula>
    </cfRule>
  </conditionalFormatting>
  <conditionalFormatting sqref="H12">
    <cfRule type="expression" priority="48" dxfId="1">
      <formula>AND(ISNUMBER(H12),MAX($H$12,$U$12,$AH$12)-MIN($H$12,$U$12,$AH$12)&gt;'設定'!$C$29,OR(H12=MAX($H$12,$U$12,$AH$12),H12=MIN($H$12,$U$12,$AH$12)))</formula>
    </cfRule>
  </conditionalFormatting>
  <conditionalFormatting sqref="U12">
    <cfRule type="expression" priority="49" dxfId="1">
      <formula>AND(ISNUMBER(U12),MAX($H$12,$U$12,$AH$12)-MIN($H$12,$U$12,$AH$12)&gt;'設定'!$C$29,OR(U12=MAX($H$12,$U$12,$AH$12),U12=MIN($H$12,$U$12,$AH$12)))</formula>
    </cfRule>
  </conditionalFormatting>
  <conditionalFormatting sqref="AH12">
    <cfRule type="expression" priority="50" dxfId="1">
      <formula>AND(ISNUMBER(AH12),MAX($H$12,$U$12,$AH$12)-MIN($H$12,$U$12,$AH$12)&gt;'設定'!$C$29,OR(AH12=MAX($H$12,$U$12,$AH$12),AH12=MIN($H$12,$U$12,$AH$12)))</formula>
    </cfRule>
  </conditionalFormatting>
  <conditionalFormatting sqref="M12">
    <cfRule type="expression" priority="51" dxfId="0">
      <formula>M12&gt;0</formula>
    </cfRule>
  </conditionalFormatting>
  <conditionalFormatting sqref="Z12">
    <cfRule type="expression" priority="52" dxfId="0">
      <formula>Z12&gt;0</formula>
    </cfRule>
  </conditionalFormatting>
  <conditionalFormatting sqref="AM12">
    <cfRule type="expression" priority="53" dxfId="0">
      <formula>AM12&gt;0</formula>
    </cfRule>
  </conditionalFormatting>
  <conditionalFormatting sqref="D13">
    <cfRule type="expression" priority="54" dxfId="1">
      <formula>AND(ISNUMBER(D13),MAX($D$13,$Q$13,$AD$13)-MIN($D$13,$Q$13,$AD$13)&gt;'設定'!$C$30,OR(D13=MAX($D$13,$Q$13,$AD$13),D13=MIN($D$13,$Q$13,$AD$13)))</formula>
    </cfRule>
  </conditionalFormatting>
  <conditionalFormatting sqref="Q13">
    <cfRule type="expression" priority="55" dxfId="1">
      <formula>AND(ISNUMBER(Q13),MAX($D$13,$Q$13,$AD$13)-MIN($D$13,$Q$13,$AD$13)&gt;'設定'!$C$30,OR(Q13=MAX($D$13,$Q$13,$AD$13),Q13=MIN($D$13,$Q$13,$AD$13)))</formula>
    </cfRule>
  </conditionalFormatting>
  <conditionalFormatting sqref="AD13">
    <cfRule type="expression" priority="56" dxfId="1">
      <formula>AND(ISNUMBER(AD13),MAX($D$13,$Q$13,$AD$13)-MIN($D$13,$Q$13,$AD$13)&gt;'設定'!$C$30,OR(AD13=MAX($D$13,$Q$13,$AD$13),AD13=MIN($D$13,$Q$13,$AD$13)))</formula>
    </cfRule>
  </conditionalFormatting>
  <conditionalFormatting sqref="H13">
    <cfRule type="expression" priority="57" dxfId="1">
      <formula>AND(ISNUMBER(H13),MAX($H$13,$U$13,$AH$13)-MIN($H$13,$U$13,$AH$13)&gt;'設定'!$C$31,OR(H13=MAX($H$13,$U$13,$AH$13),H13=MIN($H$13,$U$13,$AH$13)))</formula>
    </cfRule>
  </conditionalFormatting>
  <conditionalFormatting sqref="U13">
    <cfRule type="expression" priority="58" dxfId="1">
      <formula>AND(ISNUMBER(U13),MAX($H$13,$U$13,$AH$13)-MIN($H$13,$U$13,$AH$13)&gt;'設定'!$C$31,OR(U13=MAX($H$13,$U$13,$AH$13),U13=MIN($H$13,$U$13,$AH$13)))</formula>
    </cfRule>
  </conditionalFormatting>
  <conditionalFormatting sqref="AH13">
    <cfRule type="expression" priority="59" dxfId="1">
      <formula>AND(ISNUMBER(AH13),MAX($H$13,$U$13,$AH$13)-MIN($H$13,$U$13,$AH$13)&gt;'設定'!$C$31,OR(AH13=MAX($H$13,$U$13,$AH$13),AH13=MIN($H$13,$U$13,$AH$13)))</formula>
    </cfRule>
  </conditionalFormatting>
  <conditionalFormatting sqref="M13">
    <cfRule type="expression" priority="60" dxfId="1">
      <formula>AND(ISNUMBER(M13),MAX($M$13,$Z$13,$AM$13)-MIN($M$13,$Z$13,$AM$13)&gt;'設定'!$C$32,OR(M13=MAX($M$13,$Z$13,$AM$13),M13=MIN($M$13,$Z$13,$AM$13)))</formula>
    </cfRule>
  </conditionalFormatting>
  <conditionalFormatting sqref="Z13">
    <cfRule type="expression" priority="61" dxfId="1">
      <formula>AND(ISNUMBER(Z13),MAX($M$13,$Z$13,$AM$13)-MIN($M$13,$Z$13,$AM$13)&gt;'設定'!$C$32,OR(Z13=MAX($M$13,$Z$13,$AM$13),Z13=MIN($M$13,$Z$13,$AM$13)))</formula>
    </cfRule>
  </conditionalFormatting>
  <conditionalFormatting sqref="AM13">
    <cfRule type="expression" priority="62" dxfId="1">
      <formula>AND(ISNUMBER(AM13),MAX($M$13,$Z$13,$AM$13)-MIN($M$13,$Z$13,$AM$13)&gt;'設定'!$C$32,OR(AM13=MAX($M$13,$Z$13,$AM$13),AM13=MIN($M$13,$Z$13,$AM$13)))</formula>
    </cfRule>
  </conditionalFormatting>
  <conditionalFormatting sqref="D14">
    <cfRule type="expression" priority="63" dxfId="1">
      <formula>AND(ISNUMBER(D14),MAX($D$14,$Q$14,$AD$14)-MIN($D$14,$Q$14,$AD$14)&gt;'設定'!$C$33,OR(D14=MAX($D$14,$Q$14,$AD$14),D14=MIN($D$14,$Q$14,$AD$14)))</formula>
    </cfRule>
  </conditionalFormatting>
  <conditionalFormatting sqref="Q14">
    <cfRule type="expression" priority="64" dxfId="1">
      <formula>AND(ISNUMBER(Q14),MAX($D$14,$Q$14,$AD$14)-MIN($D$14,$Q$14,$AD$14)&gt;'設定'!$C$33,OR(Q14=MAX($D$14,$Q$14,$AD$14),Q14=MIN($D$14,$Q$14,$AD$14)))</formula>
    </cfRule>
  </conditionalFormatting>
  <conditionalFormatting sqref="AD14">
    <cfRule type="expression" priority="65" dxfId="1">
      <formula>AND(ISNUMBER(AD14),MAX($D$14,$Q$14,$AD$14)-MIN($D$14,$Q$14,$AD$14)&gt;'設定'!$C$33,OR(AD14=MAX($D$14,$Q$14,$AD$14),AD14=MIN($D$14,$Q$14,$AD$14)))</formula>
    </cfRule>
  </conditionalFormatting>
  <dataValidations count="2">
    <dataValidation sqref="P6" showDropDown="0" showInputMessage="0" showErrorMessage="0" allowBlank="1" type="list">
      <formula1>"1,2,3"</formula1>
    </dataValidation>
    <dataValidation sqref="AD6" showDropDown="0" showInputMessage="0" showErrorMessage="0" allowBlank="0" type="list">
      <formula1>"男女別,番号順"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B1:B46"/>
  <sheetViews>
    <sheetView workbookViewId="0">
      <selection activeCell="A1" sqref="A1"/>
    </sheetView>
  </sheetViews>
  <sheetFormatPr baseColWidth="8" defaultRowHeight="15"/>
  <cols>
    <col width="2" customWidth="1" min="1" max="1"/>
    <col width="140" customWidth="1" min="2" max="2"/>
  </cols>
  <sheetData>
    <row r="1" ht="28" customHeight="1">
      <c r="B1" s="60" t="inlineStr">
        <is>
          <t>使い方（クラス替えシート）</t>
        </is>
      </c>
    </row>
    <row r="2">
      <c r="B2" s="61" t="inlineStr">
        <is>
          <t>※ ダウンロードしたファイルは「保護ビュー」で開きます。上に出る［編集を有効にする］を押してから使ってください。</t>
        </is>
      </c>
    </row>
    <row r="4">
      <c r="B4" s="62" t="inlineStr">
        <is>
          <t>■ 全体の流れ</t>
        </is>
      </c>
    </row>
    <row r="5">
      <c r="B5" s="61" t="inlineStr">
        <is>
          <t>1.「①名簿入力」の4行目から名簿を貼り付けます（番号・旧クラス・氏名・ふりがな・性別）。</t>
        </is>
      </c>
    </row>
    <row r="6">
      <c r="B6" s="61" t="inlineStr">
        <is>
          <t>2. 5教科の点数、50m走、ピアノ（〇×）、ムードメーカー・注意・休みがち（〇）、分けたい人、備考を入れます。</t>
        </is>
      </c>
    </row>
    <row r="7">
      <c r="B7" s="61" t="inlineStr">
        <is>
          <t xml:space="preserve">　 → U列「自動案」に、バランスよく分けた組（1〜3）が自動で出ます。</t>
        </is>
      </c>
    </row>
    <row r="8">
      <c r="B8" s="61" t="inlineStr">
        <is>
          <t>3.「②クラス編成」のA〜B列（自動案）をコピーして、D9 に「値」で貼り付けます。</t>
        </is>
      </c>
    </row>
    <row r="9">
      <c r="B9" s="61" t="inlineStr">
        <is>
          <t xml:space="preserve">　 （D9を右クリック →［貼り付けのオプション］の「値」（123のアイコン））</t>
        </is>
      </c>
    </row>
    <row r="10">
      <c r="B10" s="61" t="inlineStr">
        <is>
          <t xml:space="preserve">　 ここからが「決定したクラス」です。数式ではないので、あとで成績を直しても勝手に変わりません。</t>
        </is>
      </c>
    </row>
    <row r="11">
      <c r="B11" s="61" t="inlineStr">
        <is>
          <t>4.「③クラス一覧」で3クラスを並べて確認します。</t>
        </is>
      </c>
    </row>
    <row r="12">
      <c r="B12" s="61" t="inlineStr">
        <is>
          <t xml:space="preserve">　 ・赤い行 … 分けたい人と同じ組になっている（右端に相手の名前）</t>
        </is>
      </c>
    </row>
    <row r="13">
      <c r="B13" s="61" t="inlineStr">
        <is>
          <t xml:space="preserve">　 ・オレンジ … 3クラスの差が目安より大きい項目（目安は「設定」で変えられます）</t>
        </is>
      </c>
    </row>
    <row r="14">
      <c r="B14" s="61" t="inlineStr">
        <is>
          <t>5. 調整します。</t>
        </is>
      </c>
    </row>
    <row r="15">
      <c r="B15" s="61" t="inlineStr">
        <is>
          <t xml:space="preserve">　 ・いちばん簡単：②のE列（組）の数字を書き換える</t>
        </is>
      </c>
    </row>
    <row r="16">
      <c r="B16" s="61" t="inlineStr">
        <is>
          <t xml:space="preserve">　 ・マクロを入れると、③で「番号で入れ替え」「1人だけ移動」「選んだ2人を入れ替え」「1つ戻す」ができます</t>
        </is>
      </c>
    </row>
    <row r="17">
      <c r="B17" s="61" t="inlineStr">
        <is>
          <t xml:space="preserve">　 ・入れ替えた記録は「入替履歴」に残ります</t>
        </is>
      </c>
    </row>
    <row r="19">
      <c r="B19" s="62" t="inlineStr">
        <is>
          <t>■ 自動案（数式）のしくみ</t>
        </is>
      </c>
    </row>
    <row r="20">
      <c r="B20" s="61" t="inlineStr">
        <is>
          <t>「注意 → ピアノ → ムードメーカー → 休みがち → その他」の順に、その中では成績が平均から離れている人（上位・下位）から1人ずつ、</t>
        </is>
      </c>
    </row>
    <row r="21">
      <c r="B21" s="61" t="inlineStr">
        <is>
          <t>「同じ性別の人数」→「同じ特記事項の人数」→「成績・50m走（男女別）のかたよりと旧クラスの人数」がいちばん少ない組へ入れていきます。</t>
        </is>
      </c>
    </row>
    <row r="22">
      <c r="B22" s="61" t="inlineStr">
        <is>
          <t>→ 人数・男女・成績・50m走・特記事項・旧クラスがそろいます。分けたい人は考えないので、③の赤いところを直してください（マクロなら自動で直せます）。</t>
        </is>
      </c>
    </row>
    <row r="24">
      <c r="B24" s="62" t="inlineStr">
        <is>
          <t>■ おまかせ最適化（マクロ）</t>
        </is>
      </c>
    </row>
    <row r="25">
      <c r="B25" s="61" t="inlineStr">
        <is>
          <t>分けたい人（最優先）・男女・成績・上位/下位・50m・ピアノ・ムードメーカー・注意・休みがち・旧クラスの偏りを、</t>
        </is>
      </c>
    </row>
    <row r="26">
      <c r="B26" s="61" t="inlineStr">
        <is>
          <t>「設定」シートの重視度に合わせて同時に考え、2人の入れ替えを何千回も試して、いちばんバランスのよい案を②に書き込みます。</t>
        </is>
      </c>
    </row>
    <row r="27">
      <c r="B27" s="61" t="inlineStr">
        <is>
          <t>押すたびに少し違う案が出ます。気に入らなければ［1つ戻す］ではなく、もう一度押すか、②に自動案を貼り直してください。</t>
        </is>
      </c>
    </row>
    <row r="29">
      <c r="B29" s="62" t="inlineStr">
        <is>
          <t>■ マクロの入れ方（はじめに1回だけ）</t>
        </is>
      </c>
    </row>
    <row r="30">
      <c r="B30" s="61" t="inlineStr">
        <is>
          <t>1. このファイルを開いて、Alt＋F11（VBAの画面が開きます）</t>
        </is>
      </c>
    </row>
    <row r="31">
      <c r="B31" s="61" t="inlineStr">
        <is>
          <t>2. メニュー［ファイル］→［ファイルのインポート］→「クラス替えマクロ.bas」を選ぶ</t>
        </is>
      </c>
    </row>
    <row r="32">
      <c r="B32" s="61" t="inlineStr">
        <is>
          <t>3. VBAの画面を閉じて、Alt＋F8 →「Setup_Buttons」を選んで［実行］→ ②と③にボタンが出ます</t>
        </is>
      </c>
    </row>
    <row r="33">
      <c r="B33" s="61" t="inlineStr">
        <is>
          <t>4.［名前を付けて保存］→ ファイルの種類を「Excel マクロ有効ブック（*.xlsm）」にして保存</t>
        </is>
      </c>
    </row>
    <row r="34">
      <c r="B34" s="61" t="inlineStr">
        <is>
          <t>5. 次から開くときは、上に出る黄色い帯の［コンテンツの有効化］を押す</t>
        </is>
      </c>
    </row>
    <row r="35">
      <c r="B35" s="61" t="inlineStr">
        <is>
          <t>※ 取り込んだ文字が化けたとき：.bas をメモ帳で開いて全部コピー → VBA画面の［挿入］→［標準モジュール］に貼り付け</t>
        </is>
      </c>
    </row>
    <row r="36">
      <c r="B36" s="61" t="inlineStr">
        <is>
          <t xml:space="preserve">　 （1行目の「Attribute VB_Name = …」の行は消してください）</t>
        </is>
      </c>
    </row>
    <row r="37">
      <c r="B37" s="61" t="inlineStr">
        <is>
          <t>※ マクロがブロックされるとき：ファイルを右クリック →［プロパティ］→ 下の「許可する」にチェック → OK</t>
        </is>
      </c>
    </row>
    <row r="39">
      <c r="B39" s="62" t="inlineStr">
        <is>
          <t>■ 気をつけること</t>
        </is>
      </c>
    </row>
    <row r="40">
      <c r="B40" s="61" t="inlineStr">
        <is>
          <t>・番号は数字で、重複しないようにしてください（例：2年1組5番 → 2105）。重複すると赤くなります。</t>
        </is>
      </c>
    </row>
    <row r="41">
      <c r="B41" s="61" t="inlineStr">
        <is>
          <t>・入れられるのは150人まで（1クラス50人まで）です。</t>
        </is>
      </c>
    </row>
    <row r="42">
      <c r="B42" s="61" t="inlineStr">
        <is>
          <t>・〇は「〇」「○」どちらでもOKです。ピアノは「〇」か「×」。</t>
        </is>
      </c>
    </row>
    <row r="43">
      <c r="B43" s="61" t="inlineStr">
        <is>
          <t>・分けたい人は「番号 氏名」をリストから選ぶか、番号だけ入れます。どちらか片方に書けば、両方に効きます。</t>
        </is>
      </c>
    </row>
    <row r="44">
      <c r="B44" s="61" t="inlineStr">
        <is>
          <t>・5教科の平均だけしかない場合は、K列（5教科平均）に直接入れてもOKです（数式は消えます）。</t>
        </is>
      </c>
    </row>
    <row r="45">
      <c r="B45" s="61" t="inlineStr">
        <is>
          <t>・シート名や列の位置を変えると、マクロや数式が動かなくなります。隠しシート「計算」は自動案の計算用なので触らないでください。</t>
        </is>
      </c>
    </row>
    <row r="46">
      <c r="B46" s="61" t="inlineStr">
        <is>
          <t>・サンプルを消すとき：①の A4〜T153 を選んで Delete、②の D9〜E158 を選んで Delete。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B1:D53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60" customWidth="1" min="4" max="4"/>
  </cols>
  <sheetData>
    <row r="1">
      <c r="B1" s="63" t="inlineStr">
        <is>
          <t>設定（ふだんは触らなくてOK）</t>
        </is>
      </c>
    </row>
    <row r="3">
      <c r="B3" s="64" t="inlineStr">
        <is>
          <t>■ おまかせ最適化（マクロ）で、何をどれくらい重視するか</t>
        </is>
      </c>
    </row>
    <row r="4">
      <c r="B4" s="65" t="inlineStr">
        <is>
          <t>項目</t>
        </is>
      </c>
      <c r="C4" s="65" t="inlineStr">
        <is>
          <t>重視度（0〜10）</t>
        </is>
      </c>
      <c r="D4" s="65" t="inlineStr">
        <is>
          <t>説明</t>
        </is>
      </c>
    </row>
    <row r="5">
      <c r="B5" s="9" t="inlineStr">
        <is>
          <t>男女の人数</t>
        </is>
      </c>
      <c r="C5" s="24" t="n">
        <v>10</v>
      </c>
      <c r="D5" s="9" t="inlineStr">
        <is>
          <t>男子・女子の人数をそろえる</t>
        </is>
      </c>
    </row>
    <row r="6">
      <c r="B6" s="9" t="inlineStr">
        <is>
          <t>5教科平均</t>
        </is>
      </c>
      <c r="C6" s="24" t="n">
        <v>6</v>
      </c>
      <c r="D6" s="9" t="inlineStr">
        <is>
          <t>クラスの平均点をそろえる</t>
        </is>
      </c>
    </row>
    <row r="7">
      <c r="B7" s="9" t="inlineStr">
        <is>
          <t>成績の上位層・下位層</t>
        </is>
      </c>
      <c r="C7" s="24" t="n">
        <v>4</v>
      </c>
      <c r="D7" s="9" t="inlineStr">
        <is>
          <t>上位・下位の人数をそろえる（基準は下の自動計算）</t>
        </is>
      </c>
    </row>
    <row r="8">
      <c r="B8" s="9" t="inlineStr">
        <is>
          <t>50m走</t>
        </is>
      </c>
      <c r="C8" s="24" t="n">
        <v>3</v>
      </c>
      <c r="D8" s="9" t="inlineStr">
        <is>
          <t>足の速さ（男女別）をそろえる</t>
        </is>
      </c>
    </row>
    <row r="9">
      <c r="B9" s="9" t="inlineStr">
        <is>
          <t>ピアノ</t>
        </is>
      </c>
      <c r="C9" s="24" t="n">
        <v>6</v>
      </c>
      <c r="D9" s="9" t="inlineStr">
        <is>
          <t>ピアノを弾ける人の人数をそろえる</t>
        </is>
      </c>
    </row>
    <row r="10">
      <c r="B10" s="9" t="inlineStr">
        <is>
          <t>ムードメーカー</t>
        </is>
      </c>
      <c r="C10" s="24" t="n">
        <v>5</v>
      </c>
      <c r="D10" s="9" t="inlineStr">
        <is>
          <t>ムードメーカーの人数をそろえる</t>
        </is>
      </c>
    </row>
    <row r="11">
      <c r="B11" s="9" t="inlineStr">
        <is>
          <t>注意</t>
        </is>
      </c>
      <c r="C11" s="24" t="n">
        <v>8</v>
      </c>
      <c r="D11" s="9" t="inlineStr">
        <is>
          <t>注意が必要な人の人数をそろえる</t>
        </is>
      </c>
    </row>
    <row r="12">
      <c r="B12" s="9" t="inlineStr">
        <is>
          <t>休みがち</t>
        </is>
      </c>
      <c r="C12" s="24" t="n">
        <v>4</v>
      </c>
      <c r="D12" s="9" t="inlineStr">
        <is>
          <t>休みがちな人の人数をそろえる</t>
        </is>
      </c>
    </row>
    <row r="13">
      <c r="B13" s="9" t="inlineStr">
        <is>
          <t>旧クラスの偏り</t>
        </is>
      </c>
      <c r="C13" s="24" t="n">
        <v>4</v>
      </c>
      <c r="D13" s="9" t="inlineStr">
        <is>
          <t>前のクラスのメンバーがかたよらないようにする</t>
        </is>
      </c>
    </row>
    <row r="14">
      <c r="B14" s="9" t="inlineStr">
        <is>
          <t>分けたい人</t>
        </is>
      </c>
      <c r="C14" s="66" t="inlineStr">
        <is>
          <t>最優先</t>
        </is>
      </c>
      <c r="D14" s="9" t="inlineStr">
        <is>
          <t>同じ組にならないことを、いちばん優先します（変えられません）</t>
        </is>
      </c>
    </row>
    <row r="16">
      <c r="B16" s="9" t="inlineStr">
        <is>
          <t>ピアノを各組に最低1人</t>
        </is>
      </c>
      <c r="C16" s="24" t="inlineStr">
        <is>
          <t>する</t>
        </is>
      </c>
      <c r="D16" s="9" t="inlineStr">
        <is>
          <t>ピアノが3人以上いるとき、0人の組をつくらない</t>
        </is>
      </c>
    </row>
    <row r="17">
      <c r="B17" s="9" t="inlineStr">
        <is>
          <t>おまかせ最適化の試行回数</t>
        </is>
      </c>
      <c r="C17" s="24" t="n">
        <v>20</v>
      </c>
      <c r="D17" s="9" t="inlineStr">
        <is>
          <t>多いほど良い案が出やすい（そのぶん時間がかかる）</t>
        </is>
      </c>
    </row>
    <row r="20">
      <c r="B20" s="64" t="inlineStr">
        <is>
          <t>■ ③で色をつける目安（3クラスの差がこれより大きいとオレンジ）</t>
        </is>
      </c>
    </row>
    <row r="21">
      <c r="B21" s="65" t="inlineStr">
        <is>
          <t>項目</t>
        </is>
      </c>
      <c r="C21" s="65" t="inlineStr">
        <is>
          <t>目安（差）</t>
        </is>
      </c>
      <c r="D21" s="65" t="inlineStr">
        <is>
          <t>例：人数が 1 → 3クラスの人数差が2人以上でオレンジ</t>
        </is>
      </c>
    </row>
    <row r="22">
      <c r="B22" s="9" t="inlineStr">
        <is>
          <t>人数</t>
        </is>
      </c>
      <c r="C22" s="24" t="n">
        <v>1</v>
      </c>
    </row>
    <row r="23">
      <c r="B23" s="9" t="inlineStr">
        <is>
          <t>男子</t>
        </is>
      </c>
      <c r="C23" s="24" t="n">
        <v>1</v>
      </c>
    </row>
    <row r="24">
      <c r="B24" s="9" t="inlineStr">
        <is>
          <t>女子</t>
        </is>
      </c>
      <c r="C24" s="24" t="n">
        <v>1</v>
      </c>
    </row>
    <row r="25">
      <c r="B25" s="9" t="inlineStr">
        <is>
          <t>5教科平均</t>
        </is>
      </c>
      <c r="C25" s="24" t="n">
        <v>3</v>
      </c>
    </row>
    <row r="26">
      <c r="B26" s="9" t="inlineStr">
        <is>
          <t>50m男子(秒)</t>
        </is>
      </c>
      <c r="C26" s="24" t="n">
        <v>0.2</v>
      </c>
    </row>
    <row r="27">
      <c r="B27" s="9" t="inlineStr">
        <is>
          <t>50m女子(秒)</t>
        </is>
      </c>
      <c r="C27" s="24" t="n">
        <v>0.2</v>
      </c>
    </row>
    <row r="28">
      <c r="B28" s="9" t="inlineStr">
        <is>
          <t>成績上位</t>
        </is>
      </c>
      <c r="C28" s="24" t="n">
        <v>2</v>
      </c>
    </row>
    <row r="29">
      <c r="B29" s="9" t="inlineStr">
        <is>
          <t>成績下位</t>
        </is>
      </c>
      <c r="C29" s="24" t="n">
        <v>2</v>
      </c>
    </row>
    <row r="30">
      <c r="B30" s="9" t="inlineStr">
        <is>
          <t>ピアノ</t>
        </is>
      </c>
      <c r="C30" s="24" t="n">
        <v>1</v>
      </c>
    </row>
    <row r="31">
      <c r="B31" s="9" t="inlineStr">
        <is>
          <t>ムードメーカー</t>
        </is>
      </c>
      <c r="C31" s="24" t="n">
        <v>1</v>
      </c>
    </row>
    <row r="32">
      <c r="B32" s="9" t="inlineStr">
        <is>
          <t>注意</t>
        </is>
      </c>
      <c r="C32" s="24" t="n">
        <v>1</v>
      </c>
    </row>
    <row r="33">
      <c r="B33" s="9" t="inlineStr">
        <is>
          <t>休みがち</t>
        </is>
      </c>
      <c r="C33" s="24" t="n">
        <v>1</v>
      </c>
    </row>
    <row r="34">
      <c r="B34" s="67" t="inlineStr">
        <is>
          <t>■ 自動で計算（触らない）</t>
        </is>
      </c>
    </row>
    <row r="35">
      <c r="B35" s="68" t="inlineStr">
        <is>
          <t>成績上位の基準（5教科平均がこれ以上）</t>
        </is>
      </c>
      <c r="C35" s="23">
        <f>IFERROR(ROUND(PERCENTILE('①名簿入力'!$K$4:$K$153,0.8),1),"")</f>
        <v>76.6</v>
      </c>
      <c r="D35" s="68" t="inlineStr">
        <is>
          <t>全体の上位20%</t>
        </is>
      </c>
    </row>
    <row r="36">
      <c r="B36" s="68" t="inlineStr">
        <is>
          <t>成績下位の基準（5教科平均がこれ以下）</t>
        </is>
      </c>
      <c r="C36" s="23">
        <f>IFERROR(ROUND(PERCENTILE('①名簿入力'!$K$4:$K$153,0.2),1),"")</f>
        <v>50.5</v>
      </c>
      <c r="D36" s="68" t="inlineStr">
        <is>
          <t>全体の下位20%</t>
        </is>
      </c>
    </row>
    <row r="37">
      <c r="B37" s="68" t="inlineStr">
        <is>
          <t>5教科平均の全体の平均</t>
        </is>
      </c>
      <c r="C37" s="69">
        <f>IFERROR(AVERAGE('①名簿入力'!$K$4:$K$153),0)</f>
        <v>62.4876190476191</v>
      </c>
      <c r="D37" s="68" t="inlineStr">
        <is>
          <t>自動案で使う</t>
        </is>
      </c>
    </row>
    <row r="38">
      <c r="B38" s="68" t="inlineStr">
        <is>
          <t>5教科平均のばらつき（標準偏差）</t>
        </is>
      </c>
      <c r="C38" s="69">
        <f>IF(IFERROR(STDEVP('①名簿入力'!$K$4:$K$153),0)=0,1,STDEVP('①名簿入力'!$K$4:$K$153))</f>
        <v>13.3909684932871</v>
      </c>
      <c r="D38" s="68" t="inlineStr">
        <is>
          <t>自動案で使う</t>
        </is>
      </c>
    </row>
    <row r="39">
      <c r="B39" s="68" t="inlineStr">
        <is>
          <t>名簿の人数</t>
        </is>
      </c>
      <c r="C39" s="23">
        <f>COUNTA('①名簿入力'!$A$4:$A$153)</f>
        <v>105</v>
      </c>
      <c r="D39" s="68" t="inlineStr"/>
    </row>
    <row r="40">
      <c r="B40" s="68" t="inlineStr">
        <is>
          <t>編成済み（②で組が1〜3の人）</t>
        </is>
      </c>
      <c r="C40" s="23">
        <f>COUNTIFS('②クラス編成'!$E$9:$E$158,"&gt;=1",'②クラス編成'!$E$9:$E$158,"&lt;=3",'②クラス編成'!$S$9:$S$158,"&gt;=1")</f>
        <v>105</v>
      </c>
      <c r="D40" s="68" t="inlineStr"/>
    </row>
    <row r="41">
      <c r="B41" s="68" t="inlineStr">
        <is>
          <t>未割当（②にまだいない人）</t>
        </is>
      </c>
      <c r="C41" s="23">
        <f>COUNTIF('①名簿入力'!$V$4:$V$153,"未")</f>
        <v>0</v>
      </c>
      <c r="D41" s="68" t="inlineStr"/>
    </row>
    <row r="42">
      <c r="B42" s="68" t="inlineStr">
        <is>
          <t>番号の重複（①と②）</t>
        </is>
      </c>
      <c r="C42" s="23">
        <f>SUMPRODUCT(('②クラス編成'!$D$9:$D$158&lt;&gt;"")*(COUNTIF('②クラス編成'!$D$9:$D$158,'②クラス編成'!$D$9:$D$158)&gt;1))+SUMPRODUCT(('①名簿入力'!$A$4:$A$153&lt;&gt;"")*(COUNTIF('①名簿入力'!$A$4:$A$153,'①名簿入力'!$A$4:$A$153)&gt;1))</f>
        <v>0</v>
      </c>
      <c r="D42" s="68" t="inlineStr"/>
    </row>
    <row r="43">
      <c r="B43" s="68" t="inlineStr">
        <is>
          <t>②で名簿にない番号</t>
        </is>
      </c>
      <c r="C43" s="23">
        <f>SUMPRODUCT(('②クラス編成'!$D$9:$D$158&lt;&gt;"")*('②クラス編成'!$S$9:$S$158=""))</f>
        <v>0</v>
      </c>
      <c r="D43" s="68" t="inlineStr"/>
    </row>
    <row r="44">
      <c r="B44" s="68" t="inlineStr">
        <is>
          <t>②で組が1〜3以外</t>
        </is>
      </c>
      <c r="C44" s="23">
        <f>SUMPRODUCT(('②クラス編成'!$D$9:$D$158&lt;&gt;"")*('②クラス編成'!$E$9:$E$158&lt;&gt;1)*('②クラス編成'!$E$9:$E$158&lt;&gt;2)*('②クラス編成'!$E$9:$E$158&lt;&gt;3))</f>
        <v>0</v>
      </c>
      <c r="D44" s="68" t="inlineStr"/>
    </row>
    <row r="45">
      <c r="B45" s="68" t="inlineStr">
        <is>
          <t>問題の合計</t>
        </is>
      </c>
      <c r="C45" s="23">
        <f>C42+C43+C44</f>
        <v>0</v>
      </c>
      <c r="D45" s="68" t="inlineStr"/>
    </row>
    <row r="47">
      <c r="B47" s="70" t="inlineStr">
        <is>
          <t>旧クラスの一覧（①から自動）</t>
        </is>
      </c>
    </row>
    <row r="48">
      <c r="B48" s="68">
        <f>IFERROR(INDEX('①名簿入力'!$B$4:$B$153,MATCH(1,'①名簿入力'!$AJ$4:$AJ$153,0)),"")</f>
        <v>1</v>
      </c>
      <c r="C48" s="71" t="inlineStr">
        <is>
          <t>← ③の「旧クラス」の行は最初の6つまで表示</t>
        </is>
      </c>
    </row>
    <row r="49">
      <c r="B49" s="68">
        <f>IFERROR(INDEX('①名簿入力'!$B$4:$B$153,MATCH(2,'①名簿入力'!$AJ$4:$AJ$153,0)),"")</f>
        <v>2</v>
      </c>
    </row>
    <row r="50">
      <c r="B50" s="68">
        <f>IFERROR(INDEX('①名簿入力'!$B$4:$B$153,MATCH(3,'①名簿入力'!$AJ$4:$AJ$153,0)),"")</f>
        <v>3</v>
      </c>
    </row>
    <row r="51">
      <c r="B51" s="68" t="str">
        <f>IFERROR(INDEX('①名簿入力'!$B$4:$B$153,MATCH(4,'①名簿入力'!$AJ$4:$AJ$153,0)),"")</f>
        <v/>
      </c>
    </row>
    <row r="52">
      <c r="B52" s="68" t="str">
        <f>IFERROR(INDEX('①名簿入力'!$B$4:$B$153,MATCH(5,'①名簿入力'!$AJ$4:$AJ$153,0)),"")</f>
        <v/>
      </c>
    </row>
    <row r="53">
      <c r="B53" s="68" t="str">
        <f>IFERROR(INDEX('①名簿入力'!$B$4:$B$153,MATCH(6,'①名簿入力'!$AJ$4:$AJ$153,0)),"")</f>
        <v/>
      </c>
    </row>
  </sheetData>
  <dataValidations count="2">
    <dataValidation sqref="C5:C13" showDropDown="0" showInputMessage="0" showErrorMessage="0" allowBlank="0" error="0〜10の整数を入れてください。" type="whole" operator="between">
      <formula1>0</formula1>
      <formula2>10</formula2>
    </dataValidation>
    <dataValidation sqref="C16" showDropDown="0" showInputMessage="0" showErrorMessage="0" allowBlank="0" type="list">
      <formula1>"する,しない"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8" customWidth="1" min="5" max="5"/>
    <col width="9" customWidth="1" min="6" max="6"/>
    <col width="8" customWidth="1" min="7" max="7"/>
    <col width="14" customWidth="1" min="8" max="8"/>
    <col width="8" customWidth="1" min="9" max="9"/>
    <col width="9" customWidth="1" min="10" max="10"/>
  </cols>
  <sheetData>
    <row r="1">
      <c r="A1" s="72" t="inlineStr">
        <is>
          <t>入替履歴（マクロが自動で書きます。［1つ戻す］は一番下の行を戻します）</t>
        </is>
      </c>
    </row>
    <row r="2">
      <c r="A2" s="65" t="inlineStr">
        <is>
          <t>日時</t>
        </is>
      </c>
      <c r="B2" s="65" t="inlineStr">
        <is>
          <t>操作</t>
        </is>
      </c>
      <c r="C2" s="65" t="inlineStr">
        <is>
          <t>番号①</t>
        </is>
      </c>
      <c r="D2" s="65" t="inlineStr">
        <is>
          <t>氏名①</t>
        </is>
      </c>
      <c r="E2" s="65" t="inlineStr">
        <is>
          <t>元の組①</t>
        </is>
      </c>
      <c r="F2" s="65" t="inlineStr">
        <is>
          <t>新しい組①</t>
        </is>
      </c>
      <c r="G2" s="65" t="inlineStr">
        <is>
          <t>番号②</t>
        </is>
      </c>
      <c r="H2" s="65" t="inlineStr">
        <is>
          <t>氏名②</t>
        </is>
      </c>
      <c r="I2" s="65" t="inlineStr">
        <is>
          <t>元の組②</t>
        </is>
      </c>
      <c r="J2" s="65" t="inlineStr">
        <is>
          <t>新しい組②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順</t>
        </is>
      </c>
      <c r="B1" t="inlineStr">
        <is>
          <t>①の行</t>
        </is>
      </c>
      <c r="C1" t="inlineStr">
        <is>
          <t>性別</t>
        </is>
      </c>
      <c r="D1" t="inlineStr">
        <is>
          <t>成績z</t>
        </is>
      </c>
      <c r="E1" t="inlineStr">
        <is>
          <t>旧</t>
        </is>
      </c>
      <c r="F1" t="inlineStr">
        <is>
          <t>ピアノ</t>
        </is>
      </c>
      <c r="G1" t="inlineStr">
        <is>
          <t>ムード</t>
        </is>
      </c>
      <c r="H1" t="inlineStr">
        <is>
          <t>注意</t>
        </is>
      </c>
      <c r="I1" t="inlineStr">
        <is>
          <t>休み</t>
        </is>
      </c>
      <c r="J1" t="inlineStr">
        <is>
          <t>人数1</t>
        </is>
      </c>
      <c r="K1" t="inlineStr">
        <is>
          <t>人数2</t>
        </is>
      </c>
      <c r="L1" t="inlineStr">
        <is>
          <t>人数3</t>
        </is>
      </c>
      <c r="M1" t="inlineStr">
        <is>
          <t>同性1</t>
        </is>
      </c>
      <c r="N1" t="inlineStr">
        <is>
          <t>同性2</t>
        </is>
      </c>
      <c r="O1" t="inlineStr">
        <is>
          <t>同性3</t>
        </is>
      </c>
      <c r="P1" t="inlineStr">
        <is>
          <t>特記1</t>
        </is>
      </c>
      <c r="Q1" t="inlineStr">
        <is>
          <t>特記2</t>
        </is>
      </c>
      <c r="R1" t="inlineStr">
        <is>
          <t>特記3</t>
        </is>
      </c>
      <c r="S1" t="inlineStr">
        <is>
          <t>旧1</t>
        </is>
      </c>
      <c r="T1" t="inlineStr">
        <is>
          <t>旧2</t>
        </is>
      </c>
      <c r="U1" t="inlineStr">
        <is>
          <t>旧3</t>
        </is>
      </c>
      <c r="V1" t="inlineStr">
        <is>
          <t>成績1</t>
        </is>
      </c>
      <c r="W1" t="inlineStr">
        <is>
          <t>成績2</t>
        </is>
      </c>
      <c r="X1" t="inlineStr">
        <is>
          <t>成績3</t>
        </is>
      </c>
      <c r="Y1" t="inlineStr">
        <is>
          <t>50m z</t>
        </is>
      </c>
      <c r="Z1" t="inlineStr">
        <is>
          <t>決定</t>
        </is>
      </c>
      <c r="AA1" t="inlineStr">
        <is>
          <t>点1</t>
        </is>
      </c>
      <c r="AB1" t="inlineStr">
        <is>
          <t>点2</t>
        </is>
      </c>
      <c r="AC1" t="inlineStr">
        <is>
          <t>点3</t>
        </is>
      </c>
      <c r="AE1" t="inlineStr">
        <is>
          <t>定員1</t>
        </is>
      </c>
      <c r="AF1" t="inlineStr">
        <is>
          <t>定員2</t>
        </is>
      </c>
      <c r="AG1" t="inlineStr">
        <is>
          <t>定員3</t>
        </is>
      </c>
      <c r="AI1" t="inlineStr">
        <is>
          <t>50m1</t>
        </is>
      </c>
      <c r="AJ1" t="inlineStr">
        <is>
          <t>50m2</t>
        </is>
      </c>
      <c r="AK1" t="inlineStr">
        <is>
          <t>50m3</t>
        </is>
      </c>
    </row>
    <row r="2">
      <c r="A2" t="n">
        <v>1</v>
      </c>
      <c r="B2">
        <f>IFERROR(MATCH(A2,'①名簿入力'!$AF$4:$AF$153,0),"")</f>
        <v>84</v>
      </c>
      <c r="C2">
        <f>IF(B2="","",INDEX('①名簿入力'!$X$4:$X$153,B2))</f>
        <v>2</v>
      </c>
      <c r="D2">
        <f>IF(B2="","",(INDEX('①名簿入力'!$AD$4:$AD$153,B2)-'設定'!$C$37)/'設定'!$C$38)</f>
        <v>1.47206536721095</v>
      </c>
      <c r="E2" t="str">
        <f>IF(B2="","",INDEX('①名簿入力'!$B$4:$B$153,B2)&amp;"")</f>
        <v>3</v>
      </c>
      <c r="F2">
        <f>IF(B2="",0,INDEX('①名簿入力'!$Y$4:$Y$153,B2))</f>
        <v>0</v>
      </c>
      <c r="G2">
        <f>IF(B2="",0,INDEX('①名簿入力'!$Z$4:$Z$153,B2))</f>
        <v>0</v>
      </c>
      <c r="H2">
        <f>IF(B2="",0,INDEX('①名簿入力'!$AA$4:$AA$153,B2))</f>
        <v>1</v>
      </c>
      <c r="I2">
        <f>IF(B2="",0,INDEX('①名簿入力'!$AB$4:$AB$153,B2))</f>
        <v>0</v>
      </c>
      <c r="J2">
        <f>COUNTIF($Z$1:Z1,1)</f>
        <v>0</v>
      </c>
      <c r="K2">
        <f>COUNTIF($Z$1:Z1,2)</f>
        <v>0</v>
      </c>
      <c r="L2">
        <f>COUNTIF($Z$1:Z1,3)</f>
        <v>0</v>
      </c>
      <c r="M2">
        <f>COUNTIFS($Z$1:Z1,1,$C$1:C1,C2)</f>
        <v>0</v>
      </c>
      <c r="N2">
        <f>COUNTIFS($Z$1:Z1,2,$C$1:C1,C2)</f>
        <v>0</v>
      </c>
      <c r="O2">
        <f>COUNTIFS($Z$1:Z1,3,$C$1:C1,C2)</f>
        <v>0</v>
      </c>
      <c r="P2">
        <f>F2*COUNTIFS($Z$1:Z1,1,$F$1:F1,1)+G2*COUNTIFS($Z$1:Z1,1,$G$1:G1,1)+H2*COUNTIFS($Z$1:Z1,1,$H$1:H1,1)+I2*COUNTIFS($Z$1:Z1,1,$I$1:I1,1)</f>
        <v>0</v>
      </c>
      <c r="Q2">
        <f>F2*COUNTIFS($Z$1:Z1,2,$F$1:F1,1)+G2*COUNTIFS($Z$1:Z1,2,$G$1:G1,1)+H2*COUNTIFS($Z$1:Z1,2,$H$1:H1,1)+I2*COUNTIFS($Z$1:Z1,2,$I$1:I1,1)</f>
        <v>0</v>
      </c>
      <c r="R2">
        <f>F2*COUNTIFS($Z$1:Z1,3,$F$1:F1,1)+G2*COUNTIFS($Z$1:Z1,3,$G$1:G1,1)+H2*COUNTIFS($Z$1:Z1,3,$H$1:H1,1)+I2*COUNTIFS($Z$1:Z1,3,$I$1:I1,1)</f>
        <v>0</v>
      </c>
      <c r="S2">
        <f>IF(E2="",0,COUNTIFS($Z$1:Z1,1,$E$1:E1,E2))</f>
        <v>0</v>
      </c>
      <c r="T2">
        <f>IF(E2="",0,COUNTIFS($Z$1:Z1,2,$E$1:E1,E2))</f>
        <v>0</v>
      </c>
      <c r="U2">
        <f>IF(E2="",0,COUNTIFS($Z$1:Z1,3,$E$1:E1,E2))</f>
        <v>0</v>
      </c>
      <c r="V2">
        <f>SUMIF($Z$1:Z1,1,$D$1:D1)</f>
        <v>0</v>
      </c>
      <c r="W2">
        <f>SUMIF($Z$1:Z1,2,$D$1:D1)</f>
        <v>0</v>
      </c>
      <c r="X2">
        <f>SUMIF($Z$1:Z1,3,$D$1:D1)</f>
        <v>0</v>
      </c>
      <c r="Y2">
        <f>IF(B2="",0,INDEX('①名簿入力'!$AL$4:$AL$153,B2))</f>
        <v>0.0577992840639699</v>
      </c>
      <c r="Z2">
        <f>IF(B2="","",MATCH(MIN(AA2:AC2),AA2:AC2,0))</f>
        <v>1</v>
      </c>
      <c r="AA2">
        <f>IF(B2="","",IF(J2&gt;=$AE$2,1E+15,M2*1E+10+P2*1E+8+ROUND(100*(D2*V2+$AF$5*Y2*AI2+$AF$4*S2),0)+1E+6))</f>
        <v>1000000</v>
      </c>
      <c r="AB2">
        <f>IF(B2="","",IF(K2&gt;=$AF$2,1E+15,N2*1E+10+Q2*1E+8+ROUND(100*(D2*W2+$AF$5*Y2*AJ2+$AF$4*T2),0)+1E+6))</f>
        <v>1000000</v>
      </c>
      <c r="AC2">
        <f>IF(B2="","",IF(L2&gt;=$AG$2,1E+15,O2*1E+10+R2*1E+8+ROUND(100*(D2*X2+$AF$5*Y2*AK2+$AF$4*U2),0)+1E+6))</f>
        <v>1000000</v>
      </c>
      <c r="AE2">
        <f>INT('設定'!$C$39/3)+IF(1&lt;=MOD('設定'!$C$39,3),1,0)</f>
        <v>35</v>
      </c>
      <c r="AF2">
        <f>INT('設定'!$C$39/3)+IF(2&lt;=MOD('設定'!$C$39,3),1,0)</f>
        <v>35</v>
      </c>
      <c r="AG2">
        <f>INT('設定'!$C$39/3)+IF(3&lt;=MOD('設定'!$C$39,3),1,0)</f>
        <v>35</v>
      </c>
      <c r="AI2">
        <f>SUMIFS($Y$1:Y1,$Z$1:Z1,1,$C$1:C1,C2)</f>
        <v>0</v>
      </c>
      <c r="AJ2">
        <f>SUMIFS($Y$1:Y1,$Z$1:Z1,2,$C$1:C1,C2)</f>
        <v>0</v>
      </c>
      <c r="AK2">
        <f>SUMIFS($Y$1:Y1,$Z$1:Z1,3,$C$1:C1,C2)</f>
        <v>0</v>
      </c>
    </row>
    <row r="3">
      <c r="A3" t="n">
        <v>2</v>
      </c>
      <c r="B3">
        <f>IFERROR(MATCH(A3,'①名簿入力'!$AF$4:$AF$153,0),"")</f>
        <v>92</v>
      </c>
      <c r="C3">
        <f>IF(B3="","",INDEX('①名簿入力'!$X$4:$X$153,B3))</f>
        <v>2</v>
      </c>
      <c r="D3">
        <f>IF(B3="","",(INDEX('①名簿入力'!$AD$4:$AD$153,B3)-'設定'!$C$37)/'設定'!$C$38)</f>
        <v>1.36751729059485</v>
      </c>
      <c r="E3" t="str">
        <f>IF(B3="","",INDEX('①名簿入力'!$B$4:$B$153,B3)&amp;"")</f>
        <v>3</v>
      </c>
      <c r="F3">
        <f>IF(B3="",0,INDEX('①名簿入力'!$Y$4:$Y$153,B3))</f>
        <v>0</v>
      </c>
      <c r="G3">
        <f>IF(B3="",0,INDEX('①名簿入力'!$Z$4:$Z$153,B3))</f>
        <v>0</v>
      </c>
      <c r="H3">
        <f>IF(B3="",0,INDEX('①名簿入力'!$AA$4:$AA$153,B3))</f>
        <v>1</v>
      </c>
      <c r="I3">
        <f>IF(B3="",0,INDEX('①名簿入力'!$AB$4:$AB$153,B3))</f>
        <v>0</v>
      </c>
      <c r="J3">
        <f>COUNTIF($Z$1:Z2,1)</f>
        <v>1</v>
      </c>
      <c r="K3">
        <f>COUNTIF($Z$1:Z2,2)</f>
        <v>0</v>
      </c>
      <c r="L3">
        <f>COUNTIF($Z$1:Z2,3)</f>
        <v>0</v>
      </c>
      <c r="M3">
        <f>COUNTIFS($Z$1:Z2,1,$C$1:C2,C3)</f>
        <v>1</v>
      </c>
      <c r="N3">
        <f>COUNTIFS($Z$1:Z2,2,$C$1:C2,C3)</f>
        <v>0</v>
      </c>
      <c r="O3">
        <f>COUNTIFS($Z$1:Z2,3,$C$1:C2,C3)</f>
        <v>0</v>
      </c>
      <c r="P3">
        <f>F3*COUNTIFS($Z$1:Z2,1,$F$1:F2,1)+G3*COUNTIFS($Z$1:Z2,1,$G$1:G2,1)+H3*COUNTIFS($Z$1:Z2,1,$H$1:H2,1)+I3*COUNTIFS($Z$1:Z2,1,$I$1:I2,1)</f>
        <v>1</v>
      </c>
      <c r="Q3">
        <f>F3*COUNTIFS($Z$1:Z2,2,$F$1:F2,1)+G3*COUNTIFS($Z$1:Z2,2,$G$1:G2,1)+H3*COUNTIFS($Z$1:Z2,2,$H$1:H2,1)+I3*COUNTIFS($Z$1:Z2,2,$I$1:I2,1)</f>
        <v>0</v>
      </c>
      <c r="R3">
        <f>F3*COUNTIFS($Z$1:Z2,3,$F$1:F2,1)+G3*COUNTIFS($Z$1:Z2,3,$G$1:G2,1)+H3*COUNTIFS($Z$1:Z2,3,$H$1:H2,1)+I3*COUNTIFS($Z$1:Z2,3,$I$1:I2,1)</f>
        <v>0</v>
      </c>
      <c r="S3">
        <f>IF(E3="",0,COUNTIFS($Z$1:Z2,1,$E$1:E2,E3))</f>
        <v>1</v>
      </c>
      <c r="T3">
        <f>IF(E3="",0,COUNTIFS($Z$1:Z2,2,$E$1:E2,E3))</f>
        <v>0</v>
      </c>
      <c r="U3">
        <f>IF(E3="",0,COUNTIFS($Z$1:Z2,3,$E$1:E2,E3))</f>
        <v>0</v>
      </c>
      <c r="V3">
        <f>SUMIF($Z$1:Z2,1,$D$1:D2)</f>
        <v>1.47206536721095</v>
      </c>
      <c r="W3">
        <f>SUMIF($Z$1:Z2,2,$D$1:D2)</f>
        <v>0</v>
      </c>
      <c r="X3">
        <f>SUMIF($Z$1:Z2,3,$D$1:D2)</f>
        <v>0</v>
      </c>
      <c r="Y3">
        <f>IF(B3="",0,INDEX('①名簿入力'!$AL$4:$AL$153,B3))</f>
        <v>1.04038711315146</v>
      </c>
      <c r="Z3">
        <f>IF(B3="","",MATCH(MIN(AA3:AC3),AA3:AC3,0))</f>
        <v>2</v>
      </c>
      <c r="AA3">
        <f>IF(B3="","",IF(J3&gt;=$AE$2,1E+15,M3*1E+10+P3*1E+8+ROUND(100*(D3*V3+$AF$5*Y3*AI3+$AF$4*S3),0)+1E+6))</f>
        <v>10101000229</v>
      </c>
      <c r="AB3">
        <f>IF(B3="","",IF(K3&gt;=$AF$2,1E+15,N3*1E+10+Q3*1E+8+ROUND(100*(D3*W3+$AF$5*Y3*AJ3+$AF$4*T3),0)+1E+6))</f>
        <v>1000000</v>
      </c>
      <c r="AC3">
        <f>IF(B3="","",IF(L3&gt;=$AG$2,1E+15,O3*1E+10+R3*1E+8+ROUND(100*(D3*X3+$AF$5*Y3*AK3+$AF$4*U3),0)+1E+6))</f>
        <v>1000000</v>
      </c>
      <c r="AI3">
        <f>SUMIFS($Y$1:Y2,$Z$1:Z2,1,$C$1:C2,C3)</f>
        <v>0.0577992840639699</v>
      </c>
      <c r="AJ3">
        <f>SUMIFS($Y$1:Y2,$Z$1:Z2,2,$C$1:C2,C3)</f>
        <v>0</v>
      </c>
      <c r="AK3">
        <f>SUMIFS($Y$1:Y2,$Z$1:Z2,3,$C$1:C2,C3)</f>
        <v>0</v>
      </c>
    </row>
    <row r="4">
      <c r="A4" t="n">
        <v>3</v>
      </c>
      <c r="B4">
        <f>IFERROR(MATCH(A4,'①名簿入力'!$AF$4:$AF$153,0),"")</f>
        <v>41</v>
      </c>
      <c r="C4">
        <f>IF(B4="","",INDEX('①名簿入力'!$X$4:$X$153,B4))</f>
        <v>1</v>
      </c>
      <c r="D4">
        <f>IF(B4="","",(INDEX('①名簿入力'!$AD$4:$AD$153,B4)-'設定'!$C$37)/'設定'!$C$38)</f>
        <v>1.32271097204509</v>
      </c>
      <c r="E4" t="str">
        <f>IF(B4="","",INDEX('①名簿入力'!$B$4:$B$153,B4)&amp;"")</f>
        <v>2</v>
      </c>
      <c r="F4">
        <f>IF(B4="",0,INDEX('①名簿入力'!$Y$4:$Y$153,B4))</f>
        <v>0</v>
      </c>
      <c r="G4">
        <f>IF(B4="",0,INDEX('①名簿入力'!$Z$4:$Z$153,B4))</f>
        <v>0</v>
      </c>
      <c r="H4">
        <f>IF(B4="",0,INDEX('①名簿入力'!$AA$4:$AA$153,B4))</f>
        <v>1</v>
      </c>
      <c r="I4">
        <f>IF(B4="",0,INDEX('①名簿入力'!$AB$4:$AB$153,B4))</f>
        <v>0</v>
      </c>
      <c r="J4">
        <f>COUNTIF($Z$1:Z3,1)</f>
        <v>1</v>
      </c>
      <c r="K4">
        <f>COUNTIF($Z$1:Z3,2)</f>
        <v>1</v>
      </c>
      <c r="L4">
        <f>COUNTIF($Z$1:Z3,3)</f>
        <v>0</v>
      </c>
      <c r="M4">
        <f>COUNTIFS($Z$1:Z3,1,$C$1:C3,C4)</f>
        <v>0</v>
      </c>
      <c r="N4">
        <f>COUNTIFS($Z$1:Z3,2,$C$1:C3,C4)</f>
        <v>0</v>
      </c>
      <c r="O4">
        <f>COUNTIFS($Z$1:Z3,3,$C$1:C3,C4)</f>
        <v>0</v>
      </c>
      <c r="P4">
        <f>F4*COUNTIFS($Z$1:Z3,1,$F$1:F3,1)+G4*COUNTIFS($Z$1:Z3,1,$G$1:G3,1)+H4*COUNTIFS($Z$1:Z3,1,$H$1:H3,1)+I4*COUNTIFS($Z$1:Z3,1,$I$1:I3,1)</f>
        <v>1</v>
      </c>
      <c r="Q4">
        <f>F4*COUNTIFS($Z$1:Z3,2,$F$1:F3,1)+G4*COUNTIFS($Z$1:Z3,2,$G$1:G3,1)+H4*COUNTIFS($Z$1:Z3,2,$H$1:H3,1)+I4*COUNTIFS($Z$1:Z3,2,$I$1:I3,1)</f>
        <v>1</v>
      </c>
      <c r="R4">
        <f>F4*COUNTIFS($Z$1:Z3,3,$F$1:F3,1)+G4*COUNTIFS($Z$1:Z3,3,$G$1:G3,1)+H4*COUNTIFS($Z$1:Z3,3,$H$1:H3,1)+I4*COUNTIFS($Z$1:Z3,3,$I$1:I3,1)</f>
        <v>0</v>
      </c>
      <c r="S4">
        <f>IF(E4="",0,COUNTIFS($Z$1:Z3,1,$E$1:E3,E4))</f>
        <v>0</v>
      </c>
      <c r="T4">
        <f>IF(E4="",0,COUNTIFS($Z$1:Z3,2,$E$1:E3,E4))</f>
        <v>0</v>
      </c>
      <c r="U4">
        <f>IF(E4="",0,COUNTIFS($Z$1:Z3,3,$E$1:E3,E4))</f>
        <v>0</v>
      </c>
      <c r="V4">
        <f>SUMIF($Z$1:Z3,1,$D$1:D3)</f>
        <v>1.47206536721095</v>
      </c>
      <c r="W4">
        <f>SUMIF($Z$1:Z3,2,$D$1:D3)</f>
        <v>1.36751729059485</v>
      </c>
      <c r="X4">
        <f>SUMIF($Z$1:Z3,3,$D$1:D3)</f>
        <v>0</v>
      </c>
      <c r="Y4">
        <f>IF(B4="",0,INDEX('①名簿入力'!$AL$4:$AL$153,B4))</f>
        <v>-1.57204945946146</v>
      </c>
      <c r="Z4">
        <f>IF(B4="","",MATCH(MIN(AA4:AC4),AA4:AC4,0))</f>
        <v>3</v>
      </c>
      <c r="AA4">
        <f>IF(B4="","",IF(J4&gt;=$AE$2,1E+15,M4*1E+10+P4*1E+8+ROUND(100*(D4*V4+$AF$5*Y4*AI4+$AF$4*S4),0)+1E+6))</f>
        <v>101000195</v>
      </c>
      <c r="AB4">
        <f>IF(B4="","",IF(K4&gt;=$AF$2,1E+15,N4*1E+10+Q4*1E+8+ROUND(100*(D4*W4+$AF$5*Y4*AJ4+$AF$4*T4),0)+1E+6))</f>
        <v>101000181</v>
      </c>
      <c r="AC4">
        <f>IF(B4="","",IF(L4&gt;=$AG$2,1E+15,O4*1E+10+R4*1E+8+ROUND(100*(D4*X4+$AF$5*Y4*AK4+$AF$4*U4),0)+1E+6))</f>
        <v>1000000</v>
      </c>
      <c r="AD4" t="inlineStr">
        <is>
          <t>旧クラスを混ぜる強さ</t>
        </is>
      </c>
      <c r="AF4" t="n">
        <v>0.25</v>
      </c>
      <c r="AI4">
        <f>SUMIFS($Y$1:Y3,$Z$1:Z3,1,$C$1:C3,C4)</f>
        <v>0</v>
      </c>
      <c r="AJ4">
        <f>SUMIFS($Y$1:Y3,$Z$1:Z3,2,$C$1:C3,C4)</f>
        <v>0</v>
      </c>
      <c r="AK4">
        <f>SUMIFS($Y$1:Y3,$Z$1:Z3,3,$C$1:C3,C4)</f>
        <v>0</v>
      </c>
    </row>
    <row r="5">
      <c r="A5" t="n">
        <v>4</v>
      </c>
      <c r="B5">
        <f>IFERROR(MATCH(A5,'①名簿入力'!$AF$4:$AF$153,0),"")</f>
        <v>25</v>
      </c>
      <c r="C5">
        <f>IF(B5="","",INDEX('①名簿入力'!$X$4:$X$153,B5))</f>
        <v>1</v>
      </c>
      <c r="D5">
        <f>IF(B5="","",(INDEX('①名簿入力'!$AD$4:$AD$153,B5)-'設定'!$C$37)/'設定'!$C$38)</f>
        <v>-0.827992318343312</v>
      </c>
      <c r="E5" t="str">
        <f>IF(B5="","",INDEX('①名簿入力'!$B$4:$B$153,B5)&amp;"")</f>
        <v>1</v>
      </c>
      <c r="F5">
        <f>IF(B5="",0,INDEX('①名簿入力'!$Y$4:$Y$153,B5))</f>
        <v>0</v>
      </c>
      <c r="G5">
        <f>IF(B5="",0,INDEX('①名簿入力'!$Z$4:$Z$153,B5))</f>
        <v>0</v>
      </c>
      <c r="H5">
        <f>IF(B5="",0,INDEX('①名簿入力'!$AA$4:$AA$153,B5))</f>
        <v>1</v>
      </c>
      <c r="I5">
        <f>IF(B5="",0,INDEX('①名簿入力'!$AB$4:$AB$153,B5))</f>
        <v>0</v>
      </c>
      <c r="J5">
        <f>COUNTIF($Z$1:Z4,1)</f>
        <v>1</v>
      </c>
      <c r="K5">
        <f>COUNTIF($Z$1:Z4,2)</f>
        <v>1</v>
      </c>
      <c r="L5">
        <f>COUNTIF($Z$1:Z4,3)</f>
        <v>1</v>
      </c>
      <c r="M5">
        <f>COUNTIFS($Z$1:Z4,1,$C$1:C4,C5)</f>
        <v>0</v>
      </c>
      <c r="N5">
        <f>COUNTIFS($Z$1:Z4,2,$C$1:C4,C5)</f>
        <v>0</v>
      </c>
      <c r="O5">
        <f>COUNTIFS($Z$1:Z4,3,$C$1:C4,C5)</f>
        <v>1</v>
      </c>
      <c r="P5">
        <f>F5*COUNTIFS($Z$1:Z4,1,$F$1:F4,1)+G5*COUNTIFS($Z$1:Z4,1,$G$1:G4,1)+H5*COUNTIFS($Z$1:Z4,1,$H$1:H4,1)+I5*COUNTIFS($Z$1:Z4,1,$I$1:I4,1)</f>
        <v>1</v>
      </c>
      <c r="Q5">
        <f>F5*COUNTIFS($Z$1:Z4,2,$F$1:F4,1)+G5*COUNTIFS($Z$1:Z4,2,$G$1:G4,1)+H5*COUNTIFS($Z$1:Z4,2,$H$1:H4,1)+I5*COUNTIFS($Z$1:Z4,2,$I$1:I4,1)</f>
        <v>1</v>
      </c>
      <c r="R5">
        <f>F5*COUNTIFS($Z$1:Z4,3,$F$1:F4,1)+G5*COUNTIFS($Z$1:Z4,3,$G$1:G4,1)+H5*COUNTIFS($Z$1:Z4,3,$H$1:H4,1)+I5*COUNTIFS($Z$1:Z4,3,$I$1:I4,1)</f>
        <v>1</v>
      </c>
      <c r="S5">
        <f>IF(E5="",0,COUNTIFS($Z$1:Z4,1,$E$1:E4,E5))</f>
        <v>0</v>
      </c>
      <c r="T5">
        <f>IF(E5="",0,COUNTIFS($Z$1:Z4,2,$E$1:E4,E5))</f>
        <v>0</v>
      </c>
      <c r="U5">
        <f>IF(E5="",0,COUNTIFS($Z$1:Z4,3,$E$1:E4,E5))</f>
        <v>0</v>
      </c>
      <c r="V5">
        <f>SUMIF($Z$1:Z4,1,$D$1:D4)</f>
        <v>1.47206536721095</v>
      </c>
      <c r="W5">
        <f>SUMIF($Z$1:Z4,2,$D$1:D4)</f>
        <v>1.36751729059485</v>
      </c>
      <c r="X5">
        <f>SUMIF($Z$1:Z4,3,$D$1:D4)</f>
        <v>1.32271097204509</v>
      </c>
      <c r="Y5">
        <f>IF(B5="",0,INDEX('①名簿入力'!$AL$4:$AL$153,B5))</f>
        <v>0.93142876820639</v>
      </c>
      <c r="Z5">
        <f>IF(B5="","",MATCH(MIN(AA5:AC5),AA5:AC5,0))</f>
        <v>1</v>
      </c>
      <c r="AA5">
        <f>IF(B5="","",IF(J5&gt;=$AE$2,1E+15,M5*1E+10+P5*1E+8+ROUND(100*(D5*V5+$AF$5*Y5*AI5+$AF$4*S5),0)+1E+6))</f>
        <v>100999878</v>
      </c>
      <c r="AB5">
        <f>IF(B5="","",IF(K5&gt;=$AF$2,1E+15,N5*1E+10+Q5*1E+8+ROUND(100*(D5*W5+$AF$5*Y5*AJ5+$AF$4*T5),0)+1E+6))</f>
        <v>100999887</v>
      </c>
      <c r="AC5">
        <f>IF(B5="","",IF(L5&gt;=$AG$2,1E+15,O5*1E+10+R5*1E+8+ROUND(100*(D5*X5+$AF$5*Y5*AK5+$AF$4*U5),0)+1E+6))</f>
        <v>10100999817</v>
      </c>
      <c r="AD5" t="inlineStr">
        <is>
          <t>50m走をそろえる強さ</t>
        </is>
      </c>
      <c r="AF5" t="n">
        <v>0.5</v>
      </c>
      <c r="AI5">
        <f>SUMIFS($Y$1:Y4,$Z$1:Z4,1,$C$1:C4,C5)</f>
        <v>0</v>
      </c>
      <c r="AJ5">
        <f>SUMIFS($Y$1:Y4,$Z$1:Z4,2,$C$1:C4,C5)</f>
        <v>0</v>
      </c>
      <c r="AK5">
        <f>SUMIFS($Y$1:Y4,$Z$1:Z4,3,$C$1:C4,C5)</f>
        <v>-1.57204945946146</v>
      </c>
    </row>
    <row r="6">
      <c r="A6" t="n">
        <v>5</v>
      </c>
      <c r="B6">
        <f>IFERROR(MATCH(A6,'①名簿入力'!$AF$4:$AF$153,0),"")</f>
        <v>20</v>
      </c>
      <c r="C6">
        <f>IF(B6="","",INDEX('①名簿入力'!$X$4:$X$153,B6))</f>
        <v>1</v>
      </c>
      <c r="D6">
        <f>IF(B6="","",(INDEX('①名簿入力'!$AD$4:$AD$153,B6)-'設定'!$C$37)/'設定'!$C$38)</f>
        <v>0.381778282500162</v>
      </c>
      <c r="E6" t="str">
        <f>IF(B6="","",INDEX('①名簿入力'!$B$4:$B$153,B6)&amp;"")</f>
        <v>1</v>
      </c>
      <c r="F6">
        <f>IF(B6="",0,INDEX('①名簿入力'!$Y$4:$Y$153,B6))</f>
        <v>0</v>
      </c>
      <c r="G6">
        <f>IF(B6="",0,INDEX('①名簿入力'!$Z$4:$Z$153,B6))</f>
        <v>0</v>
      </c>
      <c r="H6">
        <f>IF(B6="",0,INDEX('①名簿入力'!$AA$4:$AA$153,B6))</f>
        <v>1</v>
      </c>
      <c r="I6">
        <f>IF(B6="",0,INDEX('①名簿入力'!$AB$4:$AB$153,B6))</f>
        <v>0</v>
      </c>
      <c r="J6">
        <f>COUNTIF($Z$1:Z5,1)</f>
        <v>2</v>
      </c>
      <c r="K6">
        <f>COUNTIF($Z$1:Z5,2)</f>
        <v>1</v>
      </c>
      <c r="L6">
        <f>COUNTIF($Z$1:Z5,3)</f>
        <v>1</v>
      </c>
      <c r="M6">
        <f>COUNTIFS($Z$1:Z5,1,$C$1:C5,C6)</f>
        <v>1</v>
      </c>
      <c r="N6">
        <f>COUNTIFS($Z$1:Z5,2,$C$1:C5,C6)</f>
        <v>0</v>
      </c>
      <c r="O6">
        <f>COUNTIFS($Z$1:Z5,3,$C$1:C5,C6)</f>
        <v>1</v>
      </c>
      <c r="P6">
        <f>F6*COUNTIFS($Z$1:Z5,1,$F$1:F5,1)+G6*COUNTIFS($Z$1:Z5,1,$G$1:G5,1)+H6*COUNTIFS($Z$1:Z5,1,$H$1:H5,1)+I6*COUNTIFS($Z$1:Z5,1,$I$1:I5,1)</f>
        <v>2</v>
      </c>
      <c r="Q6">
        <f>F6*COUNTIFS($Z$1:Z5,2,$F$1:F5,1)+G6*COUNTIFS($Z$1:Z5,2,$G$1:G5,1)+H6*COUNTIFS($Z$1:Z5,2,$H$1:H5,1)+I6*COUNTIFS($Z$1:Z5,2,$I$1:I5,1)</f>
        <v>1</v>
      </c>
      <c r="R6">
        <f>F6*COUNTIFS($Z$1:Z5,3,$F$1:F5,1)+G6*COUNTIFS($Z$1:Z5,3,$G$1:G5,1)+H6*COUNTIFS($Z$1:Z5,3,$H$1:H5,1)+I6*COUNTIFS($Z$1:Z5,3,$I$1:I5,1)</f>
        <v>1</v>
      </c>
      <c r="S6">
        <f>IF(E6="",0,COUNTIFS($Z$1:Z5,1,$E$1:E5,E6))</f>
        <v>1</v>
      </c>
      <c r="T6">
        <f>IF(E6="",0,COUNTIFS($Z$1:Z5,2,$E$1:E5,E6))</f>
        <v>0</v>
      </c>
      <c r="U6">
        <f>IF(E6="",0,COUNTIFS($Z$1:Z5,3,$E$1:E5,E6))</f>
        <v>0</v>
      </c>
      <c r="V6">
        <f>SUMIF($Z$1:Z5,1,$D$1:D5)</f>
        <v>0.644073048867637</v>
      </c>
      <c r="W6">
        <f>SUMIF($Z$1:Z5,2,$D$1:D5)</f>
        <v>1.36751729059485</v>
      </c>
      <c r="X6">
        <f>SUMIF($Z$1:Z5,3,$D$1:D5)</f>
        <v>1.32271097204509</v>
      </c>
      <c r="Y6">
        <f>IF(B6="",0,INDEX('①名簿入力'!$AL$4:$AL$153,B6))</f>
        <v>-0.889282670097504</v>
      </c>
      <c r="Z6">
        <f>IF(B6="","",MATCH(MIN(AA6:AC6),AA6:AC6,0))</f>
        <v>2</v>
      </c>
      <c r="AA6">
        <f>IF(B6="","",IF(J6&gt;=$AE$2,1E+15,M6*1E+10+P6*1E+8+ROUND(100*(D6*V6+$AF$5*Y6*AI6+$AF$4*S6),0)+1E+6))</f>
        <v>10201000008</v>
      </c>
      <c r="AB6">
        <f>IF(B6="","",IF(K6&gt;=$AF$2,1E+15,N6*1E+10+Q6*1E+8+ROUND(100*(D6*W6+$AF$5*Y6*AJ6+$AF$4*T6),0)+1E+6))</f>
        <v>101000052</v>
      </c>
      <c r="AC6">
        <f>IF(B6="","",IF(L6&gt;=$AG$2,1E+15,O6*1E+10+R6*1E+8+ROUND(100*(D6*X6+$AF$5*Y6*AK6+$AF$4*U6),0)+1E+6))</f>
        <v>10101000120</v>
      </c>
      <c r="AD6" t="inlineStr">
        <is>
          <t>（どちらも大きくするほどよくそろうが、そのぶん成績のそろい方は少し落ちる）</t>
        </is>
      </c>
      <c r="AI6">
        <f>SUMIFS($Y$1:Y5,$Z$1:Z5,1,$C$1:C5,C6)</f>
        <v>0.93142876820639</v>
      </c>
      <c r="AJ6">
        <f>SUMIFS($Y$1:Y5,$Z$1:Z5,2,$C$1:C5,C6)</f>
        <v>0</v>
      </c>
      <c r="AK6">
        <f>SUMIFS($Y$1:Y5,$Z$1:Z5,3,$C$1:C5,C6)</f>
        <v>-1.57204945946146</v>
      </c>
    </row>
    <row r="7">
      <c r="A7" t="n">
        <v>6</v>
      </c>
      <c r="B7">
        <f>IFERROR(MATCH(A7,'①名簿入力'!$AF$4:$AF$153,0),"")</f>
        <v>56</v>
      </c>
      <c r="C7">
        <f>IF(B7="","",INDEX('①名簿入力'!$X$4:$X$153,B7))</f>
        <v>1</v>
      </c>
      <c r="D7">
        <f>IF(B7="","",(INDEX('①名簿入力'!$AD$4:$AD$153,B7)-'設定'!$C$37)/'設定'!$C$38)</f>
        <v>0.217488447817716</v>
      </c>
      <c r="E7" t="str">
        <f>IF(B7="","",INDEX('①名簿入力'!$B$4:$B$153,B7)&amp;"")</f>
        <v>2</v>
      </c>
      <c r="F7">
        <f>IF(B7="",0,INDEX('①名簿入力'!$Y$4:$Y$153,B7))</f>
        <v>0</v>
      </c>
      <c r="G7">
        <f>IF(B7="",0,INDEX('①名簿入力'!$Z$4:$Z$153,B7))</f>
        <v>0</v>
      </c>
      <c r="H7">
        <f>IF(B7="",0,INDEX('①名簿入力'!$AA$4:$AA$153,B7))</f>
        <v>1</v>
      </c>
      <c r="I7">
        <f>IF(B7="",0,INDEX('①名簿入力'!$AB$4:$AB$153,B7))</f>
        <v>0</v>
      </c>
      <c r="J7">
        <f>COUNTIF($Z$1:Z6,1)</f>
        <v>2</v>
      </c>
      <c r="K7">
        <f>COUNTIF($Z$1:Z6,2)</f>
        <v>2</v>
      </c>
      <c r="L7">
        <f>COUNTIF($Z$1:Z6,3)</f>
        <v>1</v>
      </c>
      <c r="M7">
        <f>COUNTIFS($Z$1:Z6,1,$C$1:C6,C7)</f>
        <v>1</v>
      </c>
      <c r="N7">
        <f>COUNTIFS($Z$1:Z6,2,$C$1:C6,C7)</f>
        <v>1</v>
      </c>
      <c r="O7">
        <f>COUNTIFS($Z$1:Z6,3,$C$1:C6,C7)</f>
        <v>1</v>
      </c>
      <c r="P7">
        <f>F7*COUNTIFS($Z$1:Z6,1,$F$1:F6,1)+G7*COUNTIFS($Z$1:Z6,1,$G$1:G6,1)+H7*COUNTIFS($Z$1:Z6,1,$H$1:H6,1)+I7*COUNTIFS($Z$1:Z6,1,$I$1:I6,1)</f>
        <v>2</v>
      </c>
      <c r="Q7">
        <f>F7*COUNTIFS($Z$1:Z6,2,$F$1:F6,1)+G7*COUNTIFS($Z$1:Z6,2,$G$1:G6,1)+H7*COUNTIFS($Z$1:Z6,2,$H$1:H6,1)+I7*COUNTIFS($Z$1:Z6,2,$I$1:I6,1)</f>
        <v>2</v>
      </c>
      <c r="R7">
        <f>F7*COUNTIFS($Z$1:Z6,3,$F$1:F6,1)+G7*COUNTIFS($Z$1:Z6,3,$G$1:G6,1)+H7*COUNTIFS($Z$1:Z6,3,$H$1:H6,1)+I7*COUNTIFS($Z$1:Z6,3,$I$1:I6,1)</f>
        <v>1</v>
      </c>
      <c r="S7">
        <f>IF(E7="",0,COUNTIFS($Z$1:Z6,1,$E$1:E6,E7))</f>
        <v>0</v>
      </c>
      <c r="T7">
        <f>IF(E7="",0,COUNTIFS($Z$1:Z6,2,$E$1:E6,E7))</f>
        <v>0</v>
      </c>
      <c r="U7">
        <f>IF(E7="",0,COUNTIFS($Z$1:Z6,3,$E$1:E6,E7))</f>
        <v>1</v>
      </c>
      <c r="V7">
        <f>SUMIF($Z$1:Z6,1,$D$1:D6)</f>
        <v>0.644073048867637</v>
      </c>
      <c r="W7">
        <f>SUMIF($Z$1:Z6,2,$D$1:D6)</f>
        <v>1.74929557309501</v>
      </c>
      <c r="X7">
        <f>SUMIF($Z$1:Z6,3,$D$1:D6)</f>
        <v>1.32271097204509</v>
      </c>
      <c r="Y7">
        <f>IF(B7="",0,INDEX('①名簿入力'!$AL$4:$AL$153,B7))</f>
        <v>1.15901769799438</v>
      </c>
      <c r="Z7">
        <f>IF(B7="","",MATCH(MIN(AA7:AC7),AA7:AC7,0))</f>
        <v>3</v>
      </c>
      <c r="AA7">
        <f>IF(B7="","",IF(J7&gt;=$AE$2,1E+15,M7*1E+10+P7*1E+8+ROUND(100*(D7*V7+$AF$5*Y7*AI7+$AF$4*S7),0)+1E+6))</f>
        <v>10201000068</v>
      </c>
      <c r="AB7">
        <f>IF(B7="","",IF(K7&gt;=$AF$2,1E+15,N7*1E+10+Q7*1E+8+ROUND(100*(D7*W7+$AF$5*Y7*AJ7+$AF$4*T7),0)+1E+6))</f>
        <v>10200999987</v>
      </c>
      <c r="AC7">
        <f>IF(B7="","",IF(L7&gt;=$AG$2,1E+15,O7*1E+10+R7*1E+8+ROUND(100*(D7*X7+$AF$5*Y7*AK7+$AF$4*U7),0)+1E+6))</f>
        <v>10100999963</v>
      </c>
      <c r="AD7" t="inlineStr">
        <is>
          <t>50m平均（性別1〜3）</t>
        </is>
      </c>
      <c r="AE7">
        <f>IFERROR(AVERAGEIFS('①名簿入力'!$L$4:$L$153,'①名簿入力'!$X$4:$X$153,1),0)</f>
        <v>7.69074074074074</v>
      </c>
      <c r="AF7">
        <f>IFERROR(AVERAGEIFS('①名簿入力'!$L$4:$L$153,'①名簿入力'!$X$4:$X$153,2),0)</f>
        <v>8.86470588235294</v>
      </c>
      <c r="AG7">
        <f>IFERROR(AVERAGEIFS('①名簿入力'!$L$4:$L$153,'①名簿入力'!$X$4:$X$153,3),0)</f>
        <v>0</v>
      </c>
      <c r="AI7">
        <f>SUMIFS($Y$1:Y6,$Z$1:Z6,1,$C$1:C6,C7)</f>
        <v>0.93142876820639</v>
      </c>
      <c r="AJ7">
        <f>SUMIFS($Y$1:Y6,$Z$1:Z6,2,$C$1:C6,C7)</f>
        <v>-0.889282670097504</v>
      </c>
      <c r="AK7">
        <f>SUMIFS($Y$1:Y6,$Z$1:Z6,3,$C$1:C6,C7)</f>
        <v>-1.57204945946146</v>
      </c>
    </row>
    <row r="8">
      <c r="A8" t="n">
        <v>7</v>
      </c>
      <c r="B8">
        <f>IFERROR(MATCH(A8,'①名簿入力'!$AF$4:$AF$153,0),"")</f>
        <v>104</v>
      </c>
      <c r="C8">
        <f>IF(B8="","",INDEX('①名簿入力'!$X$4:$X$153,B8))</f>
        <v>1</v>
      </c>
      <c r="D8">
        <f>IF(B8="","",(INDEX('①名簿入力'!$AD$4:$AD$153,B8)-'設定'!$C$37)/'設定'!$C$38)</f>
        <v>0.0830694921684408</v>
      </c>
      <c r="E8" t="str">
        <f>IF(B8="","",INDEX('①名簿入力'!$B$4:$B$153,B8)&amp;"")</f>
        <v>3</v>
      </c>
      <c r="F8">
        <f>IF(B8="",0,INDEX('①名簿入力'!$Y$4:$Y$153,B8))</f>
        <v>0</v>
      </c>
      <c r="G8">
        <f>IF(B8="",0,INDEX('①名簿入力'!$Z$4:$Z$153,B8))</f>
        <v>0</v>
      </c>
      <c r="H8">
        <f>IF(B8="",0,INDEX('①名簿入力'!$AA$4:$AA$153,B8))</f>
        <v>1</v>
      </c>
      <c r="I8">
        <f>IF(B8="",0,INDEX('①名簿入力'!$AB$4:$AB$153,B8))</f>
        <v>0</v>
      </c>
      <c r="J8">
        <f>COUNTIF($Z$1:Z7,1)</f>
        <v>2</v>
      </c>
      <c r="K8">
        <f>COUNTIF($Z$1:Z7,2)</f>
        <v>2</v>
      </c>
      <c r="L8">
        <f>COUNTIF($Z$1:Z7,3)</f>
        <v>2</v>
      </c>
      <c r="M8">
        <f>COUNTIFS($Z$1:Z7,1,$C$1:C7,C8)</f>
        <v>1</v>
      </c>
      <c r="N8">
        <f>COUNTIFS($Z$1:Z7,2,$C$1:C7,C8)</f>
        <v>1</v>
      </c>
      <c r="O8">
        <f>COUNTIFS($Z$1:Z7,3,$C$1:C7,C8)</f>
        <v>2</v>
      </c>
      <c r="P8">
        <f>F8*COUNTIFS($Z$1:Z7,1,$F$1:F7,1)+G8*COUNTIFS($Z$1:Z7,1,$G$1:G7,1)+H8*COUNTIFS($Z$1:Z7,1,$H$1:H7,1)+I8*COUNTIFS($Z$1:Z7,1,$I$1:I7,1)</f>
        <v>2</v>
      </c>
      <c r="Q8">
        <f>F8*COUNTIFS($Z$1:Z7,2,$F$1:F7,1)+G8*COUNTIFS($Z$1:Z7,2,$G$1:G7,1)+H8*COUNTIFS($Z$1:Z7,2,$H$1:H7,1)+I8*COUNTIFS($Z$1:Z7,2,$I$1:I7,1)</f>
        <v>2</v>
      </c>
      <c r="R8">
        <f>F8*COUNTIFS($Z$1:Z7,3,$F$1:F7,1)+G8*COUNTIFS($Z$1:Z7,3,$G$1:G7,1)+H8*COUNTIFS($Z$1:Z7,3,$H$1:H7,1)+I8*COUNTIFS($Z$1:Z7,3,$I$1:I7,1)</f>
        <v>2</v>
      </c>
      <c r="S8">
        <f>IF(E8="",0,COUNTIFS($Z$1:Z7,1,$E$1:E7,E8))</f>
        <v>1</v>
      </c>
      <c r="T8">
        <f>IF(E8="",0,COUNTIFS($Z$1:Z7,2,$E$1:E7,E8))</f>
        <v>1</v>
      </c>
      <c r="U8">
        <f>IF(E8="",0,COUNTIFS($Z$1:Z7,3,$E$1:E7,E8))</f>
        <v>0</v>
      </c>
      <c r="V8">
        <f>SUMIF($Z$1:Z7,1,$D$1:D7)</f>
        <v>0.644073048867637</v>
      </c>
      <c r="W8">
        <f>SUMIF($Z$1:Z7,2,$D$1:D7)</f>
        <v>1.74929557309501</v>
      </c>
      <c r="X8">
        <f>SUMIF($Z$1:Z7,3,$D$1:D7)</f>
        <v>1.5401994198628</v>
      </c>
      <c r="Y8">
        <f>IF(B8="",0,INDEX('①名簿入力'!$AL$4:$AL$153,B8))</f>
        <v>0.0210730490544438</v>
      </c>
      <c r="Z8">
        <f>IF(B8="","",MATCH(MIN(AA8:AC8),AA8:AC8,0))</f>
        <v>1</v>
      </c>
      <c r="AA8">
        <f>IF(B8="","",IF(J8&gt;=$AE$2,1E+15,M8*1E+10+P8*1E+8+ROUND(100*(D8*V8+$AF$5*Y8*AI8+$AF$4*S8),0)+1E+6))</f>
        <v>10201000031</v>
      </c>
      <c r="AB8">
        <f>IF(B8="","",IF(K8&gt;=$AF$2,1E+15,N8*1E+10+Q8*1E+8+ROUND(100*(D8*W8+$AF$5*Y8*AJ8+$AF$4*T8),0)+1E+6))</f>
        <v>10201000039</v>
      </c>
      <c r="AC8">
        <f>IF(B8="","",IF(L8&gt;=$AG$2,1E+15,O8*1E+10+R8*1E+8+ROUND(100*(D8*X8+$AF$5*Y8*AK8+$AF$4*U8),0)+1E+6))</f>
        <v>20201000012</v>
      </c>
      <c r="AD8" t="inlineStr">
        <is>
          <t>50mの標準偏差</t>
        </is>
      </c>
      <c r="AE8">
        <f>IFERROR(IF(SQRT(MAX(0,AVERAGEIFS('①名簿入力'!$AK$4:$AK$153,'①名簿入力'!$X$4:$X$153,1)-AE7^2))=0,1,SQRT(MAX(0,AVERAGEIFS('①名簿入力'!$AK$4:$AK$153,'①名簿入力'!$X$4:$X$153,1)-AE7^2))),1)</f>
        <v>0.439388682451103</v>
      </c>
      <c r="AF8">
        <f>IFERROR(IF(SQRT(MAX(0,AVERAGEIFS('①名簿入力'!$AK$4:$AK$153,'①名簿入力'!$X$4:$X$153,2)-AF7^2))=0,1,SQRT(MAX(0,AVERAGEIFS('①名簿入力'!$AK$4:$AK$153,'①名簿入力'!$X$4:$X$153,2)-AF7^2))),1)</f>
        <v>0.610632436346385</v>
      </c>
      <c r="AG8">
        <f>IFERROR(IF(SQRT(MAX(0,AVERAGEIFS('①名簿入力'!$AK$4:$AK$153,'①名簿入力'!$X$4:$X$153,3)-AG7^2))=0,1,SQRT(MAX(0,AVERAGEIFS('①名簿入力'!$AK$4:$AK$153,'①名簿入力'!$X$4:$X$153,3)-AG7^2))),1)</f>
        <v>1</v>
      </c>
      <c r="AI8">
        <f>SUMIFS($Y$1:Y7,$Z$1:Z7,1,$C$1:C7,C8)</f>
        <v>0.93142876820639</v>
      </c>
      <c r="AJ8">
        <f>SUMIFS($Y$1:Y7,$Z$1:Z7,2,$C$1:C7,C8)</f>
        <v>-0.889282670097504</v>
      </c>
      <c r="AK8">
        <f>SUMIFS($Y$1:Y7,$Z$1:Z7,3,$C$1:C7,C8)</f>
        <v>-0.413031761467088</v>
      </c>
    </row>
    <row r="9">
      <c r="A9" t="n">
        <v>8</v>
      </c>
      <c r="B9">
        <f>IFERROR(MATCH(A9,'①名簿入力'!$AF$4:$AF$153,0),"")</f>
        <v>34</v>
      </c>
      <c r="C9">
        <f>IF(B9="","",INDEX('①名簿入力'!$X$4:$X$153,B9))</f>
        <v>1</v>
      </c>
      <c r="D9">
        <f>IF(B9="","",(INDEX('①名簿入力'!$AD$4:$AD$153,B9)-'設定'!$C$37)/'設定'!$C$38)</f>
        <v>1.57661344382705</v>
      </c>
      <c r="E9" t="str">
        <f>IF(B9="","",INDEX('①名簿入力'!$B$4:$B$153,B9)&amp;"")</f>
        <v>1</v>
      </c>
      <c r="F9">
        <f>IF(B9="",0,INDEX('①名簿入力'!$Y$4:$Y$153,B9))</f>
        <v>1</v>
      </c>
      <c r="G9">
        <f>IF(B9="",0,INDEX('①名簿入力'!$Z$4:$Z$153,B9))</f>
        <v>0</v>
      </c>
      <c r="H9">
        <f>IF(B9="",0,INDEX('①名簿入力'!$AA$4:$AA$153,B9))</f>
        <v>0</v>
      </c>
      <c r="I9">
        <f>IF(B9="",0,INDEX('①名簿入力'!$AB$4:$AB$153,B9))</f>
        <v>0</v>
      </c>
      <c r="J9">
        <f>COUNTIF($Z$1:Z8,1)</f>
        <v>3</v>
      </c>
      <c r="K9">
        <f>COUNTIF($Z$1:Z8,2)</f>
        <v>2</v>
      </c>
      <c r="L9">
        <f>COUNTIF($Z$1:Z8,3)</f>
        <v>2</v>
      </c>
      <c r="M9">
        <f>COUNTIFS($Z$1:Z8,1,$C$1:C8,C9)</f>
        <v>2</v>
      </c>
      <c r="N9">
        <f>COUNTIFS($Z$1:Z8,2,$C$1:C8,C9)</f>
        <v>1</v>
      </c>
      <c r="O9">
        <f>COUNTIFS($Z$1:Z8,3,$C$1:C8,C9)</f>
        <v>2</v>
      </c>
      <c r="P9">
        <f>F9*COUNTIFS($Z$1:Z8,1,$F$1:F8,1)+G9*COUNTIFS($Z$1:Z8,1,$G$1:G8,1)+H9*COUNTIFS($Z$1:Z8,1,$H$1:H8,1)+I9*COUNTIFS($Z$1:Z8,1,$I$1:I8,1)</f>
        <v>0</v>
      </c>
      <c r="Q9">
        <f>F9*COUNTIFS($Z$1:Z8,2,$F$1:F8,1)+G9*COUNTIFS($Z$1:Z8,2,$G$1:G8,1)+H9*COUNTIFS($Z$1:Z8,2,$H$1:H8,1)+I9*COUNTIFS($Z$1:Z8,2,$I$1:I8,1)</f>
        <v>0</v>
      </c>
      <c r="R9">
        <f>F9*COUNTIFS($Z$1:Z8,3,$F$1:F8,1)+G9*COUNTIFS($Z$1:Z8,3,$G$1:G8,1)+H9*COUNTIFS($Z$1:Z8,3,$H$1:H8,1)+I9*COUNTIFS($Z$1:Z8,3,$I$1:I8,1)</f>
        <v>0</v>
      </c>
      <c r="S9">
        <f>IF(E9="",0,COUNTIFS($Z$1:Z8,1,$E$1:E8,E9))</f>
        <v>1</v>
      </c>
      <c r="T9">
        <f>IF(E9="",0,COUNTIFS($Z$1:Z8,2,$E$1:E8,E9))</f>
        <v>1</v>
      </c>
      <c r="U9">
        <f>IF(E9="",0,COUNTIFS($Z$1:Z8,3,$E$1:E8,E9))</f>
        <v>0</v>
      </c>
      <c r="V9">
        <f>SUMIF($Z$1:Z8,1,$D$1:D8)</f>
        <v>0.727142541036078</v>
      </c>
      <c r="W9">
        <f>SUMIF($Z$1:Z8,2,$D$1:D8)</f>
        <v>1.74929557309501</v>
      </c>
      <c r="X9">
        <f>SUMIF($Z$1:Z8,3,$D$1:D8)</f>
        <v>1.5401994198628</v>
      </c>
      <c r="Y9">
        <f>IF(B9="",0,INDEX('①名簿入力'!$AL$4:$AL$153,B9))</f>
        <v>-1.57204945946146</v>
      </c>
      <c r="Z9">
        <f>IF(B9="","",MATCH(MIN(AA9:AC9),AA9:AC9,0))</f>
        <v>2</v>
      </c>
      <c r="AA9">
        <f>IF(B9="","",IF(J9&gt;=$AE$2,1E+15,M9*1E+10+P9*1E+8+ROUND(100*(D9*V9+$AF$5*Y9*AI9+$AF$4*S9),0)+1E+6))</f>
        <v>20001000065</v>
      </c>
      <c r="AB9">
        <f>IF(B9="","",IF(K9&gt;=$AF$2,1E+15,N9*1E+10+Q9*1E+8+ROUND(100*(D9*W9+$AF$5*Y9*AJ9+$AF$4*T9),0)+1E+6))</f>
        <v>10001000371</v>
      </c>
      <c r="AC9">
        <f>IF(B9="","",IF(L9&gt;=$AG$2,1E+15,O9*1E+10+R9*1E+8+ROUND(100*(D9*X9+$AF$5*Y9*AK9+$AF$4*U9),0)+1E+6))</f>
        <v>20001000275</v>
      </c>
      <c r="AI9">
        <f>SUMIFS($Y$1:Y8,$Z$1:Z8,1,$C$1:C8,C9)</f>
        <v>0.952501817260833</v>
      </c>
      <c r="AJ9">
        <f>SUMIFS($Y$1:Y8,$Z$1:Z8,2,$C$1:C8,C9)</f>
        <v>-0.889282670097504</v>
      </c>
      <c r="AK9">
        <f>SUMIFS($Y$1:Y8,$Z$1:Z8,3,$C$1:C8,C9)</f>
        <v>-0.413031761467088</v>
      </c>
    </row>
    <row r="10">
      <c r="A10" t="n">
        <v>9</v>
      </c>
      <c r="B10">
        <f>IFERROR(MATCH(A10,'①名簿入力'!$AF$4:$AF$153,0),"")</f>
        <v>72</v>
      </c>
      <c r="C10">
        <f>IF(B10="","",INDEX('①名簿入力'!$X$4:$X$153,B10))</f>
        <v>2</v>
      </c>
      <c r="D10">
        <f>IF(B10="","",(INDEX('①名簿入力'!$AD$4:$AD$153,B10)-'設定'!$C$37)/'設定'!$C$38)</f>
        <v>1.27790465349533</v>
      </c>
      <c r="E10" t="str">
        <f>IF(B10="","",INDEX('①名簿入力'!$B$4:$B$153,B10)&amp;"")</f>
        <v>3</v>
      </c>
      <c r="F10">
        <f>IF(B10="",0,INDEX('①名簿入力'!$Y$4:$Y$153,B10))</f>
        <v>1</v>
      </c>
      <c r="G10">
        <f>IF(B10="",0,INDEX('①名簿入力'!$Z$4:$Z$153,B10))</f>
        <v>0</v>
      </c>
      <c r="H10">
        <f>IF(B10="",0,INDEX('①名簿入力'!$AA$4:$AA$153,B10))</f>
        <v>0</v>
      </c>
      <c r="I10">
        <f>IF(B10="",0,INDEX('①名簿入力'!$AB$4:$AB$153,B10))</f>
        <v>0</v>
      </c>
      <c r="J10">
        <f>COUNTIF($Z$1:Z9,1)</f>
        <v>3</v>
      </c>
      <c r="K10">
        <f>COUNTIF($Z$1:Z9,2)</f>
        <v>3</v>
      </c>
      <c r="L10">
        <f>COUNTIF($Z$1:Z9,3)</f>
        <v>2</v>
      </c>
      <c r="M10">
        <f>COUNTIFS($Z$1:Z9,1,$C$1:C9,C10)</f>
        <v>1</v>
      </c>
      <c r="N10">
        <f>COUNTIFS($Z$1:Z9,2,$C$1:C9,C10)</f>
        <v>1</v>
      </c>
      <c r="O10">
        <f>COUNTIFS($Z$1:Z9,3,$C$1:C9,C10)</f>
        <v>0</v>
      </c>
      <c r="P10">
        <f>F10*COUNTIFS($Z$1:Z9,1,$F$1:F9,1)+G10*COUNTIFS($Z$1:Z9,1,$G$1:G9,1)+H10*COUNTIFS($Z$1:Z9,1,$H$1:H9,1)+I10*COUNTIFS($Z$1:Z9,1,$I$1:I9,1)</f>
        <v>0</v>
      </c>
      <c r="Q10">
        <f>F10*COUNTIFS($Z$1:Z9,2,$F$1:F9,1)+G10*COUNTIFS($Z$1:Z9,2,$G$1:G9,1)+H10*COUNTIFS($Z$1:Z9,2,$H$1:H9,1)+I10*COUNTIFS($Z$1:Z9,2,$I$1:I9,1)</f>
        <v>1</v>
      </c>
      <c r="R10">
        <f>F10*COUNTIFS($Z$1:Z9,3,$F$1:F9,1)+G10*COUNTIFS($Z$1:Z9,3,$G$1:G9,1)+H10*COUNTIFS($Z$1:Z9,3,$H$1:H9,1)+I10*COUNTIFS($Z$1:Z9,3,$I$1:I9,1)</f>
        <v>0</v>
      </c>
      <c r="S10">
        <f>IF(E10="",0,COUNTIFS($Z$1:Z9,1,$E$1:E9,E10))</f>
        <v>2</v>
      </c>
      <c r="T10">
        <f>IF(E10="",0,COUNTIFS($Z$1:Z9,2,$E$1:E9,E10))</f>
        <v>1</v>
      </c>
      <c r="U10">
        <f>IF(E10="",0,COUNTIFS($Z$1:Z9,3,$E$1:E9,E10))</f>
        <v>0</v>
      </c>
      <c r="V10">
        <f>SUMIF($Z$1:Z9,1,$D$1:D9)</f>
        <v>0.727142541036078</v>
      </c>
      <c r="W10">
        <f>SUMIF($Z$1:Z9,2,$D$1:D9)</f>
        <v>3.32590901692206</v>
      </c>
      <c r="X10">
        <f>SUMIF($Z$1:Z9,3,$D$1:D9)</f>
        <v>1.5401994198628</v>
      </c>
      <c r="Y10">
        <f>IF(B10="",0,INDEX('①名簿入力'!$AL$4:$AL$153,B10))</f>
        <v>0.712857836788965</v>
      </c>
      <c r="Z10">
        <f>IF(B10="","",MATCH(MIN(AA10:AC10),AA10:AC10,0))</f>
        <v>3</v>
      </c>
      <c r="AA10">
        <f>IF(B10="","",IF(J10&gt;=$AE$2,1E+15,M10*1E+10+P10*1E+8+ROUND(100*(D10*V10+$AF$5*Y10*AI10+$AF$4*S10),0)+1E+6))</f>
        <v>10001000145</v>
      </c>
      <c r="AB10">
        <f>IF(B10="","",IF(K10&gt;=$AF$2,1E+15,N10*1E+10+Q10*1E+8+ROUND(100*(D10*W10+$AF$5*Y10*AJ10+$AF$4*T10),0)+1E+6))</f>
        <v>10101000487</v>
      </c>
      <c r="AC10">
        <f>IF(B10="","",IF(L10&gt;=$AG$2,1E+15,O10*1E+10+R10*1E+8+ROUND(100*(D10*X10+$AF$5*Y10*AK10+$AF$4*U10),0)+1E+6))</f>
        <v>1000197</v>
      </c>
      <c r="AI10">
        <f>SUMIFS($Y$1:Y9,$Z$1:Z9,1,$C$1:C9,C10)</f>
        <v>0.0577992840639699</v>
      </c>
      <c r="AJ10">
        <f>SUMIFS($Y$1:Y9,$Z$1:Z9,2,$C$1:C9,C10)</f>
        <v>1.04038711315146</v>
      </c>
      <c r="AK10">
        <f>SUMIFS($Y$1:Y9,$Z$1:Z9,3,$C$1:C9,C10)</f>
        <v>0</v>
      </c>
    </row>
    <row r="11">
      <c r="A11" t="n">
        <v>10</v>
      </c>
      <c r="B11">
        <f>IFERROR(MATCH(A11,'①名簿入力'!$AF$4:$AF$153,0),"")</f>
        <v>87</v>
      </c>
      <c r="C11">
        <f>IF(B11="","",INDEX('①名簿入力'!$X$4:$X$153,B11))</f>
        <v>2</v>
      </c>
      <c r="D11">
        <f>IF(B11="","",(INDEX('①名簿入力'!$AD$4:$AD$153,B11)-'設定'!$C$37)/'設定'!$C$38)</f>
        <v>-1.20137830625796</v>
      </c>
      <c r="E11" t="str">
        <f>IF(B11="","",INDEX('①名簿入力'!$B$4:$B$153,B11)&amp;"")</f>
        <v>3</v>
      </c>
      <c r="F11">
        <f>IF(B11="",0,INDEX('①名簿入力'!$Y$4:$Y$153,B11))</f>
        <v>1</v>
      </c>
      <c r="G11">
        <f>IF(B11="",0,INDEX('①名簿入力'!$Z$4:$Z$153,B11))</f>
        <v>0</v>
      </c>
      <c r="H11">
        <f>IF(B11="",0,INDEX('①名簿入力'!$AA$4:$AA$153,B11))</f>
        <v>0</v>
      </c>
      <c r="I11">
        <f>IF(B11="",0,INDEX('①名簿入力'!$AB$4:$AB$153,B11))</f>
        <v>0</v>
      </c>
      <c r="J11">
        <f>COUNTIF($Z$1:Z10,1)</f>
        <v>3</v>
      </c>
      <c r="K11">
        <f>COUNTIF($Z$1:Z10,2)</f>
        <v>3</v>
      </c>
      <c r="L11">
        <f>COUNTIF($Z$1:Z10,3)</f>
        <v>3</v>
      </c>
      <c r="M11">
        <f>COUNTIFS($Z$1:Z10,1,$C$1:C10,C11)</f>
        <v>1</v>
      </c>
      <c r="N11">
        <f>COUNTIFS($Z$1:Z10,2,$C$1:C10,C11)</f>
        <v>1</v>
      </c>
      <c r="O11">
        <f>COUNTIFS($Z$1:Z10,3,$C$1:C10,C11)</f>
        <v>1</v>
      </c>
      <c r="P11">
        <f>F11*COUNTIFS($Z$1:Z10,1,$F$1:F10,1)+G11*COUNTIFS($Z$1:Z10,1,$G$1:G10,1)+H11*COUNTIFS($Z$1:Z10,1,$H$1:H10,1)+I11*COUNTIFS($Z$1:Z10,1,$I$1:I10,1)</f>
        <v>0</v>
      </c>
      <c r="Q11">
        <f>F11*COUNTIFS($Z$1:Z10,2,$F$1:F10,1)+G11*COUNTIFS($Z$1:Z10,2,$G$1:G10,1)+H11*COUNTIFS($Z$1:Z10,2,$H$1:H10,1)+I11*COUNTIFS($Z$1:Z10,2,$I$1:I10,1)</f>
        <v>1</v>
      </c>
      <c r="R11">
        <f>F11*COUNTIFS($Z$1:Z10,3,$F$1:F10,1)+G11*COUNTIFS($Z$1:Z10,3,$G$1:G10,1)+H11*COUNTIFS($Z$1:Z10,3,$H$1:H10,1)+I11*COUNTIFS($Z$1:Z10,3,$I$1:I10,1)</f>
        <v>1</v>
      </c>
      <c r="S11">
        <f>IF(E11="",0,COUNTIFS($Z$1:Z10,1,$E$1:E10,E11))</f>
        <v>2</v>
      </c>
      <c r="T11">
        <f>IF(E11="",0,COUNTIFS($Z$1:Z10,2,$E$1:E10,E11))</f>
        <v>1</v>
      </c>
      <c r="U11">
        <f>IF(E11="",0,COUNTIFS($Z$1:Z10,3,$E$1:E10,E11))</f>
        <v>1</v>
      </c>
      <c r="V11">
        <f>SUMIF($Z$1:Z10,1,$D$1:D10)</f>
        <v>0.727142541036078</v>
      </c>
      <c r="W11">
        <f>SUMIF($Z$1:Z10,2,$D$1:D10)</f>
        <v>3.32590901692206</v>
      </c>
      <c r="X11">
        <f>SUMIF($Z$1:Z10,3,$D$1:D10)</f>
        <v>2.81810407335813</v>
      </c>
      <c r="Y11">
        <f>IF(B11="",0,INDEX('①名簿入力'!$AL$4:$AL$153,B11))</f>
        <v>-0.269729992298529</v>
      </c>
      <c r="Z11">
        <f>IF(B11="","",MATCH(MIN(AA11:AC11),AA11:AC11,0))</f>
        <v>1</v>
      </c>
      <c r="AA11">
        <f>IF(B11="","",IF(J11&gt;=$AE$2,1E+15,M11*1E+10+P11*1E+8+ROUND(100*(D11*V11+$AF$5*Y11*AI11+$AF$4*S11),0)+1E+6))</f>
        <v>10000999962</v>
      </c>
      <c r="AB11">
        <f>IF(B11="","",IF(K11&gt;=$AF$2,1E+15,N11*1E+10+Q11*1E+8+ROUND(100*(D11*W11+$AF$5*Y11*AJ11+$AF$4*T11),0)+1E+6))</f>
        <v>10100999611</v>
      </c>
      <c r="AC11">
        <f>IF(B11="","",IF(L11&gt;=$AG$2,1E+15,O11*1E+10+R11*1E+8+ROUND(100*(D11*X11+$AF$5*Y11*AK11+$AF$4*U11),0)+1E+6))</f>
        <v>10100999677</v>
      </c>
      <c r="AI11">
        <f>SUMIFS($Y$1:Y10,$Z$1:Z10,1,$C$1:C10,C11)</f>
        <v>0.0577992840639699</v>
      </c>
      <c r="AJ11">
        <f>SUMIFS($Y$1:Y10,$Z$1:Z10,2,$C$1:C10,C11)</f>
        <v>1.04038711315146</v>
      </c>
      <c r="AK11">
        <f>SUMIFS($Y$1:Y10,$Z$1:Z10,3,$C$1:C10,C11)</f>
        <v>0.712857836788965</v>
      </c>
    </row>
    <row r="12">
      <c r="A12" t="n">
        <v>11</v>
      </c>
      <c r="B12">
        <f>IFERROR(MATCH(A12,'①名簿入力'!$AF$4:$AF$153,0),"")</f>
        <v>46</v>
      </c>
      <c r="C12">
        <f>IF(B12="","",INDEX('①名簿入力'!$X$4:$X$153,B12))</f>
        <v>2</v>
      </c>
      <c r="D12">
        <f>IF(B12="","",(INDEX('①名簿入力'!$AD$4:$AD$153,B12)-'設定'!$C$37)/'設定'!$C$38)</f>
        <v>-1.14163654819162</v>
      </c>
      <c r="E12" t="str">
        <f>IF(B12="","",INDEX('①名簿入力'!$B$4:$B$153,B12)&amp;"")</f>
        <v>2</v>
      </c>
      <c r="F12">
        <f>IF(B12="",0,INDEX('①名簿入力'!$Y$4:$Y$153,B12))</f>
        <v>1</v>
      </c>
      <c r="G12">
        <f>IF(B12="",0,INDEX('①名簿入力'!$Z$4:$Z$153,B12))</f>
        <v>0</v>
      </c>
      <c r="H12">
        <f>IF(B12="",0,INDEX('①名簿入力'!$AA$4:$AA$153,B12))</f>
        <v>0</v>
      </c>
      <c r="I12">
        <f>IF(B12="",0,INDEX('①名簿入力'!$AB$4:$AB$153,B12))</f>
        <v>0</v>
      </c>
      <c r="J12">
        <f>COUNTIF($Z$1:Z11,1)</f>
        <v>4</v>
      </c>
      <c r="K12">
        <f>COUNTIF($Z$1:Z11,2)</f>
        <v>3</v>
      </c>
      <c r="L12">
        <f>COUNTIF($Z$1:Z11,3)</f>
        <v>3</v>
      </c>
      <c r="M12">
        <f>COUNTIFS($Z$1:Z11,1,$C$1:C11,C12)</f>
        <v>2</v>
      </c>
      <c r="N12">
        <f>COUNTIFS($Z$1:Z11,2,$C$1:C11,C12)</f>
        <v>1</v>
      </c>
      <c r="O12">
        <f>COUNTIFS($Z$1:Z11,3,$C$1:C11,C12)</f>
        <v>1</v>
      </c>
      <c r="P12">
        <f>F12*COUNTIFS($Z$1:Z11,1,$F$1:F11,1)+G12*COUNTIFS($Z$1:Z11,1,$G$1:G11,1)+H12*COUNTIFS($Z$1:Z11,1,$H$1:H11,1)+I12*COUNTIFS($Z$1:Z11,1,$I$1:I11,1)</f>
        <v>1</v>
      </c>
      <c r="Q12">
        <f>F12*COUNTIFS($Z$1:Z11,2,$F$1:F11,1)+G12*COUNTIFS($Z$1:Z11,2,$G$1:G11,1)+H12*COUNTIFS($Z$1:Z11,2,$H$1:H11,1)+I12*COUNTIFS($Z$1:Z11,2,$I$1:I11,1)</f>
        <v>1</v>
      </c>
      <c r="R12">
        <f>F12*COUNTIFS($Z$1:Z11,3,$F$1:F11,1)+G12*COUNTIFS($Z$1:Z11,3,$G$1:G11,1)+H12*COUNTIFS($Z$1:Z11,3,$H$1:H11,1)+I12*COUNTIFS($Z$1:Z11,3,$I$1:I11,1)</f>
        <v>1</v>
      </c>
      <c r="S12">
        <f>IF(E12="",0,COUNTIFS($Z$1:Z11,1,$E$1:E11,E12))</f>
        <v>0</v>
      </c>
      <c r="T12">
        <f>IF(E12="",0,COUNTIFS($Z$1:Z11,2,$E$1:E11,E12))</f>
        <v>0</v>
      </c>
      <c r="U12">
        <f>IF(E12="",0,COUNTIFS($Z$1:Z11,3,$E$1:E11,E12))</f>
        <v>2</v>
      </c>
      <c r="V12">
        <f>SUMIF($Z$1:Z11,1,$D$1:D11)</f>
        <v>-0.474235765221887</v>
      </c>
      <c r="W12">
        <f>SUMIF($Z$1:Z11,2,$D$1:D11)</f>
        <v>3.32590901692206</v>
      </c>
      <c r="X12">
        <f>SUMIF($Z$1:Z11,3,$D$1:D11)</f>
        <v>2.81810407335813</v>
      </c>
      <c r="Y12">
        <f>IF(B12="",0,INDEX('①名簿入力'!$AL$4:$AL$153,B12))</f>
        <v>-0.105965354117278</v>
      </c>
      <c r="Z12">
        <f>IF(B12="","",MATCH(MIN(AA12:AC12),AA12:AC12,0))</f>
        <v>2</v>
      </c>
      <c r="AA12">
        <f>IF(B12="","",IF(J12&gt;=$AE$2,1E+15,M12*1E+10+P12*1E+8+ROUND(100*(D12*V12+$AF$5*Y12*AI12+$AF$4*S12),0)+1E+6))</f>
        <v>20101000055</v>
      </c>
      <c r="AB12">
        <f>IF(B12="","",IF(K12&gt;=$AF$2,1E+15,N12*1E+10+Q12*1E+8+ROUND(100*(D12*W12+$AF$5*Y12*AJ12+$AF$4*T12),0)+1E+6))</f>
        <v>10100999615</v>
      </c>
      <c r="AC12">
        <f>IF(B12="","",IF(L12&gt;=$AG$2,1E+15,O12*1E+10+R12*1E+8+ROUND(100*(D12*X12+$AF$5*Y12*AK12+$AF$4*U12),0)+1E+6))</f>
        <v>10100999724</v>
      </c>
      <c r="AI12">
        <f>SUMIFS($Y$1:Y11,$Z$1:Z11,1,$C$1:C11,C12)</f>
        <v>-0.211930708234559</v>
      </c>
      <c r="AJ12">
        <f>SUMIFS($Y$1:Y11,$Z$1:Z11,2,$C$1:C11,C12)</f>
        <v>1.04038711315146</v>
      </c>
      <c r="AK12">
        <f>SUMIFS($Y$1:Y11,$Z$1:Z11,3,$C$1:C11,C12)</f>
        <v>0.712857836788965</v>
      </c>
    </row>
    <row r="13">
      <c r="A13" t="n">
        <v>12</v>
      </c>
      <c r="B13">
        <f>IFERROR(MATCH(A13,'①名簿入力'!$AF$4:$AF$153,0),"")</f>
        <v>74</v>
      </c>
      <c r="C13">
        <f>IF(B13="","",INDEX('①名簿入力'!$X$4:$X$153,B13))</f>
        <v>2</v>
      </c>
      <c r="D13">
        <f>IF(B13="","",(INDEX('①名簿入力'!$AD$4:$AD$153,B13)-'設定'!$C$37)/'設定'!$C$38)</f>
        <v>0.934389544613849</v>
      </c>
      <c r="E13" t="str">
        <f>IF(B13="","",INDEX('①名簿入力'!$B$4:$B$153,B13)&amp;"")</f>
        <v>3</v>
      </c>
      <c r="F13">
        <f>IF(B13="",0,INDEX('①名簿入力'!$Y$4:$Y$153,B13))</f>
        <v>1</v>
      </c>
      <c r="G13">
        <f>IF(B13="",0,INDEX('①名簿入力'!$Z$4:$Z$153,B13))</f>
        <v>0</v>
      </c>
      <c r="H13">
        <f>IF(B13="",0,INDEX('①名簿入力'!$AA$4:$AA$153,B13))</f>
        <v>0</v>
      </c>
      <c r="I13">
        <f>IF(B13="",0,INDEX('①名簿入力'!$AB$4:$AB$153,B13))</f>
        <v>0</v>
      </c>
      <c r="J13">
        <f>COUNTIF($Z$1:Z12,1)</f>
        <v>4</v>
      </c>
      <c r="K13">
        <f>COUNTIF($Z$1:Z12,2)</f>
        <v>4</v>
      </c>
      <c r="L13">
        <f>COUNTIF($Z$1:Z12,3)</f>
        <v>3</v>
      </c>
      <c r="M13">
        <f>COUNTIFS($Z$1:Z12,1,$C$1:C12,C13)</f>
        <v>2</v>
      </c>
      <c r="N13">
        <f>COUNTIFS($Z$1:Z12,2,$C$1:C12,C13)</f>
        <v>2</v>
      </c>
      <c r="O13">
        <f>COUNTIFS($Z$1:Z12,3,$C$1:C12,C13)</f>
        <v>1</v>
      </c>
      <c r="P13">
        <f>F13*COUNTIFS($Z$1:Z12,1,$F$1:F12,1)+G13*COUNTIFS($Z$1:Z12,1,$G$1:G12,1)+H13*COUNTIFS($Z$1:Z12,1,$H$1:H12,1)+I13*COUNTIFS($Z$1:Z12,1,$I$1:I12,1)</f>
        <v>1</v>
      </c>
      <c r="Q13">
        <f>F13*COUNTIFS($Z$1:Z12,2,$F$1:F12,1)+G13*COUNTIFS($Z$1:Z12,2,$G$1:G12,1)+H13*COUNTIFS($Z$1:Z12,2,$H$1:H12,1)+I13*COUNTIFS($Z$1:Z12,2,$I$1:I12,1)</f>
        <v>2</v>
      </c>
      <c r="R13">
        <f>F13*COUNTIFS($Z$1:Z12,3,$F$1:F12,1)+G13*COUNTIFS($Z$1:Z12,3,$G$1:G12,1)+H13*COUNTIFS($Z$1:Z12,3,$H$1:H12,1)+I13*COUNTIFS($Z$1:Z12,3,$I$1:I12,1)</f>
        <v>1</v>
      </c>
      <c r="S13">
        <f>IF(E13="",0,COUNTIFS($Z$1:Z12,1,$E$1:E12,E13))</f>
        <v>3</v>
      </c>
      <c r="T13">
        <f>IF(E13="",0,COUNTIFS($Z$1:Z12,2,$E$1:E12,E13))</f>
        <v>1</v>
      </c>
      <c r="U13">
        <f>IF(E13="",0,COUNTIFS($Z$1:Z12,3,$E$1:E12,E13))</f>
        <v>1</v>
      </c>
      <c r="V13">
        <f>SUMIF($Z$1:Z12,1,$D$1:D12)</f>
        <v>-0.474235765221887</v>
      </c>
      <c r="W13">
        <f>SUMIF($Z$1:Z12,2,$D$1:D12)</f>
        <v>2.18427246873044</v>
      </c>
      <c r="X13">
        <f>SUMIF($Z$1:Z12,3,$D$1:D12)</f>
        <v>2.81810407335813</v>
      </c>
      <c r="Y13">
        <f>IF(B13="",0,INDEX('①名簿入力'!$AL$4:$AL$153,B13))</f>
        <v>-0.433494630479777</v>
      </c>
      <c r="Z13">
        <f>IF(B13="","",MATCH(MIN(AA13:AC13),AA13:AC13,0))</f>
        <v>3</v>
      </c>
      <c r="AA13">
        <f>IF(B13="","",IF(J13&gt;=$AE$2,1E+15,M13*1E+10+P13*1E+8+ROUND(100*(D13*V13+$AF$5*Y13*AI13+$AF$4*S13),0)+1E+6))</f>
        <v>20101000035</v>
      </c>
      <c r="AB13">
        <f>IF(B13="","",IF(K13&gt;=$AF$2,1E+15,N13*1E+10+Q13*1E+8+ROUND(100*(D13*W13+$AF$5*Y13*AJ13+$AF$4*T13),0)+1E+6))</f>
        <v>20201000209</v>
      </c>
      <c r="AC13">
        <f>IF(B13="","",IF(L13&gt;=$AG$2,1E+15,O13*1E+10+R13*1E+8+ROUND(100*(D13*X13+$AF$5*Y13*AK13+$AF$4*U13),0)+1E+6))</f>
        <v>10101000273</v>
      </c>
      <c r="AI13">
        <f>SUMIFS($Y$1:Y12,$Z$1:Z12,1,$C$1:C12,C13)</f>
        <v>-0.211930708234559</v>
      </c>
      <c r="AJ13">
        <f>SUMIFS($Y$1:Y12,$Z$1:Z12,2,$C$1:C12,C13)</f>
        <v>0.934421759034183</v>
      </c>
      <c r="AK13">
        <f>SUMIFS($Y$1:Y12,$Z$1:Z12,3,$C$1:C12,C13)</f>
        <v>0.712857836788965</v>
      </c>
    </row>
    <row r="14">
      <c r="A14" t="n">
        <v>13</v>
      </c>
      <c r="B14">
        <f>IFERROR(MATCH(A14,'①名簿入力'!$AF$4:$AF$153,0),"")</f>
        <v>38</v>
      </c>
      <c r="C14">
        <f>IF(B14="","",INDEX('①名簿入力'!$X$4:$X$153,B14))</f>
        <v>2</v>
      </c>
      <c r="D14">
        <f>IF(B14="","",(INDEX('①名簿入力'!$AD$4:$AD$153,B14)-'設定'!$C$37)/'設定'!$C$38)</f>
        <v>0.889583226064091</v>
      </c>
      <c r="E14" t="str">
        <f>IF(B14="","",INDEX('①名簿入力'!$B$4:$B$153,B14)&amp;"")</f>
        <v>2</v>
      </c>
      <c r="F14">
        <f>IF(B14="",0,INDEX('①名簿入力'!$Y$4:$Y$153,B14))</f>
        <v>1</v>
      </c>
      <c r="G14">
        <f>IF(B14="",0,INDEX('①名簿入力'!$Z$4:$Z$153,B14))</f>
        <v>0</v>
      </c>
      <c r="H14">
        <f>IF(B14="",0,INDEX('①名簿入力'!$AA$4:$AA$153,B14))</f>
        <v>0</v>
      </c>
      <c r="I14">
        <f>IF(B14="",0,INDEX('①名簿入力'!$AB$4:$AB$153,B14))</f>
        <v>0</v>
      </c>
      <c r="J14">
        <f>COUNTIF($Z$1:Z13,1)</f>
        <v>4</v>
      </c>
      <c r="K14">
        <f>COUNTIF($Z$1:Z13,2)</f>
        <v>4</v>
      </c>
      <c r="L14">
        <f>COUNTIF($Z$1:Z13,3)</f>
        <v>4</v>
      </c>
      <c r="M14">
        <f>COUNTIFS($Z$1:Z13,1,$C$1:C13,C14)</f>
        <v>2</v>
      </c>
      <c r="N14">
        <f>COUNTIFS($Z$1:Z13,2,$C$1:C13,C14)</f>
        <v>2</v>
      </c>
      <c r="O14">
        <f>COUNTIFS($Z$1:Z13,3,$C$1:C13,C14)</f>
        <v>2</v>
      </c>
      <c r="P14">
        <f>F14*COUNTIFS($Z$1:Z13,1,$F$1:F13,1)+G14*COUNTIFS($Z$1:Z13,1,$G$1:G13,1)+H14*COUNTIFS($Z$1:Z13,1,$H$1:H13,1)+I14*COUNTIFS($Z$1:Z13,1,$I$1:I13,1)</f>
        <v>1</v>
      </c>
      <c r="Q14">
        <f>F14*COUNTIFS($Z$1:Z13,2,$F$1:F13,1)+G14*COUNTIFS($Z$1:Z13,2,$G$1:G13,1)+H14*COUNTIFS($Z$1:Z13,2,$H$1:H13,1)+I14*COUNTIFS($Z$1:Z13,2,$I$1:I13,1)</f>
        <v>2</v>
      </c>
      <c r="R14">
        <f>F14*COUNTIFS($Z$1:Z13,3,$F$1:F13,1)+G14*COUNTIFS($Z$1:Z13,3,$G$1:G13,1)+H14*COUNTIFS($Z$1:Z13,3,$H$1:H13,1)+I14*COUNTIFS($Z$1:Z13,3,$I$1:I13,1)</f>
        <v>2</v>
      </c>
      <c r="S14">
        <f>IF(E14="",0,COUNTIFS($Z$1:Z13,1,$E$1:E13,E14))</f>
        <v>0</v>
      </c>
      <c r="T14">
        <f>IF(E14="",0,COUNTIFS($Z$1:Z13,2,$E$1:E13,E14))</f>
        <v>1</v>
      </c>
      <c r="U14">
        <f>IF(E14="",0,COUNTIFS($Z$1:Z13,3,$E$1:E13,E14))</f>
        <v>2</v>
      </c>
      <c r="V14">
        <f>SUMIF($Z$1:Z13,1,$D$1:D13)</f>
        <v>-0.474235765221887</v>
      </c>
      <c r="W14">
        <f>SUMIF($Z$1:Z13,2,$D$1:D13)</f>
        <v>2.18427246873044</v>
      </c>
      <c r="X14">
        <f>SUMIF($Z$1:Z13,3,$D$1:D13)</f>
        <v>3.75249361797198</v>
      </c>
      <c r="Y14">
        <f>IF(B14="",0,INDEX('①名簿入力'!$AL$4:$AL$153,B14))</f>
        <v>-1.25231782138602</v>
      </c>
      <c r="Z14">
        <f>IF(B14="","",MATCH(MIN(AA14:AC14),AA14:AC14,0))</f>
        <v>1</v>
      </c>
      <c r="AA14">
        <f>IF(B14="","",IF(J14&gt;=$AE$2,1E+15,M14*1E+10+P14*1E+8+ROUND(100*(D14*V14+$AF$5*Y14*AI14+$AF$4*S14),0)+1E+6))</f>
        <v>20100999971</v>
      </c>
      <c r="AB14">
        <f>IF(B14="","",IF(K14&gt;=$AF$2,1E+15,N14*1E+10+Q14*1E+8+ROUND(100*(D14*W14+$AF$5*Y14*AJ14+$AF$4*T14),0)+1E+6))</f>
        <v>20201000161</v>
      </c>
      <c r="AC14">
        <f>IF(B14="","",IF(L14&gt;=$AG$2,1E+15,O14*1E+10+R14*1E+8+ROUND(100*(D14*X14+$AF$5*Y14*AK14+$AF$4*U14),0)+1E+6))</f>
        <v>20201000366</v>
      </c>
      <c r="AI14">
        <f>SUMIFS($Y$1:Y13,$Z$1:Z13,1,$C$1:C13,C14)</f>
        <v>-0.211930708234559</v>
      </c>
      <c r="AJ14">
        <f>SUMIFS($Y$1:Y13,$Z$1:Z13,2,$C$1:C13,C14)</f>
        <v>0.934421759034183</v>
      </c>
      <c r="AK14">
        <f>SUMIFS($Y$1:Y13,$Z$1:Z13,3,$C$1:C13,C14)</f>
        <v>0.279363206309188</v>
      </c>
    </row>
    <row r="15">
      <c r="A15" t="n">
        <v>14</v>
      </c>
      <c r="B15">
        <f>IFERROR(MATCH(A15,'①名簿入力'!$AF$4:$AF$153,0),"")</f>
        <v>97</v>
      </c>
      <c r="C15">
        <f>IF(B15="","",INDEX('①名簿入力'!$X$4:$X$153,B15))</f>
        <v>2</v>
      </c>
      <c r="D15">
        <f>IF(B15="","",(INDEX('①名簿入力'!$AD$4:$AD$153,B15)-'設定'!$C$37)/'設定'!$C$38)</f>
        <v>0.262294766367474</v>
      </c>
      <c r="E15" t="str">
        <f>IF(B15="","",INDEX('①名簿入力'!$B$4:$B$153,B15)&amp;"")</f>
        <v>3</v>
      </c>
      <c r="F15">
        <f>IF(B15="",0,INDEX('①名簿入力'!$Y$4:$Y$153,B15))</f>
        <v>1</v>
      </c>
      <c r="G15">
        <f>IF(B15="",0,INDEX('①名簿入力'!$Z$4:$Z$153,B15))</f>
        <v>0</v>
      </c>
      <c r="H15">
        <f>IF(B15="",0,INDEX('①名簿入力'!$AA$4:$AA$153,B15))</f>
        <v>0</v>
      </c>
      <c r="I15">
        <f>IF(B15="",0,INDEX('①名簿入力'!$AB$4:$AB$153,B15))</f>
        <v>0</v>
      </c>
      <c r="J15">
        <f>COUNTIF($Z$1:Z14,1)</f>
        <v>5</v>
      </c>
      <c r="K15">
        <f>COUNTIF($Z$1:Z14,2)</f>
        <v>4</v>
      </c>
      <c r="L15">
        <f>COUNTIF($Z$1:Z14,3)</f>
        <v>4</v>
      </c>
      <c r="M15">
        <f>COUNTIFS($Z$1:Z14,1,$C$1:C14,C15)</f>
        <v>3</v>
      </c>
      <c r="N15">
        <f>COUNTIFS($Z$1:Z14,2,$C$1:C14,C15)</f>
        <v>2</v>
      </c>
      <c r="O15">
        <f>COUNTIFS($Z$1:Z14,3,$C$1:C14,C15)</f>
        <v>2</v>
      </c>
      <c r="P15">
        <f>F15*COUNTIFS($Z$1:Z14,1,$F$1:F14,1)+G15*COUNTIFS($Z$1:Z14,1,$G$1:G14,1)+H15*COUNTIFS($Z$1:Z14,1,$H$1:H14,1)+I15*COUNTIFS($Z$1:Z14,1,$I$1:I14,1)</f>
        <v>2</v>
      </c>
      <c r="Q15">
        <f>F15*COUNTIFS($Z$1:Z14,2,$F$1:F14,1)+G15*COUNTIFS($Z$1:Z14,2,$G$1:G14,1)+H15*COUNTIFS($Z$1:Z14,2,$H$1:H14,1)+I15*COUNTIFS($Z$1:Z14,2,$I$1:I14,1)</f>
        <v>2</v>
      </c>
      <c r="R15">
        <f>F15*COUNTIFS($Z$1:Z14,3,$F$1:F14,1)+G15*COUNTIFS($Z$1:Z14,3,$G$1:G14,1)+H15*COUNTIFS($Z$1:Z14,3,$H$1:H14,1)+I15*COUNTIFS($Z$1:Z14,3,$I$1:I14,1)</f>
        <v>2</v>
      </c>
      <c r="S15">
        <f>IF(E15="",0,COUNTIFS($Z$1:Z14,1,$E$1:E14,E15))</f>
        <v>3</v>
      </c>
      <c r="T15">
        <f>IF(E15="",0,COUNTIFS($Z$1:Z14,2,$E$1:E14,E15))</f>
        <v>1</v>
      </c>
      <c r="U15">
        <f>IF(E15="",0,COUNTIFS($Z$1:Z14,3,$E$1:E14,E15))</f>
        <v>2</v>
      </c>
      <c r="V15">
        <f>SUMIF($Z$1:Z14,1,$D$1:D14)</f>
        <v>0.415347460842204</v>
      </c>
      <c r="W15">
        <f>SUMIF($Z$1:Z14,2,$D$1:D14)</f>
        <v>2.18427246873044</v>
      </c>
      <c r="X15">
        <f>SUMIF($Z$1:Z14,3,$D$1:D14)</f>
        <v>3.75249361797198</v>
      </c>
      <c r="Y15">
        <f>IF(B15="",0,INDEX('①名簿入力'!$AL$4:$AL$153,B15))</f>
        <v>0.221563922245218</v>
      </c>
      <c r="Z15">
        <f>IF(B15="","",MATCH(MIN(AA15:AC15),AA15:AC15,0))</f>
        <v>2</v>
      </c>
      <c r="AA15">
        <f>IF(B15="","",IF(J15&gt;=$AE$2,1E+15,M15*1E+10+P15*1E+8+ROUND(100*(D15*V15+$AF$5*Y15*AI15+$AF$4*S15),0)+1E+6))</f>
        <v>30201000070</v>
      </c>
      <c r="AB15">
        <f>IF(B15="","",IF(K15&gt;=$AF$2,1E+15,N15*1E+10+Q15*1E+8+ROUND(100*(D15*W15+$AF$5*Y15*AJ15+$AF$4*T15),0)+1E+6))</f>
        <v>20201000093</v>
      </c>
      <c r="AC15">
        <f>IF(B15="","",IF(L15&gt;=$AG$2,1E+15,O15*1E+10+R15*1E+8+ROUND(100*(D15*X15+$AF$5*Y15*AK15+$AF$4*U15),0)+1E+6))</f>
        <v>20201000152</v>
      </c>
      <c r="AI15">
        <f>SUMIFS($Y$1:Y14,$Z$1:Z14,1,$C$1:C14,C15)</f>
        <v>-1.46424852962058</v>
      </c>
      <c r="AJ15">
        <f>SUMIFS($Y$1:Y14,$Z$1:Z14,2,$C$1:C14,C15)</f>
        <v>0.934421759034183</v>
      </c>
      <c r="AK15">
        <f>SUMIFS($Y$1:Y14,$Z$1:Z14,3,$C$1:C14,C15)</f>
        <v>0.279363206309188</v>
      </c>
    </row>
    <row r="16">
      <c r="A16" t="n">
        <v>15</v>
      </c>
      <c r="B16">
        <f>IFERROR(MATCH(A16,'①名簿入力'!$AF$4:$AF$153,0),"")</f>
        <v>82</v>
      </c>
      <c r="C16">
        <f>IF(B16="","",INDEX('①名簿入力'!$X$4:$X$153,B16))</f>
        <v>1</v>
      </c>
      <c r="D16">
        <f>IF(B16="","",(INDEX('①名簿入力'!$AD$4:$AD$153,B16)-'設定'!$C$37)/'設定'!$C$38)</f>
        <v>-0.185768419130109</v>
      </c>
      <c r="E16" t="str">
        <f>IF(B16="","",INDEX('①名簿入力'!$B$4:$B$153,B16)&amp;"")</f>
        <v>3</v>
      </c>
      <c r="F16">
        <f>IF(B16="",0,INDEX('①名簿入力'!$Y$4:$Y$153,B16))</f>
        <v>1</v>
      </c>
      <c r="G16">
        <f>IF(B16="",0,INDEX('①名簿入力'!$Z$4:$Z$153,B16))</f>
        <v>0</v>
      </c>
      <c r="H16">
        <f>IF(B16="",0,INDEX('①名簿入力'!$AA$4:$AA$153,B16))</f>
        <v>0</v>
      </c>
      <c r="I16">
        <f>IF(B16="",0,INDEX('①名簿入力'!$AB$4:$AB$153,B16))</f>
        <v>1</v>
      </c>
      <c r="J16">
        <f>COUNTIF($Z$1:Z15,1)</f>
        <v>5</v>
      </c>
      <c r="K16">
        <f>COUNTIF($Z$1:Z15,2)</f>
        <v>5</v>
      </c>
      <c r="L16">
        <f>COUNTIF($Z$1:Z15,3)</f>
        <v>4</v>
      </c>
      <c r="M16">
        <f>COUNTIFS($Z$1:Z15,1,$C$1:C15,C16)</f>
        <v>2</v>
      </c>
      <c r="N16">
        <f>COUNTIFS($Z$1:Z15,2,$C$1:C15,C16)</f>
        <v>2</v>
      </c>
      <c r="O16">
        <f>COUNTIFS($Z$1:Z15,3,$C$1:C15,C16)</f>
        <v>2</v>
      </c>
      <c r="P16">
        <f>F16*COUNTIFS($Z$1:Z15,1,$F$1:F15,1)+G16*COUNTIFS($Z$1:Z15,1,$G$1:G15,1)+H16*COUNTIFS($Z$1:Z15,1,$H$1:H15,1)+I16*COUNTIFS($Z$1:Z15,1,$I$1:I15,1)</f>
        <v>2</v>
      </c>
      <c r="Q16">
        <f>F16*COUNTIFS($Z$1:Z15,2,$F$1:F15,1)+G16*COUNTIFS($Z$1:Z15,2,$G$1:G15,1)+H16*COUNTIFS($Z$1:Z15,2,$H$1:H15,1)+I16*COUNTIFS($Z$1:Z15,2,$I$1:I15,1)</f>
        <v>3</v>
      </c>
      <c r="R16">
        <f>F16*COUNTIFS($Z$1:Z15,3,$F$1:F15,1)+G16*COUNTIFS($Z$1:Z15,3,$G$1:G15,1)+H16*COUNTIFS($Z$1:Z15,3,$H$1:H15,1)+I16*COUNTIFS($Z$1:Z15,3,$I$1:I15,1)</f>
        <v>2</v>
      </c>
      <c r="S16">
        <f>IF(E16="",0,COUNTIFS($Z$1:Z15,1,$E$1:E15,E16))</f>
        <v>3</v>
      </c>
      <c r="T16">
        <f>IF(E16="",0,COUNTIFS($Z$1:Z15,2,$E$1:E15,E16))</f>
        <v>2</v>
      </c>
      <c r="U16">
        <f>IF(E16="",0,COUNTIFS($Z$1:Z15,3,$E$1:E15,E16))</f>
        <v>2</v>
      </c>
      <c r="V16">
        <f>SUMIF($Z$1:Z15,1,$D$1:D15)</f>
        <v>0.415347460842204</v>
      </c>
      <c r="W16">
        <f>SUMIF($Z$1:Z15,2,$D$1:D15)</f>
        <v>2.44656723509791</v>
      </c>
      <c r="X16">
        <f>SUMIF($Z$1:Z15,3,$D$1:D15)</f>
        <v>3.75249361797198</v>
      </c>
      <c r="Y16">
        <f>IF(B16="",0,INDEX('①名簿入力'!$AL$4:$AL$153,B16))</f>
        <v>0.703839838418404</v>
      </c>
      <c r="Z16">
        <f>IF(B16="","",MATCH(MIN(AA16:AC16),AA16:AC16,0))</f>
        <v>3</v>
      </c>
      <c r="AA16">
        <f>IF(B16="","",IF(J16&gt;=$AE$2,1E+15,M16*1E+10+P16*1E+8+ROUND(100*(D16*V16+$AF$5*Y16*AI16+$AF$4*S16),0)+1E+6))</f>
        <v>20201000101</v>
      </c>
      <c r="AB16">
        <f>IF(B16="","",IF(K16&gt;=$AF$2,1E+15,N16*1E+10+Q16*1E+8+ROUND(100*(D16*W16+$AF$5*Y16*AJ16+$AF$4*T16),0)+1E+6))</f>
        <v>20300999918</v>
      </c>
      <c r="AC16">
        <f>IF(B16="","",IF(L16&gt;=$AG$2,1E+15,O16*1E+10+R16*1E+8+ROUND(100*(D16*X16+$AF$5*Y16*AK16+$AF$4*U16),0)+1E+6))</f>
        <v>20200999966</v>
      </c>
      <c r="AI16">
        <f>SUMIFS($Y$1:Y15,$Z$1:Z15,1,$C$1:C15,C16)</f>
        <v>0.952501817260833</v>
      </c>
      <c r="AJ16">
        <f>SUMIFS($Y$1:Y15,$Z$1:Z15,2,$C$1:C15,C16)</f>
        <v>-2.46133212955897</v>
      </c>
      <c r="AK16">
        <f>SUMIFS($Y$1:Y15,$Z$1:Z15,3,$C$1:C15,C16)</f>
        <v>-0.413031761467088</v>
      </c>
    </row>
    <row r="17">
      <c r="A17" t="n">
        <v>16</v>
      </c>
      <c r="B17">
        <f>IFERROR(MATCH(A17,'①名簿入力'!$AF$4:$AF$153,0),"")</f>
        <v>5</v>
      </c>
      <c r="C17">
        <f>IF(B17="","",INDEX('①名簿入力'!$X$4:$X$153,B17))</f>
        <v>1</v>
      </c>
      <c r="D17">
        <f>IF(B17="","",(INDEX('①名簿入力'!$AD$4:$AD$153,B17)-'設定'!$C$37)/'設定'!$C$38)</f>
        <v>-3.21766264099709</v>
      </c>
      <c r="E17" t="str">
        <f>IF(B17="","",INDEX('①名簿入力'!$B$4:$B$153,B17)&amp;"")</f>
        <v>1</v>
      </c>
      <c r="F17">
        <f>IF(B17="",0,INDEX('①名簿入力'!$Y$4:$Y$153,B17))</f>
        <v>0</v>
      </c>
      <c r="G17">
        <f>IF(B17="",0,INDEX('①名簿入力'!$Z$4:$Z$153,B17))</f>
        <v>1</v>
      </c>
      <c r="H17">
        <f>IF(B17="",0,INDEX('①名簿入力'!$AA$4:$AA$153,B17))</f>
        <v>0</v>
      </c>
      <c r="I17">
        <f>IF(B17="",0,INDEX('①名簿入力'!$AB$4:$AB$153,B17))</f>
        <v>0</v>
      </c>
      <c r="J17">
        <f>COUNTIF($Z$1:Z16,1)</f>
        <v>5</v>
      </c>
      <c r="K17">
        <f>COUNTIF($Z$1:Z16,2)</f>
        <v>5</v>
      </c>
      <c r="L17">
        <f>COUNTIF($Z$1:Z16,3)</f>
        <v>5</v>
      </c>
      <c r="M17">
        <f>COUNTIFS($Z$1:Z16,1,$C$1:C16,C17)</f>
        <v>2</v>
      </c>
      <c r="N17">
        <f>COUNTIFS($Z$1:Z16,2,$C$1:C16,C17)</f>
        <v>2</v>
      </c>
      <c r="O17">
        <f>COUNTIFS($Z$1:Z16,3,$C$1:C16,C17)</f>
        <v>3</v>
      </c>
      <c r="P17">
        <f>F17*COUNTIFS($Z$1:Z16,1,$F$1:F16,1)+G17*COUNTIFS($Z$1:Z16,1,$G$1:G16,1)+H17*COUNTIFS($Z$1:Z16,1,$H$1:H16,1)+I17*COUNTIFS($Z$1:Z16,1,$I$1:I16,1)</f>
        <v>0</v>
      </c>
      <c r="Q17">
        <f>F17*COUNTIFS($Z$1:Z16,2,$F$1:F16,1)+G17*COUNTIFS($Z$1:Z16,2,$G$1:G16,1)+H17*COUNTIFS($Z$1:Z16,2,$H$1:H16,1)+I17*COUNTIFS($Z$1:Z16,2,$I$1:I16,1)</f>
        <v>0</v>
      </c>
      <c r="R17">
        <f>F17*COUNTIFS($Z$1:Z16,3,$F$1:F16,1)+G17*COUNTIFS($Z$1:Z16,3,$G$1:G16,1)+H17*COUNTIFS($Z$1:Z16,3,$H$1:H16,1)+I17*COUNTIFS($Z$1:Z16,3,$I$1:I16,1)</f>
        <v>0</v>
      </c>
      <c r="S17">
        <f>IF(E17="",0,COUNTIFS($Z$1:Z16,1,$E$1:E16,E17))</f>
        <v>1</v>
      </c>
      <c r="T17">
        <f>IF(E17="",0,COUNTIFS($Z$1:Z16,2,$E$1:E16,E17))</f>
        <v>2</v>
      </c>
      <c r="U17">
        <f>IF(E17="",0,COUNTIFS($Z$1:Z16,3,$E$1:E16,E17))</f>
        <v>0</v>
      </c>
      <c r="V17">
        <f>SUMIF($Z$1:Z16,1,$D$1:D16)</f>
        <v>0.415347460842204</v>
      </c>
      <c r="W17">
        <f>SUMIF($Z$1:Z16,2,$D$1:D16)</f>
        <v>2.44656723509791</v>
      </c>
      <c r="X17">
        <f>SUMIF($Z$1:Z16,3,$D$1:D16)</f>
        <v>3.56672519884187</v>
      </c>
      <c r="Y17">
        <f>IF(B17="",0,INDEX('①名簿入力'!$AL$4:$AL$153,B17))</f>
        <v>-0.43410481052153</v>
      </c>
      <c r="Z17">
        <f>IF(B17="","",MATCH(MIN(AA17:AC17),AA17:AC17,0))</f>
        <v>2</v>
      </c>
      <c r="AA17">
        <f>IF(B17="","",IF(J17&gt;=$AE$2,1E+15,M17*1E+10+P17*1E+8+ROUND(100*(D17*V17+$AF$5*Y17*AI17+$AF$4*S17),0)+1E+6))</f>
        <v>20000999871</v>
      </c>
      <c r="AB17">
        <f>IF(B17="","",IF(K17&gt;=$AF$2,1E+15,N17*1E+10+Q17*1E+8+ROUND(100*(D17*W17+$AF$5*Y17*AJ17+$AF$4*T17),0)+1E+6))</f>
        <v>20000999316</v>
      </c>
      <c r="AC17">
        <f>IF(B17="","",IF(L17&gt;=$AG$2,1E+15,O17*1E+10+R17*1E+8+ROUND(100*(D17*X17+$AF$5*Y17*AK17+$AF$4*U17),0)+1E+6))</f>
        <v>30000998846</v>
      </c>
      <c r="AI17">
        <f>SUMIFS($Y$1:Y16,$Z$1:Z16,1,$C$1:C16,C17)</f>
        <v>0.952501817260833</v>
      </c>
      <c r="AJ17">
        <f>SUMIFS($Y$1:Y16,$Z$1:Z16,2,$C$1:C16,C17)</f>
        <v>-2.46133212955897</v>
      </c>
      <c r="AK17">
        <f>SUMIFS($Y$1:Y16,$Z$1:Z16,3,$C$1:C16,C17)</f>
        <v>0.290808076951316</v>
      </c>
    </row>
    <row r="18">
      <c r="A18" t="n">
        <v>17</v>
      </c>
      <c r="B18">
        <f>IFERROR(MATCH(A18,'①名簿入力'!$AF$4:$AF$153,0),"")</f>
        <v>39</v>
      </c>
      <c r="C18">
        <f>IF(B18="","",INDEX('①名簿入力'!$X$4:$X$153,B18))</f>
        <v>1</v>
      </c>
      <c r="D18">
        <f>IF(B18="","",(INDEX('①名簿入力'!$AD$4:$AD$153,B18)-'設定'!$C$37)/'設定'!$C$38)</f>
        <v>-1.380603580457</v>
      </c>
      <c r="E18" t="str">
        <f>IF(B18="","",INDEX('①名簿入力'!$B$4:$B$153,B18)&amp;"")</f>
        <v>2</v>
      </c>
      <c r="F18">
        <f>IF(B18="",0,INDEX('①名簿入力'!$Y$4:$Y$153,B18))</f>
        <v>0</v>
      </c>
      <c r="G18">
        <f>IF(B18="",0,INDEX('①名簿入力'!$Z$4:$Z$153,B18))</f>
        <v>1</v>
      </c>
      <c r="H18">
        <f>IF(B18="",0,INDEX('①名簿入力'!$AA$4:$AA$153,B18))</f>
        <v>0</v>
      </c>
      <c r="I18">
        <f>IF(B18="",0,INDEX('①名簿入力'!$AB$4:$AB$153,B18))</f>
        <v>0</v>
      </c>
      <c r="J18">
        <f>COUNTIF($Z$1:Z17,1)</f>
        <v>5</v>
      </c>
      <c r="K18">
        <f>COUNTIF($Z$1:Z17,2)</f>
        <v>6</v>
      </c>
      <c r="L18">
        <f>COUNTIF($Z$1:Z17,3)</f>
        <v>5</v>
      </c>
      <c r="M18">
        <f>COUNTIFS($Z$1:Z17,1,$C$1:C17,C18)</f>
        <v>2</v>
      </c>
      <c r="N18">
        <f>COUNTIFS($Z$1:Z17,2,$C$1:C17,C18)</f>
        <v>3</v>
      </c>
      <c r="O18">
        <f>COUNTIFS($Z$1:Z17,3,$C$1:C17,C18)</f>
        <v>3</v>
      </c>
      <c r="P18">
        <f>F18*COUNTIFS($Z$1:Z17,1,$F$1:F17,1)+G18*COUNTIFS($Z$1:Z17,1,$G$1:G17,1)+H18*COUNTIFS($Z$1:Z17,1,$H$1:H17,1)+I18*COUNTIFS($Z$1:Z17,1,$I$1:I17,1)</f>
        <v>0</v>
      </c>
      <c r="Q18">
        <f>F18*COUNTIFS($Z$1:Z17,2,$F$1:F17,1)+G18*COUNTIFS($Z$1:Z17,2,$G$1:G17,1)+H18*COUNTIFS($Z$1:Z17,2,$H$1:H17,1)+I18*COUNTIFS($Z$1:Z17,2,$I$1:I17,1)</f>
        <v>1</v>
      </c>
      <c r="R18">
        <f>F18*COUNTIFS($Z$1:Z17,3,$F$1:F17,1)+G18*COUNTIFS($Z$1:Z17,3,$G$1:G17,1)+H18*COUNTIFS($Z$1:Z17,3,$H$1:H17,1)+I18*COUNTIFS($Z$1:Z17,3,$I$1:I17,1)</f>
        <v>0</v>
      </c>
      <c r="S18">
        <f>IF(E18="",0,COUNTIFS($Z$1:Z17,1,$E$1:E17,E18))</f>
        <v>1</v>
      </c>
      <c r="T18">
        <f>IF(E18="",0,COUNTIFS($Z$1:Z17,2,$E$1:E17,E18))</f>
        <v>1</v>
      </c>
      <c r="U18">
        <f>IF(E18="",0,COUNTIFS($Z$1:Z17,3,$E$1:E17,E18))</f>
        <v>2</v>
      </c>
      <c r="V18">
        <f>SUMIF($Z$1:Z17,1,$D$1:D17)</f>
        <v>0.415347460842204</v>
      </c>
      <c r="W18">
        <f>SUMIF($Z$1:Z17,2,$D$1:D17)</f>
        <v>-0.771095405899175</v>
      </c>
      <c r="X18">
        <f>SUMIF($Z$1:Z17,3,$D$1:D17)</f>
        <v>3.56672519884187</v>
      </c>
      <c r="Y18">
        <f>IF(B18="",0,INDEX('①名簿入力'!$AL$4:$AL$153,B18))</f>
        <v>0.703839838418404</v>
      </c>
      <c r="Z18">
        <f>IF(B18="","",MATCH(MIN(AA18:AC18),AA18:AC18,0))</f>
        <v>1</v>
      </c>
      <c r="AA18">
        <f>IF(B18="","",IF(J18&gt;=$AE$2,1E+15,M18*1E+10+P18*1E+8+ROUND(100*(D18*V18+$AF$5*Y18*AI18+$AF$4*S18),0)+1E+6))</f>
        <v>20001000001</v>
      </c>
      <c r="AB18">
        <f>IF(B18="","",IF(K18&gt;=$AF$2,1E+15,N18*1E+10+Q18*1E+8+ROUND(100*(D18*W18+$AF$5*Y18*AJ18+$AF$4*T18),0)+1E+6))</f>
        <v>30101000030</v>
      </c>
      <c r="AC18">
        <f>IF(B18="","",IF(L18&gt;=$AG$2,1E+15,O18*1E+10+R18*1E+8+ROUND(100*(D18*X18+$AF$5*Y18*AK18+$AF$4*U18),0)+1E+6))</f>
        <v>30000999568</v>
      </c>
      <c r="AI18">
        <f>SUMIFS($Y$1:Y17,$Z$1:Z17,1,$C$1:C17,C18)</f>
        <v>0.952501817260833</v>
      </c>
      <c r="AJ18">
        <f>SUMIFS($Y$1:Y17,$Z$1:Z17,2,$C$1:C17,C18)</f>
        <v>-2.8954369400805</v>
      </c>
      <c r="AK18">
        <f>SUMIFS($Y$1:Y17,$Z$1:Z17,3,$C$1:C17,C18)</f>
        <v>0.290808076951316</v>
      </c>
    </row>
    <row r="19">
      <c r="A19" t="n">
        <v>18</v>
      </c>
      <c r="B19">
        <f>IFERROR(MATCH(A19,'①名簿入力'!$AF$4:$AF$153,0),"")</f>
        <v>95</v>
      </c>
      <c r="C19">
        <f>IF(B19="","",INDEX('①名簿入力'!$X$4:$X$153,B19))</f>
        <v>2</v>
      </c>
      <c r="D19">
        <f>IF(B19="","",(INDEX('①名簿入力'!$AD$4:$AD$153,B19)-'設定'!$C$37)/'設定'!$C$38)</f>
        <v>-1.0520239110921</v>
      </c>
      <c r="E19" t="str">
        <f>IF(B19="","",INDEX('①名簿入力'!$B$4:$B$153,B19)&amp;"")</f>
        <v>3</v>
      </c>
      <c r="F19">
        <f>IF(B19="",0,INDEX('①名簿入力'!$Y$4:$Y$153,B19))</f>
        <v>0</v>
      </c>
      <c r="G19">
        <f>IF(B19="",0,INDEX('①名簿入力'!$Z$4:$Z$153,B19))</f>
        <v>1</v>
      </c>
      <c r="H19">
        <f>IF(B19="",0,INDEX('①名簿入力'!$AA$4:$AA$153,B19))</f>
        <v>0</v>
      </c>
      <c r="I19">
        <f>IF(B19="",0,INDEX('①名簿入力'!$AB$4:$AB$153,B19))</f>
        <v>0</v>
      </c>
      <c r="J19">
        <f>COUNTIF($Z$1:Z18,1)</f>
        <v>6</v>
      </c>
      <c r="K19">
        <f>COUNTIF($Z$1:Z18,2)</f>
        <v>6</v>
      </c>
      <c r="L19">
        <f>COUNTIF($Z$1:Z18,3)</f>
        <v>5</v>
      </c>
      <c r="M19">
        <f>COUNTIFS($Z$1:Z18,1,$C$1:C18,C19)</f>
        <v>3</v>
      </c>
      <c r="N19">
        <f>COUNTIFS($Z$1:Z18,2,$C$1:C18,C19)</f>
        <v>3</v>
      </c>
      <c r="O19">
        <f>COUNTIFS($Z$1:Z18,3,$C$1:C18,C19)</f>
        <v>2</v>
      </c>
      <c r="P19">
        <f>F19*COUNTIFS($Z$1:Z18,1,$F$1:F18,1)+G19*COUNTIFS($Z$1:Z18,1,$G$1:G18,1)+H19*COUNTIFS($Z$1:Z18,1,$H$1:H18,1)+I19*COUNTIFS($Z$1:Z18,1,$I$1:I18,1)</f>
        <v>1</v>
      </c>
      <c r="Q19">
        <f>F19*COUNTIFS($Z$1:Z18,2,$F$1:F18,1)+G19*COUNTIFS($Z$1:Z18,2,$G$1:G18,1)+H19*COUNTIFS($Z$1:Z18,2,$H$1:H18,1)+I19*COUNTIFS($Z$1:Z18,2,$I$1:I18,1)</f>
        <v>1</v>
      </c>
      <c r="R19">
        <f>F19*COUNTIFS($Z$1:Z18,3,$F$1:F18,1)+G19*COUNTIFS($Z$1:Z18,3,$G$1:G18,1)+H19*COUNTIFS($Z$1:Z18,3,$H$1:H18,1)+I19*COUNTIFS($Z$1:Z18,3,$I$1:I18,1)</f>
        <v>0</v>
      </c>
      <c r="S19">
        <f>IF(E19="",0,COUNTIFS($Z$1:Z18,1,$E$1:E18,E19))</f>
        <v>3</v>
      </c>
      <c r="T19">
        <f>IF(E19="",0,COUNTIFS($Z$1:Z18,2,$E$1:E18,E19))</f>
        <v>2</v>
      </c>
      <c r="U19">
        <f>IF(E19="",0,COUNTIFS($Z$1:Z18,3,$E$1:E18,E19))</f>
        <v>3</v>
      </c>
      <c r="V19">
        <f>SUMIF($Z$1:Z18,1,$D$1:D18)</f>
        <v>-0.965256119614793</v>
      </c>
      <c r="W19">
        <f>SUMIF($Z$1:Z18,2,$D$1:D18)</f>
        <v>-0.771095405899175</v>
      </c>
      <c r="X19">
        <f>SUMIF($Z$1:Z18,3,$D$1:D18)</f>
        <v>3.56672519884187</v>
      </c>
      <c r="Y19">
        <f>IF(B19="",0,INDEX('①名簿入力'!$AL$4:$AL$153,B19))</f>
        <v>1.36791638951396</v>
      </c>
      <c r="Z19">
        <f>IF(B19="","",MATCH(MIN(AA19:AC19),AA19:AC19,0))</f>
        <v>3</v>
      </c>
      <c r="AA19">
        <f>IF(B19="","",IF(J19&gt;=$AE$2,1E+15,M19*1E+10+P19*1E+8+ROUND(100*(D19*V19+$AF$5*Y19*AI19+$AF$4*S19),0)+1E+6))</f>
        <v>30101000076</v>
      </c>
      <c r="AB19">
        <f>IF(B19="","",IF(K19&gt;=$AF$2,1E+15,N19*1E+10+Q19*1E+8+ROUND(100*(D19*W19+$AF$5*Y19*AJ19+$AF$4*T19),0)+1E+6))</f>
        <v>30101000210</v>
      </c>
      <c r="AC19">
        <f>IF(B19="","",IF(L19&gt;=$AG$2,1E+15,O19*1E+10+R19*1E+8+ROUND(100*(D19*X19+$AF$5*Y19*AK19+$AF$4*U19),0)+1E+6))</f>
        <v>20000999719</v>
      </c>
      <c r="AI19">
        <f>SUMIFS($Y$1:Y18,$Z$1:Z18,1,$C$1:C18,C19)</f>
        <v>-1.46424852962058</v>
      </c>
      <c r="AJ19">
        <f>SUMIFS($Y$1:Y18,$Z$1:Z18,2,$C$1:C18,C19)</f>
        <v>1.1559856812794</v>
      </c>
      <c r="AK19">
        <f>SUMIFS($Y$1:Y18,$Z$1:Z18,3,$C$1:C18,C19)</f>
        <v>0.279363206309188</v>
      </c>
    </row>
    <row r="20">
      <c r="A20" t="n">
        <v>19</v>
      </c>
      <c r="B20">
        <f>IFERROR(MATCH(A20,'①名簿入力'!$AF$4:$AF$153,0),"")</f>
        <v>80</v>
      </c>
      <c r="C20">
        <f>IF(B20="","",INDEX('①名簿入力'!$X$4:$X$153,B20))</f>
        <v>1</v>
      </c>
      <c r="D20">
        <f>IF(B20="","",(INDEX('①名簿入力'!$AD$4:$AD$153,B20)-'設定'!$C$37)/'設定'!$C$38)</f>
        <v>-0.917604955442828</v>
      </c>
      <c r="E20" t="str">
        <f>IF(B20="","",INDEX('①名簿入力'!$B$4:$B$153,B20)&amp;"")</f>
        <v>3</v>
      </c>
      <c r="F20">
        <f>IF(B20="",0,INDEX('①名簿入力'!$Y$4:$Y$153,B20))</f>
        <v>0</v>
      </c>
      <c r="G20">
        <f>IF(B20="",0,INDEX('①名簿入力'!$Z$4:$Z$153,B20))</f>
        <v>1</v>
      </c>
      <c r="H20">
        <f>IF(B20="",0,INDEX('①名簿入力'!$AA$4:$AA$153,B20))</f>
        <v>0</v>
      </c>
      <c r="I20">
        <f>IF(B20="",0,INDEX('①名簿入力'!$AB$4:$AB$153,B20))</f>
        <v>0</v>
      </c>
      <c r="J20">
        <f>COUNTIF($Z$1:Z19,1)</f>
        <v>6</v>
      </c>
      <c r="K20">
        <f>COUNTIF($Z$1:Z19,2)</f>
        <v>6</v>
      </c>
      <c r="L20">
        <f>COUNTIF($Z$1:Z19,3)</f>
        <v>6</v>
      </c>
      <c r="M20">
        <f>COUNTIFS($Z$1:Z19,1,$C$1:C19,C20)</f>
        <v>3</v>
      </c>
      <c r="N20">
        <f>COUNTIFS($Z$1:Z19,2,$C$1:C19,C20)</f>
        <v>3</v>
      </c>
      <c r="O20">
        <f>COUNTIFS($Z$1:Z19,3,$C$1:C19,C20)</f>
        <v>3</v>
      </c>
      <c r="P20">
        <f>F20*COUNTIFS($Z$1:Z19,1,$F$1:F19,1)+G20*COUNTIFS($Z$1:Z19,1,$G$1:G19,1)+H20*COUNTIFS($Z$1:Z19,1,$H$1:H19,1)+I20*COUNTIFS($Z$1:Z19,1,$I$1:I19,1)</f>
        <v>1</v>
      </c>
      <c r="Q20">
        <f>F20*COUNTIFS($Z$1:Z19,2,$F$1:F19,1)+G20*COUNTIFS($Z$1:Z19,2,$G$1:G19,1)+H20*COUNTIFS($Z$1:Z19,2,$H$1:H19,1)+I20*COUNTIFS($Z$1:Z19,2,$I$1:I19,1)</f>
        <v>1</v>
      </c>
      <c r="R20">
        <f>F20*COUNTIFS($Z$1:Z19,3,$F$1:F19,1)+G20*COUNTIFS($Z$1:Z19,3,$G$1:G19,1)+H20*COUNTIFS($Z$1:Z19,3,$H$1:H19,1)+I20*COUNTIFS($Z$1:Z19,3,$I$1:I19,1)</f>
        <v>1</v>
      </c>
      <c r="S20">
        <f>IF(E20="",0,COUNTIFS($Z$1:Z19,1,$E$1:E19,E20))</f>
        <v>3</v>
      </c>
      <c r="T20">
        <f>IF(E20="",0,COUNTIFS($Z$1:Z19,2,$E$1:E19,E20))</f>
        <v>2</v>
      </c>
      <c r="U20">
        <f>IF(E20="",0,COUNTIFS($Z$1:Z19,3,$E$1:E19,E20))</f>
        <v>4</v>
      </c>
      <c r="V20">
        <f>SUMIF($Z$1:Z19,1,$D$1:D19)</f>
        <v>-0.965256119614793</v>
      </c>
      <c r="W20">
        <f>SUMIF($Z$1:Z19,2,$D$1:D19)</f>
        <v>-0.771095405899175</v>
      </c>
      <c r="X20">
        <f>SUMIF($Z$1:Z19,3,$D$1:D19)</f>
        <v>2.51470128774977</v>
      </c>
      <c r="Y20">
        <f>IF(B20="",0,INDEX('①名簿入力'!$AL$4:$AL$153,B20))</f>
        <v>0.24866197884243</v>
      </c>
      <c r="Z20">
        <f>IF(B20="","",MATCH(MIN(AA20:AC20),AA20:AC20,0))</f>
        <v>3</v>
      </c>
      <c r="AA20">
        <f>IF(B20="","",IF(J20&gt;=$AE$2,1E+15,M20*1E+10+P20*1E+8+ROUND(100*(D20*V20+$AF$5*Y20*AI20+$AF$4*S20),0)+1E+6))</f>
        <v>30101000184</v>
      </c>
      <c r="AB20">
        <f>IF(B20="","",IF(K20&gt;=$AF$2,1E+15,N20*1E+10+Q20*1E+8+ROUND(100*(D20*W20+$AF$5*Y20*AJ20+$AF$4*T20),0)+1E+6))</f>
        <v>30101000085</v>
      </c>
      <c r="AC20">
        <f>IF(B20="","",IF(L20&gt;=$AG$2,1E+15,O20*1E+10+R20*1E+8+ROUND(100*(D20*X20+$AF$5*Y20*AK20+$AF$4*U20),0)+1E+6))</f>
        <v>30100999873</v>
      </c>
      <c r="AI20">
        <f>SUMIFS($Y$1:Y19,$Z$1:Z19,1,$C$1:C19,C20)</f>
        <v>1.65634165567924</v>
      </c>
      <c r="AJ20">
        <f>SUMIFS($Y$1:Y19,$Z$1:Z19,2,$C$1:C19,C20)</f>
        <v>-2.8954369400805</v>
      </c>
      <c r="AK20">
        <f>SUMIFS($Y$1:Y19,$Z$1:Z19,3,$C$1:C19,C20)</f>
        <v>0.290808076951316</v>
      </c>
    </row>
    <row r="21">
      <c r="A21" t="n">
        <v>20</v>
      </c>
      <c r="B21">
        <f>IFERROR(MATCH(A21,'①名簿入力'!$AF$4:$AF$153,0),"")</f>
        <v>66</v>
      </c>
      <c r="C21">
        <f>IF(B21="","",INDEX('①名簿入力'!$X$4:$X$153,B21))</f>
        <v>2</v>
      </c>
      <c r="D21">
        <f>IF(B21="","",(INDEX('①名簿入力'!$AD$4:$AD$153,B21)-'設定'!$C$37)/'設定'!$C$38)</f>
        <v>0.889583226064091</v>
      </c>
      <c r="E21" t="str">
        <f>IF(B21="","",INDEX('①名簿入力'!$B$4:$B$153,B21)&amp;"")</f>
        <v>2</v>
      </c>
      <c r="F21">
        <f>IF(B21="",0,INDEX('①名簿入力'!$Y$4:$Y$153,B21))</f>
        <v>0</v>
      </c>
      <c r="G21">
        <f>IF(B21="",0,INDEX('①名簿入力'!$Z$4:$Z$153,B21))</f>
        <v>1</v>
      </c>
      <c r="H21">
        <f>IF(B21="",0,INDEX('①名簿入力'!$AA$4:$AA$153,B21))</f>
        <v>0</v>
      </c>
      <c r="I21">
        <f>IF(B21="",0,INDEX('①名簿入力'!$AB$4:$AB$153,B21))</f>
        <v>0</v>
      </c>
      <c r="J21">
        <f>COUNTIF($Z$1:Z20,1)</f>
        <v>6</v>
      </c>
      <c r="K21">
        <f>COUNTIF($Z$1:Z20,2)</f>
        <v>6</v>
      </c>
      <c r="L21">
        <f>COUNTIF($Z$1:Z20,3)</f>
        <v>7</v>
      </c>
      <c r="M21">
        <f>COUNTIFS($Z$1:Z20,1,$C$1:C20,C21)</f>
        <v>3</v>
      </c>
      <c r="N21">
        <f>COUNTIFS($Z$1:Z20,2,$C$1:C20,C21)</f>
        <v>3</v>
      </c>
      <c r="O21">
        <f>COUNTIFS($Z$1:Z20,3,$C$1:C20,C21)</f>
        <v>3</v>
      </c>
      <c r="P21">
        <f>F21*COUNTIFS($Z$1:Z20,1,$F$1:F20,1)+G21*COUNTIFS($Z$1:Z20,1,$G$1:G20,1)+H21*COUNTIFS($Z$1:Z20,1,$H$1:H20,1)+I21*COUNTIFS($Z$1:Z20,1,$I$1:I20,1)</f>
        <v>1</v>
      </c>
      <c r="Q21">
        <f>F21*COUNTIFS($Z$1:Z20,2,$F$1:F20,1)+G21*COUNTIFS($Z$1:Z20,2,$G$1:G20,1)+H21*COUNTIFS($Z$1:Z20,2,$H$1:H20,1)+I21*COUNTIFS($Z$1:Z20,2,$I$1:I20,1)</f>
        <v>1</v>
      </c>
      <c r="R21">
        <f>F21*COUNTIFS($Z$1:Z20,3,$F$1:F20,1)+G21*COUNTIFS($Z$1:Z20,3,$G$1:G20,1)+H21*COUNTIFS($Z$1:Z20,3,$H$1:H20,1)+I21*COUNTIFS($Z$1:Z20,3,$I$1:I20,1)</f>
        <v>2</v>
      </c>
      <c r="S21">
        <f>IF(E21="",0,COUNTIFS($Z$1:Z20,1,$E$1:E20,E21))</f>
        <v>2</v>
      </c>
      <c r="T21">
        <f>IF(E21="",0,COUNTIFS($Z$1:Z20,2,$E$1:E20,E21))</f>
        <v>1</v>
      </c>
      <c r="U21">
        <f>IF(E21="",0,COUNTIFS($Z$1:Z20,3,$E$1:E20,E21))</f>
        <v>2</v>
      </c>
      <c r="V21">
        <f>SUMIF($Z$1:Z20,1,$D$1:D20)</f>
        <v>-0.965256119614793</v>
      </c>
      <c r="W21">
        <f>SUMIF($Z$1:Z20,2,$D$1:D20)</f>
        <v>-0.771095405899175</v>
      </c>
      <c r="X21">
        <f>SUMIF($Z$1:Z20,3,$D$1:D20)</f>
        <v>1.59709633230694</v>
      </c>
      <c r="Y21">
        <f>IF(B21="",0,INDEX('①名簿入力'!$AL$4:$AL$153,B21))</f>
        <v>0.221563922245218</v>
      </c>
      <c r="Z21">
        <f>IF(B21="","",MATCH(MIN(AA21:AC21),AA21:AC21,0))</f>
        <v>1</v>
      </c>
      <c r="AA21">
        <f>IF(B21="","",IF(J21&gt;=$AE$2,1E+15,M21*1E+10+P21*1E+8+ROUND(100*(D21*V21+$AF$5*Y21*AI21+$AF$4*S21),0)+1E+6))</f>
        <v>30100999948</v>
      </c>
      <c r="AB21">
        <f>IF(B21="","",IF(K21&gt;=$AF$2,1E+15,N21*1E+10+Q21*1E+8+ROUND(100*(D21*W21+$AF$5*Y21*AJ21+$AF$4*T21),0)+1E+6))</f>
        <v>30100999969</v>
      </c>
      <c r="AC21">
        <f>IF(B21="","",IF(L21&gt;=$AG$2,1E+15,O21*1E+10+R21*1E+8+ROUND(100*(D21*X21+$AF$5*Y21*AK21+$AF$4*U21),0)+1E+6))</f>
        <v>30201000210</v>
      </c>
      <c r="AI21">
        <f>SUMIFS($Y$1:Y20,$Z$1:Z20,1,$C$1:C20,C21)</f>
        <v>-1.46424852962058</v>
      </c>
      <c r="AJ21">
        <f>SUMIFS($Y$1:Y20,$Z$1:Z20,2,$C$1:C20,C21)</f>
        <v>1.1559856812794</v>
      </c>
      <c r="AK21">
        <f>SUMIFS($Y$1:Y20,$Z$1:Z20,3,$C$1:C20,C21)</f>
        <v>1.64727959582314</v>
      </c>
    </row>
    <row r="22">
      <c r="A22" t="n">
        <v>21</v>
      </c>
      <c r="B22">
        <f>IFERROR(MATCH(A22,'①名簿入力'!$AF$4:$AF$153,0),"")</f>
        <v>32</v>
      </c>
      <c r="C22">
        <f>IF(B22="","",INDEX('①名簿入力'!$X$4:$X$153,B22))</f>
        <v>2</v>
      </c>
      <c r="D22">
        <f>IF(B22="","",(INDEX('①名簿入力'!$AD$4:$AD$153,B22)-'設定'!$C$37)/'設定'!$C$38)</f>
        <v>0.770099709931401</v>
      </c>
      <c r="E22" t="str">
        <f>IF(B22="","",INDEX('①名簿入力'!$B$4:$B$153,B22)&amp;"")</f>
        <v>1</v>
      </c>
      <c r="F22">
        <f>IF(B22="",0,INDEX('①名簿入力'!$Y$4:$Y$153,B22))</f>
        <v>0</v>
      </c>
      <c r="G22">
        <f>IF(B22="",0,INDEX('①名簿入力'!$Z$4:$Z$153,B22))</f>
        <v>1</v>
      </c>
      <c r="H22">
        <f>IF(B22="",0,INDEX('①名簿入力'!$AA$4:$AA$153,B22))</f>
        <v>0</v>
      </c>
      <c r="I22">
        <f>IF(B22="",0,INDEX('①名簿入力'!$AB$4:$AB$153,B22))</f>
        <v>0</v>
      </c>
      <c r="J22">
        <f>COUNTIF($Z$1:Z21,1)</f>
        <v>7</v>
      </c>
      <c r="K22">
        <f>COUNTIF($Z$1:Z21,2)</f>
        <v>6</v>
      </c>
      <c r="L22">
        <f>COUNTIF($Z$1:Z21,3)</f>
        <v>7</v>
      </c>
      <c r="M22">
        <f>COUNTIFS($Z$1:Z21,1,$C$1:C21,C22)</f>
        <v>4</v>
      </c>
      <c r="N22">
        <f>COUNTIFS($Z$1:Z21,2,$C$1:C21,C22)</f>
        <v>3</v>
      </c>
      <c r="O22">
        <f>COUNTIFS($Z$1:Z21,3,$C$1:C21,C22)</f>
        <v>3</v>
      </c>
      <c r="P22">
        <f>F22*COUNTIFS($Z$1:Z21,1,$F$1:F21,1)+G22*COUNTIFS($Z$1:Z21,1,$G$1:G21,1)+H22*COUNTIFS($Z$1:Z21,1,$H$1:H21,1)+I22*COUNTIFS($Z$1:Z21,1,$I$1:I21,1)</f>
        <v>2</v>
      </c>
      <c r="Q22">
        <f>F22*COUNTIFS($Z$1:Z21,2,$F$1:F21,1)+G22*COUNTIFS($Z$1:Z21,2,$G$1:G21,1)+H22*COUNTIFS($Z$1:Z21,2,$H$1:H21,1)+I22*COUNTIFS($Z$1:Z21,2,$I$1:I21,1)</f>
        <v>1</v>
      </c>
      <c r="R22">
        <f>F22*COUNTIFS($Z$1:Z21,3,$F$1:F21,1)+G22*COUNTIFS($Z$1:Z21,3,$G$1:G21,1)+H22*COUNTIFS($Z$1:Z21,3,$H$1:H21,1)+I22*COUNTIFS($Z$1:Z21,3,$I$1:I21,1)</f>
        <v>2</v>
      </c>
      <c r="S22">
        <f>IF(E22="",0,COUNTIFS($Z$1:Z21,1,$E$1:E21,E22))</f>
        <v>1</v>
      </c>
      <c r="T22">
        <f>IF(E22="",0,COUNTIFS($Z$1:Z21,2,$E$1:E21,E22))</f>
        <v>3</v>
      </c>
      <c r="U22">
        <f>IF(E22="",0,COUNTIFS($Z$1:Z21,3,$E$1:E21,E22))</f>
        <v>0</v>
      </c>
      <c r="V22">
        <f>SUMIF($Z$1:Z21,1,$D$1:D21)</f>
        <v>-0.0756728935507026</v>
      </c>
      <c r="W22">
        <f>SUMIF($Z$1:Z21,2,$D$1:D21)</f>
        <v>-0.771095405899175</v>
      </c>
      <c r="X22">
        <f>SUMIF($Z$1:Z21,3,$D$1:D21)</f>
        <v>1.59709633230694</v>
      </c>
      <c r="Y22">
        <f>IF(B22="",0,INDEX('①名簿入力'!$AL$4:$AL$153,B22))</f>
        <v>-1.41608245956727</v>
      </c>
      <c r="Z22">
        <f>IF(B22="","",MATCH(MIN(AA22:AC22),AA22:AC22,0))</f>
        <v>2</v>
      </c>
      <c r="AA22">
        <f>IF(B22="","",IF(J22&gt;=$AE$2,1E+15,M22*1E+10+P22*1E+8+ROUND(100*(D22*V22+$AF$5*Y22*AI22+$AF$4*S22),0)+1E+6))</f>
        <v>40201000107</v>
      </c>
      <c r="AB22">
        <f>IF(B22="","",IF(K22&gt;=$AF$2,1E+15,N22*1E+10+Q22*1E+8+ROUND(100*(D22*W22+$AF$5*Y22*AJ22+$AF$4*T22),0)+1E+6))</f>
        <v>30100999934</v>
      </c>
      <c r="AC22">
        <f>IF(B22="","",IF(L22&gt;=$AG$2,1E+15,O22*1E+10+R22*1E+8+ROUND(100*(D22*X22+$AF$5*Y22*AK22+$AF$4*U22),0)+1E+6))</f>
        <v>30201000006</v>
      </c>
      <c r="AI22">
        <f>SUMIFS($Y$1:Y21,$Z$1:Z21,1,$C$1:C21,C22)</f>
        <v>-1.24268460737536</v>
      </c>
      <c r="AJ22">
        <f>SUMIFS($Y$1:Y21,$Z$1:Z21,2,$C$1:C21,C22)</f>
        <v>1.1559856812794</v>
      </c>
      <c r="AK22">
        <f>SUMIFS($Y$1:Y21,$Z$1:Z21,3,$C$1:C21,C22)</f>
        <v>1.64727959582314</v>
      </c>
    </row>
    <row r="23">
      <c r="A23" t="n">
        <v>22</v>
      </c>
      <c r="B23">
        <f>IFERROR(MATCH(A23,'①名簿入力'!$AF$4:$AF$153,0),"")</f>
        <v>45</v>
      </c>
      <c r="C23">
        <f>IF(B23="","",INDEX('①名簿入力'!$X$4:$X$153,B23))</f>
        <v>1</v>
      </c>
      <c r="D23">
        <f>IF(B23="","",(INDEX('①名簿入力'!$AD$4:$AD$153,B23)-'設定'!$C$37)/'設定'!$C$38)</f>
        <v>-0.708508802210623</v>
      </c>
      <c r="E23" t="str">
        <f>IF(B23="","",INDEX('①名簿入力'!$B$4:$B$153,B23)&amp;"")</f>
        <v>2</v>
      </c>
      <c r="F23">
        <f>IF(B23="",0,INDEX('①名簿入力'!$Y$4:$Y$153,B23))</f>
        <v>0</v>
      </c>
      <c r="G23">
        <f>IF(B23="",0,INDEX('①名簿入力'!$Z$4:$Z$153,B23))</f>
        <v>1</v>
      </c>
      <c r="H23">
        <f>IF(B23="",0,INDEX('①名簿入力'!$AA$4:$AA$153,B23))</f>
        <v>0</v>
      </c>
      <c r="I23">
        <f>IF(B23="",0,INDEX('①名簿入力'!$AB$4:$AB$153,B23))</f>
        <v>0</v>
      </c>
      <c r="J23">
        <f>COUNTIF($Z$1:Z22,1)</f>
        <v>7</v>
      </c>
      <c r="K23">
        <f>COUNTIF($Z$1:Z22,2)</f>
        <v>7</v>
      </c>
      <c r="L23">
        <f>COUNTIF($Z$1:Z22,3)</f>
        <v>7</v>
      </c>
      <c r="M23">
        <f>COUNTIFS($Z$1:Z22,1,$C$1:C22,C23)</f>
        <v>3</v>
      </c>
      <c r="N23">
        <f>COUNTIFS($Z$1:Z22,2,$C$1:C22,C23)</f>
        <v>3</v>
      </c>
      <c r="O23">
        <f>COUNTIFS($Z$1:Z22,3,$C$1:C22,C23)</f>
        <v>4</v>
      </c>
      <c r="P23">
        <f>F23*COUNTIFS($Z$1:Z22,1,$F$1:F22,1)+G23*COUNTIFS($Z$1:Z22,1,$G$1:G22,1)+H23*COUNTIFS($Z$1:Z22,1,$H$1:H22,1)+I23*COUNTIFS($Z$1:Z22,1,$I$1:I22,1)</f>
        <v>2</v>
      </c>
      <c r="Q23">
        <f>F23*COUNTIFS($Z$1:Z22,2,$F$1:F22,1)+G23*COUNTIFS($Z$1:Z22,2,$G$1:G22,1)+H23*COUNTIFS($Z$1:Z22,2,$H$1:H22,1)+I23*COUNTIFS($Z$1:Z22,2,$I$1:I22,1)</f>
        <v>2</v>
      </c>
      <c r="R23">
        <f>F23*COUNTIFS($Z$1:Z22,3,$F$1:F22,1)+G23*COUNTIFS($Z$1:Z22,3,$G$1:G22,1)+H23*COUNTIFS($Z$1:Z22,3,$H$1:H22,1)+I23*COUNTIFS($Z$1:Z22,3,$I$1:I22,1)</f>
        <v>2</v>
      </c>
      <c r="S23">
        <f>IF(E23="",0,COUNTIFS($Z$1:Z22,1,$E$1:E22,E23))</f>
        <v>3</v>
      </c>
      <c r="T23">
        <f>IF(E23="",0,COUNTIFS($Z$1:Z22,2,$E$1:E22,E23))</f>
        <v>1</v>
      </c>
      <c r="U23">
        <f>IF(E23="",0,COUNTIFS($Z$1:Z22,3,$E$1:E22,E23))</f>
        <v>2</v>
      </c>
      <c r="V23">
        <f>SUMIF($Z$1:Z22,1,$D$1:D22)</f>
        <v>-0.0756728935507026</v>
      </c>
      <c r="W23">
        <f>SUMIF($Z$1:Z22,2,$D$1:D22)</f>
        <v>-0.000995695967774046</v>
      </c>
      <c r="X23">
        <f>SUMIF($Z$1:Z22,3,$D$1:D22)</f>
        <v>1.59709633230694</v>
      </c>
      <c r="Y23">
        <f>IF(B23="",0,INDEX('①名簿入力'!$AL$4:$AL$153,B23))</f>
        <v>-2.02722731903744</v>
      </c>
      <c r="Z23">
        <f>IF(B23="","",MATCH(MIN(AA23:AC23),AA23:AC23,0))</f>
        <v>1</v>
      </c>
      <c r="AA23">
        <f>IF(B23="","",IF(J23&gt;=$AE$2,1E+15,M23*1E+10+P23*1E+8+ROUND(100*(D23*V23+$AF$5*Y23*AI23+$AF$4*S23),0)+1E+6))</f>
        <v>30200999912</v>
      </c>
      <c r="AB23">
        <f>IF(B23="","",IF(K23&gt;=$AF$2,1E+15,N23*1E+10+Q23*1E+8+ROUND(100*(D23*W23+$AF$5*Y23*AJ23+$AF$4*T23),0)+1E+6))</f>
        <v>30201000319</v>
      </c>
      <c r="AC23">
        <f>IF(B23="","",IF(L23&gt;=$AG$2,1E+15,O23*1E+10+R23*1E+8+ROUND(100*(D23*X23+$AF$5*Y23*AK23+$AF$4*U23),0)+1E+6))</f>
        <v>40200999882</v>
      </c>
      <c r="AI23">
        <f>SUMIFS($Y$1:Y22,$Z$1:Z22,1,$C$1:C22,C23)</f>
        <v>1.65634165567924</v>
      </c>
      <c r="AJ23">
        <f>SUMIFS($Y$1:Y22,$Z$1:Z22,2,$C$1:C22,C23)</f>
        <v>-2.8954369400805</v>
      </c>
      <c r="AK23">
        <f>SUMIFS($Y$1:Y22,$Z$1:Z22,3,$C$1:C22,C23)</f>
        <v>0.539470055793745</v>
      </c>
    </row>
    <row r="24">
      <c r="A24" t="n">
        <v>23</v>
      </c>
      <c r="B24">
        <f>IFERROR(MATCH(A24,'①名簿入力'!$AF$4:$AF$153,0),"")</f>
        <v>58</v>
      </c>
      <c r="C24">
        <f>IF(B24="","",INDEX('①名簿入力'!$X$4:$X$153,B24))</f>
        <v>2</v>
      </c>
      <c r="D24">
        <f>IF(B24="","",(INDEX('①名簿入力'!$AD$4:$AD$153,B24)-'設定'!$C$37)/'設定'!$C$38)</f>
        <v>0.531132677666024</v>
      </c>
      <c r="E24" t="str">
        <f>IF(B24="","",INDEX('①名簿入力'!$B$4:$B$153,B24)&amp;"")</f>
        <v>2</v>
      </c>
      <c r="F24">
        <f>IF(B24="",0,INDEX('①名簿入力'!$Y$4:$Y$153,B24))</f>
        <v>0</v>
      </c>
      <c r="G24">
        <f>IF(B24="",0,INDEX('①名簿入力'!$Z$4:$Z$153,B24))</f>
        <v>1</v>
      </c>
      <c r="H24">
        <f>IF(B24="",0,INDEX('①名簿入力'!$AA$4:$AA$153,B24))</f>
        <v>0</v>
      </c>
      <c r="I24">
        <f>IF(B24="",0,INDEX('①名簿入力'!$AB$4:$AB$153,B24))</f>
        <v>0</v>
      </c>
      <c r="J24">
        <f>COUNTIF($Z$1:Z23,1)</f>
        <v>8</v>
      </c>
      <c r="K24">
        <f>COUNTIF($Z$1:Z23,2)</f>
        <v>7</v>
      </c>
      <c r="L24">
        <f>COUNTIF($Z$1:Z23,3)</f>
        <v>7</v>
      </c>
      <c r="M24">
        <f>COUNTIFS($Z$1:Z23,1,$C$1:C23,C24)</f>
        <v>4</v>
      </c>
      <c r="N24">
        <f>COUNTIFS($Z$1:Z23,2,$C$1:C23,C24)</f>
        <v>4</v>
      </c>
      <c r="O24">
        <f>COUNTIFS($Z$1:Z23,3,$C$1:C23,C24)</f>
        <v>3</v>
      </c>
      <c r="P24">
        <f>F24*COUNTIFS($Z$1:Z23,1,$F$1:F23,1)+G24*COUNTIFS($Z$1:Z23,1,$G$1:G23,1)+H24*COUNTIFS($Z$1:Z23,1,$H$1:H23,1)+I24*COUNTIFS($Z$1:Z23,1,$I$1:I23,1)</f>
        <v>3</v>
      </c>
      <c r="Q24">
        <f>F24*COUNTIFS($Z$1:Z23,2,$F$1:F23,1)+G24*COUNTIFS($Z$1:Z23,2,$G$1:G23,1)+H24*COUNTIFS($Z$1:Z23,2,$H$1:H23,1)+I24*COUNTIFS($Z$1:Z23,2,$I$1:I23,1)</f>
        <v>2</v>
      </c>
      <c r="R24">
        <f>F24*COUNTIFS($Z$1:Z23,3,$F$1:F23,1)+G24*COUNTIFS($Z$1:Z23,3,$G$1:G23,1)+H24*COUNTIFS($Z$1:Z23,3,$H$1:H23,1)+I24*COUNTIFS($Z$1:Z23,3,$I$1:I23,1)</f>
        <v>2</v>
      </c>
      <c r="S24">
        <f>IF(E24="",0,COUNTIFS($Z$1:Z23,1,$E$1:E23,E24))</f>
        <v>4</v>
      </c>
      <c r="T24">
        <f>IF(E24="",0,COUNTIFS($Z$1:Z23,2,$E$1:E23,E24))</f>
        <v>1</v>
      </c>
      <c r="U24">
        <f>IF(E24="",0,COUNTIFS($Z$1:Z23,3,$E$1:E23,E24))</f>
        <v>2</v>
      </c>
      <c r="V24">
        <f>SUMIF($Z$1:Z23,1,$D$1:D23)</f>
        <v>-0.784181695761326</v>
      </c>
      <c r="W24">
        <f>SUMIF($Z$1:Z23,2,$D$1:D23)</f>
        <v>-0.000995695967774046</v>
      </c>
      <c r="X24">
        <f>SUMIF($Z$1:Z23,3,$D$1:D23)</f>
        <v>1.59709633230694</v>
      </c>
      <c r="Y24">
        <f>IF(B24="",0,INDEX('①名簿入力'!$AL$4:$AL$153,B24))</f>
        <v>0.385328560426466</v>
      </c>
      <c r="Z24">
        <f>IF(B24="","",MATCH(MIN(AA24:AC24),AA24:AC24,0))</f>
        <v>3</v>
      </c>
      <c r="AA24">
        <f>IF(B24="","",IF(J24&gt;=$AE$2,1E+15,M24*1E+10+P24*1E+8+ROUND(100*(D24*V24+$AF$5*Y24*AI24+$AF$4*S24),0)+1E+6))</f>
        <v>40301000034</v>
      </c>
      <c r="AB24">
        <f>IF(B24="","",IF(K24&gt;=$AF$2,1E+15,N24*1E+10+Q24*1E+8+ROUND(100*(D24*W24+$AF$5*Y24*AJ24+$AF$4*T24),0)+1E+6))</f>
        <v>40201000020</v>
      </c>
      <c r="AC24">
        <f>IF(B24="","",IF(L24&gt;=$AG$2,1E+15,O24*1E+10+R24*1E+8+ROUND(100*(D24*X24+$AF$5*Y24*AK24+$AF$4*U24),0)+1E+6))</f>
        <v>30201000167</v>
      </c>
      <c r="AI24">
        <f>SUMIFS($Y$1:Y23,$Z$1:Z23,1,$C$1:C23,C24)</f>
        <v>-1.24268460737536</v>
      </c>
      <c r="AJ24">
        <f>SUMIFS($Y$1:Y23,$Z$1:Z23,2,$C$1:C23,C24)</f>
        <v>-0.260096778287867</v>
      </c>
      <c r="AK24">
        <f>SUMIFS($Y$1:Y23,$Z$1:Z23,3,$C$1:C23,C24)</f>
        <v>1.64727959582314</v>
      </c>
    </row>
    <row r="25">
      <c r="A25" t="n">
        <v>24</v>
      </c>
      <c r="B25">
        <f>IFERROR(MATCH(A25,'①名簿入力'!$AF$4:$AF$153,0),"")</f>
        <v>23</v>
      </c>
      <c r="C25">
        <f>IF(B25="","",INDEX('①名簿入力'!$X$4:$X$153,B25))</f>
        <v>2</v>
      </c>
      <c r="D25">
        <f>IF(B25="","",(INDEX('①名簿入力'!$AD$4:$AD$153,B25)-'設定'!$C$37)/'設定'!$C$38)</f>
        <v>-0.155897540096937</v>
      </c>
      <c r="E25" t="str">
        <f>IF(B25="","",INDEX('①名簿入力'!$B$4:$B$153,B25)&amp;"")</f>
        <v>1</v>
      </c>
      <c r="F25">
        <f>IF(B25="",0,INDEX('①名簿入力'!$Y$4:$Y$153,B25))</f>
        <v>0</v>
      </c>
      <c r="G25">
        <f>IF(B25="",0,INDEX('①名簿入力'!$Z$4:$Z$153,B25))</f>
        <v>1</v>
      </c>
      <c r="H25">
        <f>IF(B25="",0,INDEX('①名簿入力'!$AA$4:$AA$153,B25))</f>
        <v>0</v>
      </c>
      <c r="I25">
        <f>IF(B25="",0,INDEX('①名簿入力'!$AB$4:$AB$153,B25))</f>
        <v>0</v>
      </c>
      <c r="J25">
        <f>COUNTIF($Z$1:Z24,1)</f>
        <v>8</v>
      </c>
      <c r="K25">
        <f>COUNTIF($Z$1:Z24,2)</f>
        <v>7</v>
      </c>
      <c r="L25">
        <f>COUNTIF($Z$1:Z24,3)</f>
        <v>8</v>
      </c>
      <c r="M25">
        <f>COUNTIFS($Z$1:Z24,1,$C$1:C24,C25)</f>
        <v>4</v>
      </c>
      <c r="N25">
        <f>COUNTIFS($Z$1:Z24,2,$C$1:C24,C25)</f>
        <v>4</v>
      </c>
      <c r="O25">
        <f>COUNTIFS($Z$1:Z24,3,$C$1:C24,C25)</f>
        <v>4</v>
      </c>
      <c r="P25">
        <f>F25*COUNTIFS($Z$1:Z24,1,$F$1:F24,1)+G25*COUNTIFS($Z$1:Z24,1,$G$1:G24,1)+H25*COUNTIFS($Z$1:Z24,1,$H$1:H24,1)+I25*COUNTIFS($Z$1:Z24,1,$I$1:I24,1)</f>
        <v>3</v>
      </c>
      <c r="Q25">
        <f>F25*COUNTIFS($Z$1:Z24,2,$F$1:F24,1)+G25*COUNTIFS($Z$1:Z24,2,$G$1:G24,1)+H25*COUNTIFS($Z$1:Z24,2,$H$1:H24,1)+I25*COUNTIFS($Z$1:Z24,2,$I$1:I24,1)</f>
        <v>2</v>
      </c>
      <c r="R25">
        <f>F25*COUNTIFS($Z$1:Z24,3,$F$1:F24,1)+G25*COUNTIFS($Z$1:Z24,3,$G$1:G24,1)+H25*COUNTIFS($Z$1:Z24,3,$H$1:H24,1)+I25*COUNTIFS($Z$1:Z24,3,$I$1:I24,1)</f>
        <v>3</v>
      </c>
      <c r="S25">
        <f>IF(E25="",0,COUNTIFS($Z$1:Z24,1,$E$1:E24,E25))</f>
        <v>1</v>
      </c>
      <c r="T25">
        <f>IF(E25="",0,COUNTIFS($Z$1:Z24,2,$E$1:E24,E25))</f>
        <v>4</v>
      </c>
      <c r="U25">
        <f>IF(E25="",0,COUNTIFS($Z$1:Z24,3,$E$1:E24,E25))</f>
        <v>0</v>
      </c>
      <c r="V25">
        <f>SUMIF($Z$1:Z24,1,$D$1:D24)</f>
        <v>-0.784181695761326</v>
      </c>
      <c r="W25">
        <f>SUMIF($Z$1:Z24,2,$D$1:D24)</f>
        <v>-0.000995695967774046</v>
      </c>
      <c r="X25">
        <f>SUMIF($Z$1:Z24,3,$D$1:D24)</f>
        <v>2.12822900997296</v>
      </c>
      <c r="Y25">
        <f>IF(B25="",0,INDEX('①名簿入力'!$AL$4:$AL$153,B25))</f>
        <v>0.221563922245218</v>
      </c>
      <c r="Z25">
        <f>IF(B25="","",MATCH(MIN(AA25:AC25),AA25:AC25,0))</f>
        <v>2</v>
      </c>
      <c r="AA25">
        <f>IF(B25="","",IF(J25&gt;=$AE$2,1E+15,M25*1E+10+P25*1E+8+ROUND(100*(D25*V25+$AF$5*Y25*AI25+$AF$4*S25),0)+1E+6))</f>
        <v>40301000023</v>
      </c>
      <c r="AB25">
        <f>IF(B25="","",IF(K25&gt;=$AF$2,1E+15,N25*1E+10+Q25*1E+8+ROUND(100*(D25*W25+$AF$5*Y25*AJ25+$AF$4*T25),0)+1E+6))</f>
        <v>40201000097</v>
      </c>
      <c r="AC25">
        <f>IF(B25="","",IF(L25&gt;=$AG$2,1E+15,O25*1E+10+R25*1E+8+ROUND(100*(D25*X25+$AF$5*Y25*AK25+$AF$4*U25),0)+1E+6))</f>
        <v>40300999989</v>
      </c>
      <c r="AI25">
        <f>SUMIFS($Y$1:Y24,$Z$1:Z24,1,$C$1:C24,C25)</f>
        <v>-1.24268460737536</v>
      </c>
      <c r="AJ25">
        <f>SUMIFS($Y$1:Y24,$Z$1:Z24,2,$C$1:C24,C25)</f>
        <v>-0.260096778287867</v>
      </c>
      <c r="AK25">
        <f>SUMIFS($Y$1:Y24,$Z$1:Z24,3,$C$1:C24,C25)</f>
        <v>2.03260815624961</v>
      </c>
    </row>
    <row r="26">
      <c r="A26" t="n">
        <v>25</v>
      </c>
      <c r="B26">
        <f>IFERROR(MATCH(A26,'①名簿入力'!$AF$4:$AF$153,0),"")</f>
        <v>64</v>
      </c>
      <c r="C26">
        <f>IF(B26="","",INDEX('①名簿入力'!$X$4:$X$153,B26))</f>
        <v>1</v>
      </c>
      <c r="D26">
        <f>IF(B26="","",(INDEX('①名簿入力'!$AD$4:$AD$153,B26)-'設定'!$C$37)/'設定'!$C$38)</f>
        <v>1.29284009301192</v>
      </c>
      <c r="E26" t="str">
        <f>IF(B26="","",INDEX('①名簿入力'!$B$4:$B$153,B26)&amp;"")</f>
        <v>2</v>
      </c>
      <c r="F26">
        <f>IF(B26="",0,INDEX('①名簿入力'!$Y$4:$Y$153,B26))</f>
        <v>0</v>
      </c>
      <c r="G26">
        <f>IF(B26="",0,INDEX('①名簿入力'!$Z$4:$Z$153,B26))</f>
        <v>0</v>
      </c>
      <c r="H26">
        <f>IF(B26="",0,INDEX('①名簿入力'!$AA$4:$AA$153,B26))</f>
        <v>0</v>
      </c>
      <c r="I26">
        <f>IF(B26="",0,INDEX('①名簿入力'!$AB$4:$AB$153,B26))</f>
        <v>1</v>
      </c>
      <c r="J26">
        <f>COUNTIF($Z$1:Z25,1)</f>
        <v>8</v>
      </c>
      <c r="K26">
        <f>COUNTIF($Z$1:Z25,2)</f>
        <v>8</v>
      </c>
      <c r="L26">
        <f>COUNTIF($Z$1:Z25,3)</f>
        <v>8</v>
      </c>
      <c r="M26">
        <f>COUNTIFS($Z$1:Z25,1,$C$1:C25,C26)</f>
        <v>4</v>
      </c>
      <c r="N26">
        <f>COUNTIFS($Z$1:Z25,2,$C$1:C25,C26)</f>
        <v>3</v>
      </c>
      <c r="O26">
        <f>COUNTIFS($Z$1:Z25,3,$C$1:C25,C26)</f>
        <v>4</v>
      </c>
      <c r="P26">
        <f>F26*COUNTIFS($Z$1:Z25,1,$F$1:F25,1)+G26*COUNTIFS($Z$1:Z25,1,$G$1:G25,1)+H26*COUNTIFS($Z$1:Z25,1,$H$1:H25,1)+I26*COUNTIFS($Z$1:Z25,1,$I$1:I25,1)</f>
        <v>0</v>
      </c>
      <c r="Q26">
        <f>F26*COUNTIFS($Z$1:Z25,2,$F$1:F25,1)+G26*COUNTIFS($Z$1:Z25,2,$G$1:G25,1)+H26*COUNTIFS($Z$1:Z25,2,$H$1:H25,1)+I26*COUNTIFS($Z$1:Z25,2,$I$1:I25,1)</f>
        <v>0</v>
      </c>
      <c r="R26">
        <f>F26*COUNTIFS($Z$1:Z25,3,$F$1:F25,1)+G26*COUNTIFS($Z$1:Z25,3,$G$1:G25,1)+H26*COUNTIFS($Z$1:Z25,3,$H$1:H25,1)+I26*COUNTIFS($Z$1:Z25,3,$I$1:I25,1)</f>
        <v>1</v>
      </c>
      <c r="S26">
        <f>IF(E26="",0,COUNTIFS($Z$1:Z25,1,$E$1:E25,E26))</f>
        <v>4</v>
      </c>
      <c r="T26">
        <f>IF(E26="",0,COUNTIFS($Z$1:Z25,2,$E$1:E25,E26))</f>
        <v>1</v>
      </c>
      <c r="U26">
        <f>IF(E26="",0,COUNTIFS($Z$1:Z25,3,$E$1:E25,E26))</f>
        <v>3</v>
      </c>
      <c r="V26">
        <f>SUMIF($Z$1:Z25,1,$D$1:D25)</f>
        <v>-0.784181695761326</v>
      </c>
      <c r="W26">
        <f>SUMIF($Z$1:Z25,2,$D$1:D25)</f>
        <v>-0.156893236064711</v>
      </c>
      <c r="X26">
        <f>SUMIF($Z$1:Z25,3,$D$1:D25)</f>
        <v>2.12822900997296</v>
      </c>
      <c r="Y26">
        <f>IF(B26="",0,INDEX('①名簿入力'!$AL$4:$AL$153,B26))</f>
        <v>0.0210730490544438</v>
      </c>
      <c r="Z26">
        <f>IF(B26="","",MATCH(MIN(AA26:AC26),AA26:AC26,0))</f>
        <v>2</v>
      </c>
      <c r="AA26">
        <f>IF(B26="","",IF(J26&gt;=$AE$2,1E+15,M26*1E+10+P26*1E+8+ROUND(100*(D26*V26+$AF$5*Y26*AI26+$AF$4*S26),0)+1E+6))</f>
        <v>40000999998</v>
      </c>
      <c r="AB26">
        <f>IF(B26="","",IF(K26&gt;=$AF$2,1E+15,N26*1E+10+Q26*1E+8+ROUND(100*(D26*W26+$AF$5*Y26*AJ26+$AF$4*T26),0)+1E+6))</f>
        <v>30001000002</v>
      </c>
      <c r="AC26">
        <f>IF(B26="","",IF(L26&gt;=$AG$2,1E+15,O26*1E+10+R26*1E+8+ROUND(100*(D26*X26+$AF$5*Y26*AK26+$AF$4*U26),0)+1E+6))</f>
        <v>40101000351</v>
      </c>
      <c r="AI26">
        <f>SUMIFS($Y$1:Y25,$Z$1:Z25,1,$C$1:C25,C26)</f>
        <v>-0.370885663358201</v>
      </c>
      <c r="AJ26">
        <f>SUMIFS($Y$1:Y25,$Z$1:Z25,2,$C$1:C25,C26)</f>
        <v>-2.8954369400805</v>
      </c>
      <c r="AK26">
        <f>SUMIFS($Y$1:Y25,$Z$1:Z25,3,$C$1:C25,C26)</f>
        <v>0.539470055793745</v>
      </c>
    </row>
    <row r="27">
      <c r="A27" t="n">
        <v>26</v>
      </c>
      <c r="B27">
        <f>IFERROR(MATCH(A27,'①名簿入力'!$AF$4:$AF$153,0),"")</f>
        <v>49</v>
      </c>
      <c r="C27">
        <f>IF(B27="","",INDEX('①名簿入力'!$X$4:$X$153,B27))</f>
        <v>2</v>
      </c>
      <c r="D27">
        <f>IF(B27="","",(INDEX('①名簿入力'!$AD$4:$AD$153,B27)-'設定'!$C$37)/'設定'!$C$38)</f>
        <v>1.17335657687923</v>
      </c>
      <c r="E27" t="str">
        <f>IF(B27="","",INDEX('①名簿入力'!$B$4:$B$153,B27)&amp;"")</f>
        <v>2</v>
      </c>
      <c r="F27">
        <f>IF(B27="",0,INDEX('①名簿入力'!$Y$4:$Y$153,B27))</f>
        <v>0</v>
      </c>
      <c r="G27">
        <f>IF(B27="",0,INDEX('①名簿入力'!$Z$4:$Z$153,B27))</f>
        <v>0</v>
      </c>
      <c r="H27">
        <f>IF(B27="",0,INDEX('①名簿入力'!$AA$4:$AA$153,B27))</f>
        <v>0</v>
      </c>
      <c r="I27">
        <f>IF(B27="",0,INDEX('①名簿入力'!$AB$4:$AB$153,B27))</f>
        <v>1</v>
      </c>
      <c r="J27">
        <f>COUNTIF($Z$1:Z26,1)</f>
        <v>8</v>
      </c>
      <c r="K27">
        <f>COUNTIF($Z$1:Z26,2)</f>
        <v>9</v>
      </c>
      <c r="L27">
        <f>COUNTIF($Z$1:Z26,3)</f>
        <v>8</v>
      </c>
      <c r="M27">
        <f>COUNTIFS($Z$1:Z26,1,$C$1:C26,C27)</f>
        <v>4</v>
      </c>
      <c r="N27">
        <f>COUNTIFS($Z$1:Z26,2,$C$1:C26,C27)</f>
        <v>5</v>
      </c>
      <c r="O27">
        <f>COUNTIFS($Z$1:Z26,3,$C$1:C26,C27)</f>
        <v>4</v>
      </c>
      <c r="P27">
        <f>F27*COUNTIFS($Z$1:Z26,1,$F$1:F26,1)+G27*COUNTIFS($Z$1:Z26,1,$G$1:G26,1)+H27*COUNTIFS($Z$1:Z26,1,$H$1:H26,1)+I27*COUNTIFS($Z$1:Z26,1,$I$1:I26,1)</f>
        <v>0</v>
      </c>
      <c r="Q27">
        <f>F27*COUNTIFS($Z$1:Z26,2,$F$1:F26,1)+G27*COUNTIFS($Z$1:Z26,2,$G$1:G26,1)+H27*COUNTIFS($Z$1:Z26,2,$H$1:H26,1)+I27*COUNTIFS($Z$1:Z26,2,$I$1:I26,1)</f>
        <v>1</v>
      </c>
      <c r="R27">
        <f>F27*COUNTIFS($Z$1:Z26,3,$F$1:F26,1)+G27*COUNTIFS($Z$1:Z26,3,$G$1:G26,1)+H27*COUNTIFS($Z$1:Z26,3,$H$1:H26,1)+I27*COUNTIFS($Z$1:Z26,3,$I$1:I26,1)</f>
        <v>1</v>
      </c>
      <c r="S27">
        <f>IF(E27="",0,COUNTIFS($Z$1:Z26,1,$E$1:E26,E27))</f>
        <v>4</v>
      </c>
      <c r="T27">
        <f>IF(E27="",0,COUNTIFS($Z$1:Z26,2,$E$1:E26,E27))</f>
        <v>2</v>
      </c>
      <c r="U27">
        <f>IF(E27="",0,COUNTIFS($Z$1:Z26,3,$E$1:E26,E27))</f>
        <v>3</v>
      </c>
      <c r="V27">
        <f>SUMIF($Z$1:Z26,1,$D$1:D26)</f>
        <v>-0.784181695761326</v>
      </c>
      <c r="W27">
        <f>SUMIF($Z$1:Z26,2,$D$1:D26)</f>
        <v>1.1359468569472</v>
      </c>
      <c r="X27">
        <f>SUMIF($Z$1:Z26,3,$D$1:D26)</f>
        <v>2.12822900997296</v>
      </c>
      <c r="Y27">
        <f>IF(B27="",0,INDEX('①名簿入力'!$AL$4:$AL$153,B27))</f>
        <v>1.69544566587646</v>
      </c>
      <c r="Z27">
        <f>IF(B27="","",MATCH(MIN(AA27:AC27),AA27:AC27,0))</f>
        <v>1</v>
      </c>
      <c r="AA27">
        <f>IF(B27="","",IF(J27&gt;=$AE$2,1E+15,M27*1E+10+P27*1E+8+ROUND(100*(D27*V27+$AF$5*Y27*AI27+$AF$4*S27),0)+1E+6))</f>
        <v>40000999903</v>
      </c>
      <c r="AB27">
        <f>IF(B27="","",IF(K27&gt;=$AF$2,1E+15,N27*1E+10+Q27*1E+8+ROUND(100*(D27*W27+$AF$5*Y27*AJ27+$AF$4*T27),0)+1E+6))</f>
        <v>50101000180</v>
      </c>
      <c r="AC27">
        <f>IF(B27="","",IF(L27&gt;=$AG$2,1E+15,O27*1E+10+R27*1E+8+ROUND(100*(D27*X27+$AF$5*Y27*AK27+$AF$4*U27),0)+1E+6))</f>
        <v>40101000497</v>
      </c>
      <c r="AI27">
        <f>SUMIFS($Y$1:Y26,$Z$1:Z26,1,$C$1:C26,C27)</f>
        <v>-1.24268460737536</v>
      </c>
      <c r="AJ27">
        <f>SUMIFS($Y$1:Y26,$Z$1:Z26,2,$C$1:C26,C27)</f>
        <v>-0.0385328560426494</v>
      </c>
      <c r="AK27">
        <f>SUMIFS($Y$1:Y26,$Z$1:Z26,3,$C$1:C26,C27)</f>
        <v>2.03260815624961</v>
      </c>
    </row>
    <row r="28">
      <c r="A28" t="n">
        <v>27</v>
      </c>
      <c r="B28">
        <f>IFERROR(MATCH(A28,'①名簿入力'!$AF$4:$AF$153,0),"")</f>
        <v>17</v>
      </c>
      <c r="C28">
        <f>IF(B28="","",INDEX('①名簿入力'!$X$4:$X$153,B28))</f>
        <v>1</v>
      </c>
      <c r="D28">
        <f>IF(B28="","",(INDEX('①名簿入力'!$AD$4:$AD$153,B28)-'設定'!$C$37)/'設定'!$C$38)</f>
        <v>0.964260423647021</v>
      </c>
      <c r="E28" t="str">
        <f>IF(B28="","",INDEX('①名簿入力'!$B$4:$B$153,B28)&amp;"")</f>
        <v>1</v>
      </c>
      <c r="F28">
        <f>IF(B28="",0,INDEX('①名簿入力'!$Y$4:$Y$153,B28))</f>
        <v>0</v>
      </c>
      <c r="G28">
        <f>IF(B28="",0,INDEX('①名簿入力'!$Z$4:$Z$153,B28))</f>
        <v>0</v>
      </c>
      <c r="H28">
        <f>IF(B28="",0,INDEX('①名簿入力'!$AA$4:$AA$153,B28))</f>
        <v>0</v>
      </c>
      <c r="I28">
        <f>IF(B28="",0,INDEX('①名簿入力'!$AB$4:$AB$153,B28))</f>
        <v>1</v>
      </c>
      <c r="J28">
        <f>COUNTIF($Z$1:Z27,1)</f>
        <v>9</v>
      </c>
      <c r="K28">
        <f>COUNTIF($Z$1:Z27,2)</f>
        <v>9</v>
      </c>
      <c r="L28">
        <f>COUNTIF($Z$1:Z27,3)</f>
        <v>8</v>
      </c>
      <c r="M28">
        <f>COUNTIFS($Z$1:Z27,1,$C$1:C27,C28)</f>
        <v>4</v>
      </c>
      <c r="N28">
        <f>COUNTIFS($Z$1:Z27,2,$C$1:C27,C28)</f>
        <v>4</v>
      </c>
      <c r="O28">
        <f>COUNTIFS($Z$1:Z27,3,$C$1:C27,C28)</f>
        <v>4</v>
      </c>
      <c r="P28">
        <f>F28*COUNTIFS($Z$1:Z27,1,$F$1:F27,1)+G28*COUNTIFS($Z$1:Z27,1,$G$1:G27,1)+H28*COUNTIFS($Z$1:Z27,1,$H$1:H27,1)+I28*COUNTIFS($Z$1:Z27,1,$I$1:I27,1)</f>
        <v>1</v>
      </c>
      <c r="Q28">
        <f>F28*COUNTIFS($Z$1:Z27,2,$F$1:F27,1)+G28*COUNTIFS($Z$1:Z27,2,$G$1:G27,1)+H28*COUNTIFS($Z$1:Z27,2,$H$1:H27,1)+I28*COUNTIFS($Z$1:Z27,2,$I$1:I27,1)</f>
        <v>1</v>
      </c>
      <c r="R28">
        <f>F28*COUNTIFS($Z$1:Z27,3,$F$1:F27,1)+G28*COUNTIFS($Z$1:Z27,3,$G$1:G27,1)+H28*COUNTIFS($Z$1:Z27,3,$H$1:H27,1)+I28*COUNTIFS($Z$1:Z27,3,$I$1:I27,1)</f>
        <v>1</v>
      </c>
      <c r="S28">
        <f>IF(E28="",0,COUNTIFS($Z$1:Z27,1,$E$1:E27,E28))</f>
        <v>1</v>
      </c>
      <c r="T28">
        <f>IF(E28="",0,COUNTIFS($Z$1:Z27,2,$E$1:E27,E28))</f>
        <v>5</v>
      </c>
      <c r="U28">
        <f>IF(E28="",0,COUNTIFS($Z$1:Z27,3,$E$1:E27,E28))</f>
        <v>0</v>
      </c>
      <c r="V28">
        <f>SUMIF($Z$1:Z27,1,$D$1:D27)</f>
        <v>0.389174881117901</v>
      </c>
      <c r="W28">
        <f>SUMIF($Z$1:Z27,2,$D$1:D27)</f>
        <v>1.1359468569472</v>
      </c>
      <c r="X28">
        <f>SUMIF($Z$1:Z27,3,$D$1:D27)</f>
        <v>2.12822900997296</v>
      </c>
      <c r="Y28">
        <f>IF(B28="",0,INDEX('①名簿入力'!$AL$4:$AL$153,B28))</f>
        <v>-0.661693740309516</v>
      </c>
      <c r="Z28">
        <f>IF(B28="","",MATCH(MIN(AA28:AC28),AA28:AC28,0))</f>
        <v>1</v>
      </c>
      <c r="AA28">
        <f>IF(B28="","",IF(J28&gt;=$AE$2,1E+15,M28*1E+10+P28*1E+8+ROUND(100*(D28*V28+$AF$5*Y28*AI28+$AF$4*S28),0)+1E+6))</f>
        <v>40101000075</v>
      </c>
      <c r="AB28">
        <f>IF(B28="","",IF(K28&gt;=$AF$2,1E+15,N28*1E+10+Q28*1E+8+ROUND(100*(D28*W28+$AF$5*Y28*AJ28+$AF$4*T28),0)+1E+6))</f>
        <v>40101000330</v>
      </c>
      <c r="AC28">
        <f>IF(B28="","",IF(L28&gt;=$AG$2,1E+15,O28*1E+10+R28*1E+8+ROUND(100*(D28*X28+$AF$5*Y28*AK28+$AF$4*U28),0)+1E+6))</f>
        <v>40101000187</v>
      </c>
      <c r="AI28">
        <f>SUMIFS($Y$1:Y27,$Z$1:Z27,1,$C$1:C27,C28)</f>
        <v>-0.370885663358201</v>
      </c>
      <c r="AJ28">
        <f>SUMIFS($Y$1:Y27,$Z$1:Z27,2,$C$1:C27,C28)</f>
        <v>-2.87436389102605</v>
      </c>
      <c r="AK28">
        <f>SUMIFS($Y$1:Y27,$Z$1:Z27,3,$C$1:C27,C28)</f>
        <v>0.539470055793745</v>
      </c>
    </row>
    <row r="29">
      <c r="A29" t="n">
        <v>28</v>
      </c>
      <c r="B29">
        <f>IFERROR(MATCH(A29,'①名簿入力'!$AF$4:$AF$153,0),"")</f>
        <v>57</v>
      </c>
      <c r="C29">
        <f>IF(B29="","",INDEX('①名簿入力'!$X$4:$X$153,B29))</f>
        <v>1</v>
      </c>
      <c r="D29">
        <f>IF(B29="","",(INDEX('①名簿入力'!$AD$4:$AD$153,B29)-'設定'!$C$37)/'設定'!$C$38)</f>
        <v>0.0830694921684408</v>
      </c>
      <c r="E29" t="str">
        <f>IF(B29="","",INDEX('①名簿入力'!$B$4:$B$153,B29)&amp;"")</f>
        <v>2</v>
      </c>
      <c r="F29">
        <f>IF(B29="",0,INDEX('①名簿入力'!$Y$4:$Y$153,B29))</f>
        <v>0</v>
      </c>
      <c r="G29">
        <f>IF(B29="",0,INDEX('①名簿入力'!$Z$4:$Z$153,B29))</f>
        <v>0</v>
      </c>
      <c r="H29">
        <f>IF(B29="",0,INDEX('①名簿入力'!$AA$4:$AA$153,B29))</f>
        <v>0</v>
      </c>
      <c r="I29">
        <f>IF(B29="",0,INDEX('①名簿入力'!$AB$4:$AB$153,B29))</f>
        <v>1</v>
      </c>
      <c r="J29">
        <f>COUNTIF($Z$1:Z28,1)</f>
        <v>10</v>
      </c>
      <c r="K29">
        <f>COUNTIF($Z$1:Z28,2)</f>
        <v>9</v>
      </c>
      <c r="L29">
        <f>COUNTIF($Z$1:Z28,3)</f>
        <v>8</v>
      </c>
      <c r="M29">
        <f>COUNTIFS($Z$1:Z28,1,$C$1:C28,C29)</f>
        <v>5</v>
      </c>
      <c r="N29">
        <f>COUNTIFS($Z$1:Z28,2,$C$1:C28,C29)</f>
        <v>4</v>
      </c>
      <c r="O29">
        <f>COUNTIFS($Z$1:Z28,3,$C$1:C28,C29)</f>
        <v>4</v>
      </c>
      <c r="P29">
        <f>F29*COUNTIFS($Z$1:Z28,1,$F$1:F28,1)+G29*COUNTIFS($Z$1:Z28,1,$G$1:G28,1)+H29*COUNTIFS($Z$1:Z28,1,$H$1:H28,1)+I29*COUNTIFS($Z$1:Z28,1,$I$1:I28,1)</f>
        <v>2</v>
      </c>
      <c r="Q29">
        <f>F29*COUNTIFS($Z$1:Z28,2,$F$1:F28,1)+G29*COUNTIFS($Z$1:Z28,2,$G$1:G28,1)+H29*COUNTIFS($Z$1:Z28,2,$H$1:H28,1)+I29*COUNTIFS($Z$1:Z28,2,$I$1:I28,1)</f>
        <v>1</v>
      </c>
      <c r="R29">
        <f>F29*COUNTIFS($Z$1:Z28,3,$F$1:F28,1)+G29*COUNTIFS($Z$1:Z28,3,$G$1:G28,1)+H29*COUNTIFS($Z$1:Z28,3,$H$1:H28,1)+I29*COUNTIFS($Z$1:Z28,3,$I$1:I28,1)</f>
        <v>1</v>
      </c>
      <c r="S29">
        <f>IF(E29="",0,COUNTIFS($Z$1:Z28,1,$E$1:E28,E29))</f>
        <v>5</v>
      </c>
      <c r="T29">
        <f>IF(E29="",0,COUNTIFS($Z$1:Z28,2,$E$1:E28,E29))</f>
        <v>2</v>
      </c>
      <c r="U29">
        <f>IF(E29="",0,COUNTIFS($Z$1:Z28,3,$E$1:E28,E29))</f>
        <v>3</v>
      </c>
      <c r="V29">
        <f>SUMIF($Z$1:Z28,1,$D$1:D28)</f>
        <v>1.35343530476492</v>
      </c>
      <c r="W29">
        <f>SUMIF($Z$1:Z28,2,$D$1:D28)</f>
        <v>1.1359468569472</v>
      </c>
      <c r="X29">
        <f>SUMIF($Z$1:Z28,3,$D$1:D28)</f>
        <v>2.12822900997296</v>
      </c>
      <c r="Y29">
        <f>IF(B29="",0,INDEX('①名簿入力'!$AL$4:$AL$153,B29))</f>
        <v>0.93142876820639</v>
      </c>
      <c r="Z29">
        <f>IF(B29="","",MATCH(MIN(AA29:AC29),AA29:AC29,0))</f>
        <v>2</v>
      </c>
      <c r="AA29">
        <f>IF(B29="","",IF(J29&gt;=$AE$2,1E+15,M29*1E+10+P29*1E+8+ROUND(100*(D29*V29+$AF$5*Y29*AI29+$AF$4*S29),0)+1E+6))</f>
        <v>50201000088</v>
      </c>
      <c r="AB29">
        <f>IF(B29="","",IF(K29&gt;=$AF$2,1E+15,N29*1E+10+Q29*1E+8+ROUND(100*(D29*W29+$AF$5*Y29*AJ29+$AF$4*T29),0)+1E+6))</f>
        <v>40100999926</v>
      </c>
      <c r="AC29">
        <f>IF(B29="","",IF(L29&gt;=$AG$2,1E+15,O29*1E+10+R29*1E+8+ROUND(100*(D29*X29+$AF$5*Y29*AK29+$AF$4*U29),0)+1E+6))</f>
        <v>40101000118</v>
      </c>
      <c r="AI29">
        <f>SUMIFS($Y$1:Y28,$Z$1:Z28,1,$C$1:C28,C29)</f>
        <v>-1.03257940366772</v>
      </c>
      <c r="AJ29">
        <f>SUMIFS($Y$1:Y28,$Z$1:Z28,2,$C$1:C28,C29)</f>
        <v>-2.87436389102605</v>
      </c>
      <c r="AK29">
        <f>SUMIFS($Y$1:Y28,$Z$1:Z28,3,$C$1:C28,C29)</f>
        <v>0.539470055793745</v>
      </c>
    </row>
    <row r="30">
      <c r="A30" t="n">
        <v>29</v>
      </c>
      <c r="B30">
        <f>IFERROR(MATCH(A30,'①名簿入力'!$AF$4:$AF$153,0),"")</f>
        <v>71</v>
      </c>
      <c r="C30">
        <f>IF(B30="","",INDEX('①名簿入力'!$X$4:$X$153,B30))</f>
        <v>1</v>
      </c>
      <c r="D30">
        <f>IF(B30="","",(INDEX('①名簿入力'!$AD$4:$AD$153,B30)-'設定'!$C$37)/'設定'!$C$38)</f>
        <v>2.32338541965636</v>
      </c>
      <c r="E30" t="str">
        <f>IF(B30="","",INDEX('①名簿入力'!$B$4:$B$153,B30)&amp;"")</f>
        <v>3</v>
      </c>
      <c r="F30">
        <f>IF(B30="",0,INDEX('①名簿入力'!$Y$4:$Y$153,B30))</f>
        <v>0</v>
      </c>
      <c r="G30">
        <f>IF(B30="",0,INDEX('①名簿入力'!$Z$4:$Z$153,B30))</f>
        <v>0</v>
      </c>
      <c r="H30">
        <f>IF(B30="",0,INDEX('①名簿入力'!$AA$4:$AA$153,B30))</f>
        <v>0</v>
      </c>
      <c r="I30">
        <f>IF(B30="",0,INDEX('①名簿入力'!$AB$4:$AB$153,B30))</f>
        <v>0</v>
      </c>
      <c r="J30">
        <f>COUNTIF($Z$1:Z29,1)</f>
        <v>10</v>
      </c>
      <c r="K30">
        <f>COUNTIF($Z$1:Z29,2)</f>
        <v>10</v>
      </c>
      <c r="L30">
        <f>COUNTIF($Z$1:Z29,3)</f>
        <v>8</v>
      </c>
      <c r="M30">
        <f>COUNTIFS($Z$1:Z29,1,$C$1:C29,C30)</f>
        <v>5</v>
      </c>
      <c r="N30">
        <f>COUNTIFS($Z$1:Z29,2,$C$1:C29,C30)</f>
        <v>5</v>
      </c>
      <c r="O30">
        <f>COUNTIFS($Z$1:Z29,3,$C$1:C29,C30)</f>
        <v>4</v>
      </c>
      <c r="P30">
        <f>F30*COUNTIFS($Z$1:Z29,1,$F$1:F29,1)+G30*COUNTIFS($Z$1:Z29,1,$G$1:G29,1)+H30*COUNTIFS($Z$1:Z29,1,$H$1:H29,1)+I30*COUNTIFS($Z$1:Z29,1,$I$1:I29,1)</f>
        <v>0</v>
      </c>
      <c r="Q30">
        <f>F30*COUNTIFS($Z$1:Z29,2,$F$1:F29,1)+G30*COUNTIFS($Z$1:Z29,2,$G$1:G29,1)+H30*COUNTIFS($Z$1:Z29,2,$H$1:H29,1)+I30*COUNTIFS($Z$1:Z29,2,$I$1:I29,1)</f>
        <v>0</v>
      </c>
      <c r="R30">
        <f>F30*COUNTIFS($Z$1:Z29,3,$F$1:F29,1)+G30*COUNTIFS($Z$1:Z29,3,$G$1:G29,1)+H30*COUNTIFS($Z$1:Z29,3,$H$1:H29,1)+I30*COUNTIFS($Z$1:Z29,3,$I$1:I29,1)</f>
        <v>0</v>
      </c>
      <c r="S30">
        <f>IF(E30="",0,COUNTIFS($Z$1:Z29,1,$E$1:E29,E30))</f>
        <v>3</v>
      </c>
      <c r="T30">
        <f>IF(E30="",0,COUNTIFS($Z$1:Z29,2,$E$1:E29,E30))</f>
        <v>2</v>
      </c>
      <c r="U30">
        <f>IF(E30="",0,COUNTIFS($Z$1:Z29,3,$E$1:E29,E30))</f>
        <v>5</v>
      </c>
      <c r="V30">
        <f>SUMIF($Z$1:Z29,1,$D$1:D29)</f>
        <v>1.35343530476492</v>
      </c>
      <c r="W30">
        <f>SUMIF($Z$1:Z29,2,$D$1:D29)</f>
        <v>1.21901634911564</v>
      </c>
      <c r="X30">
        <f>SUMIF($Z$1:Z29,3,$D$1:D29)</f>
        <v>2.12822900997296</v>
      </c>
      <c r="Y30">
        <f>IF(B30="",0,INDEX('①名簿入力'!$AL$4:$AL$153,B30))</f>
        <v>1.38660662778237</v>
      </c>
      <c r="Z30">
        <f>IF(B30="","",MATCH(MIN(AA30:AC30),AA30:AC30,0))</f>
        <v>3</v>
      </c>
      <c r="AA30">
        <f>IF(B30="","",IF(J30&gt;=$AE$2,1E+15,M30*1E+10+P30*1E+8+ROUND(100*(D30*V30+$AF$5*Y30*AI30+$AF$4*S30),0)+1E+6))</f>
        <v>50001000318</v>
      </c>
      <c r="AB30">
        <f>IF(B30="","",IF(K30&gt;=$AF$2,1E+15,N30*1E+10+Q30*1E+8+ROUND(100*(D30*W30+$AF$5*Y30*AJ30+$AF$4*T30),0)+1E+6))</f>
        <v>50001000199</v>
      </c>
      <c r="AC30">
        <f>IF(B30="","",IF(L30&gt;=$AG$2,1E+15,O30*1E+10+R30*1E+8+ROUND(100*(D30*X30+$AF$5*Y30*AK30+$AF$4*U30),0)+1E+6))</f>
        <v>40001000657</v>
      </c>
      <c r="AI30">
        <f>SUMIFS($Y$1:Y29,$Z$1:Z29,1,$C$1:C29,C30)</f>
        <v>-1.03257940366772</v>
      </c>
      <c r="AJ30">
        <f>SUMIFS($Y$1:Y29,$Z$1:Z29,2,$C$1:C29,C30)</f>
        <v>-1.94293512281966</v>
      </c>
      <c r="AK30">
        <f>SUMIFS($Y$1:Y29,$Z$1:Z29,3,$C$1:C29,C30)</f>
        <v>0.539470055793745</v>
      </c>
    </row>
    <row r="31">
      <c r="A31" t="n">
        <v>30</v>
      </c>
      <c r="B31">
        <f>IFERROR(MATCH(A31,'①名簿入力'!$AF$4:$AF$153,0),"")</f>
        <v>2</v>
      </c>
      <c r="C31">
        <f>IF(B31="","",INDEX('①名簿入力'!$X$4:$X$153,B31))</f>
        <v>2</v>
      </c>
      <c r="D31">
        <f>IF(B31="","",(INDEX('①名簿入力'!$AD$4:$AD$153,B31)-'設定'!$C$37)/'設定'!$C$38)</f>
        <v>-2.06763379821996</v>
      </c>
      <c r="E31" t="str">
        <f>IF(B31="","",INDEX('①名簿入力'!$B$4:$B$153,B31)&amp;"")</f>
        <v>1</v>
      </c>
      <c r="F31">
        <f>IF(B31="",0,INDEX('①名簿入力'!$Y$4:$Y$153,B31))</f>
        <v>0</v>
      </c>
      <c r="G31">
        <f>IF(B31="",0,INDEX('①名簿入力'!$Z$4:$Z$153,B31))</f>
        <v>0</v>
      </c>
      <c r="H31">
        <f>IF(B31="",0,INDEX('①名簿入力'!$AA$4:$AA$153,B31))</f>
        <v>0</v>
      </c>
      <c r="I31">
        <f>IF(B31="",0,INDEX('①名簿入力'!$AB$4:$AB$153,B31))</f>
        <v>0</v>
      </c>
      <c r="J31">
        <f>COUNTIF($Z$1:Z30,1)</f>
        <v>10</v>
      </c>
      <c r="K31">
        <f>COUNTIF($Z$1:Z30,2)</f>
        <v>10</v>
      </c>
      <c r="L31">
        <f>COUNTIF($Z$1:Z30,3)</f>
        <v>9</v>
      </c>
      <c r="M31">
        <f>COUNTIFS($Z$1:Z30,1,$C$1:C30,C31)</f>
        <v>5</v>
      </c>
      <c r="N31">
        <f>COUNTIFS($Z$1:Z30,2,$C$1:C30,C31)</f>
        <v>5</v>
      </c>
      <c r="O31">
        <f>COUNTIFS($Z$1:Z30,3,$C$1:C30,C31)</f>
        <v>4</v>
      </c>
      <c r="P31">
        <f>F31*COUNTIFS($Z$1:Z30,1,$F$1:F30,1)+G31*COUNTIFS($Z$1:Z30,1,$G$1:G30,1)+H31*COUNTIFS($Z$1:Z30,1,$H$1:H30,1)+I31*COUNTIFS($Z$1:Z30,1,$I$1:I30,1)</f>
        <v>0</v>
      </c>
      <c r="Q31">
        <f>F31*COUNTIFS($Z$1:Z30,2,$F$1:F30,1)+G31*COUNTIFS($Z$1:Z30,2,$G$1:G30,1)+H31*COUNTIFS($Z$1:Z30,2,$H$1:H30,1)+I31*COUNTIFS($Z$1:Z30,2,$I$1:I30,1)</f>
        <v>0</v>
      </c>
      <c r="R31">
        <f>F31*COUNTIFS($Z$1:Z30,3,$F$1:F30,1)+G31*COUNTIFS($Z$1:Z30,3,$G$1:G30,1)+H31*COUNTIFS($Z$1:Z30,3,$H$1:H30,1)+I31*COUNTIFS($Z$1:Z30,3,$I$1:I30,1)</f>
        <v>0</v>
      </c>
      <c r="S31">
        <f>IF(E31="",0,COUNTIFS($Z$1:Z30,1,$E$1:E30,E31))</f>
        <v>2</v>
      </c>
      <c r="T31">
        <f>IF(E31="",0,COUNTIFS($Z$1:Z30,2,$E$1:E30,E31))</f>
        <v>5</v>
      </c>
      <c r="U31">
        <f>IF(E31="",0,COUNTIFS($Z$1:Z30,3,$E$1:E30,E31))</f>
        <v>0</v>
      </c>
      <c r="V31">
        <f>SUMIF($Z$1:Z30,1,$D$1:D30)</f>
        <v>1.35343530476492</v>
      </c>
      <c r="W31">
        <f>SUMIF($Z$1:Z30,2,$D$1:D30)</f>
        <v>1.21901634911564</v>
      </c>
      <c r="X31">
        <f>SUMIF($Z$1:Z30,3,$D$1:D30)</f>
        <v>4.45161442962932</v>
      </c>
      <c r="Y31">
        <f>IF(B31="",0,INDEX('①名簿入力'!$AL$4:$AL$153,B31))</f>
        <v>-0.105965354117278</v>
      </c>
      <c r="Z31">
        <f>IF(B31="","",MATCH(MIN(AA31:AC31),AA31:AC31,0))</f>
        <v>3</v>
      </c>
      <c r="AA31">
        <f>IF(B31="","",IF(J31&gt;=$AE$2,1E+15,M31*1E+10+P31*1E+8+ROUND(100*(D31*V31+$AF$5*Y31*AI31+$AF$4*S31),0)+1E+6))</f>
        <v>50000999768</v>
      </c>
      <c r="AB31">
        <f>IF(B31="","",IF(K31&gt;=$AF$2,1E+15,N31*1E+10+Q31*1E+8+ROUND(100*(D31*W31+$AF$5*Y31*AJ31+$AF$4*T31),0)+1E+6))</f>
        <v>50000999873</v>
      </c>
      <c r="AC31">
        <f>IF(B31="","",IF(L31&gt;=$AG$2,1E+15,O31*1E+10+R31*1E+8+ROUND(100*(D31*X31+$AF$5*Y31*AK31+$AF$4*U31),0)+1E+6))</f>
        <v>40000999069</v>
      </c>
      <c r="AI31">
        <f>SUMIFS($Y$1:Y30,$Z$1:Z30,1,$C$1:C30,C31)</f>
        <v>0.452761058501095</v>
      </c>
      <c r="AJ31">
        <f>SUMIFS($Y$1:Y30,$Z$1:Z30,2,$C$1:C30,C31)</f>
        <v>-0.0385328560426494</v>
      </c>
      <c r="AK31">
        <f>SUMIFS($Y$1:Y30,$Z$1:Z30,3,$C$1:C30,C31)</f>
        <v>2.03260815624961</v>
      </c>
    </row>
    <row r="32">
      <c r="A32" t="n">
        <v>31</v>
      </c>
      <c r="B32">
        <f>IFERROR(MATCH(A32,'①名簿入力'!$AF$4:$AF$153,0),"")</f>
        <v>59</v>
      </c>
      <c r="C32">
        <f>IF(B32="","",INDEX('①名簿入力'!$X$4:$X$153,B32))</f>
        <v>2</v>
      </c>
      <c r="D32">
        <f>IF(B32="","",(INDEX('①名簿入力'!$AD$4:$AD$153,B32)-'設定'!$C$37)/'設定'!$C$38)</f>
        <v>-1.76892500788824</v>
      </c>
      <c r="E32" t="str">
        <f>IF(B32="","",INDEX('①名簿入力'!$B$4:$B$153,B32)&amp;"")</f>
        <v>2</v>
      </c>
      <c r="F32">
        <f>IF(B32="",0,INDEX('①名簿入力'!$Y$4:$Y$153,B32))</f>
        <v>0</v>
      </c>
      <c r="G32">
        <f>IF(B32="",0,INDEX('①名簿入力'!$Z$4:$Z$153,B32))</f>
        <v>0</v>
      </c>
      <c r="H32">
        <f>IF(B32="",0,INDEX('①名簿入力'!$AA$4:$AA$153,B32))</f>
        <v>0</v>
      </c>
      <c r="I32">
        <f>IF(B32="",0,INDEX('①名簿入力'!$AB$4:$AB$153,B32))</f>
        <v>0</v>
      </c>
      <c r="J32">
        <f>COUNTIF($Z$1:Z31,1)</f>
        <v>10</v>
      </c>
      <c r="K32">
        <f>COUNTIF($Z$1:Z31,2)</f>
        <v>10</v>
      </c>
      <c r="L32">
        <f>COUNTIF($Z$1:Z31,3)</f>
        <v>10</v>
      </c>
      <c r="M32">
        <f>COUNTIFS($Z$1:Z31,1,$C$1:C31,C32)</f>
        <v>5</v>
      </c>
      <c r="N32">
        <f>COUNTIFS($Z$1:Z31,2,$C$1:C31,C32)</f>
        <v>5</v>
      </c>
      <c r="O32">
        <f>COUNTIFS($Z$1:Z31,3,$C$1:C31,C32)</f>
        <v>5</v>
      </c>
      <c r="P32">
        <f>F32*COUNTIFS($Z$1:Z31,1,$F$1:F31,1)+G32*COUNTIFS($Z$1:Z31,1,$G$1:G31,1)+H32*COUNTIFS($Z$1:Z31,1,$H$1:H31,1)+I32*COUNTIFS($Z$1:Z31,1,$I$1:I31,1)</f>
        <v>0</v>
      </c>
      <c r="Q32">
        <f>F32*COUNTIFS($Z$1:Z31,2,$F$1:F31,1)+G32*COUNTIFS($Z$1:Z31,2,$G$1:G31,1)+H32*COUNTIFS($Z$1:Z31,2,$H$1:H31,1)+I32*COUNTIFS($Z$1:Z31,2,$I$1:I31,1)</f>
        <v>0</v>
      </c>
      <c r="R32">
        <f>F32*COUNTIFS($Z$1:Z31,3,$F$1:F31,1)+G32*COUNTIFS($Z$1:Z31,3,$G$1:G31,1)+H32*COUNTIFS($Z$1:Z31,3,$H$1:H31,1)+I32*COUNTIFS($Z$1:Z31,3,$I$1:I31,1)</f>
        <v>0</v>
      </c>
      <c r="S32">
        <f>IF(E32="",0,COUNTIFS($Z$1:Z31,1,$E$1:E31,E32))</f>
        <v>5</v>
      </c>
      <c r="T32">
        <f>IF(E32="",0,COUNTIFS($Z$1:Z31,2,$E$1:E31,E32))</f>
        <v>3</v>
      </c>
      <c r="U32">
        <f>IF(E32="",0,COUNTIFS($Z$1:Z31,3,$E$1:E31,E32))</f>
        <v>3</v>
      </c>
      <c r="V32">
        <f>SUMIF($Z$1:Z31,1,$D$1:D31)</f>
        <v>1.35343530476492</v>
      </c>
      <c r="W32">
        <f>SUMIF($Z$1:Z31,2,$D$1:D31)</f>
        <v>1.21901634911564</v>
      </c>
      <c r="X32">
        <f>SUMIF($Z$1:Z31,3,$D$1:D31)</f>
        <v>2.38398063140936</v>
      </c>
      <c r="Y32">
        <f>IF(B32="",0,INDEX('①名簿入力'!$AL$4:$AL$153,B32))</f>
        <v>-0.105965354117278</v>
      </c>
      <c r="Z32">
        <f>IF(B32="","",MATCH(MIN(AA32:AC32),AA32:AC32,0))</f>
        <v>3</v>
      </c>
      <c r="AA32">
        <f>IF(B32="","",IF(J32&gt;=$AE$2,1E+15,M32*1E+10+P32*1E+8+ROUND(100*(D32*V32+$AF$5*Y32*AI32+$AF$4*S32),0)+1E+6))</f>
        <v>50000999883</v>
      </c>
      <c r="AB32">
        <f>IF(B32="","",IF(K32&gt;=$AF$2,1E+15,N32*1E+10+Q32*1E+8+ROUND(100*(D32*W32+$AF$5*Y32*AJ32+$AF$4*T32),0)+1E+6))</f>
        <v>50000999860</v>
      </c>
      <c r="AC32">
        <f>IF(B32="","",IF(L32&gt;=$AG$2,1E+15,O32*1E+10+R32*1E+8+ROUND(100*(D32*X32+$AF$5*Y32*AK32+$AF$4*U32),0)+1E+6))</f>
        <v>50000999643</v>
      </c>
      <c r="AI32">
        <f>SUMIFS($Y$1:Y31,$Z$1:Z31,1,$C$1:C31,C32)</f>
        <v>0.452761058501095</v>
      </c>
      <c r="AJ32">
        <f>SUMIFS($Y$1:Y31,$Z$1:Z31,2,$C$1:C31,C32)</f>
        <v>-0.0385328560426494</v>
      </c>
      <c r="AK32">
        <f>SUMIFS($Y$1:Y31,$Z$1:Z31,3,$C$1:C31,C32)</f>
        <v>1.92664280213233</v>
      </c>
    </row>
    <row r="33">
      <c r="A33" t="n">
        <v>32</v>
      </c>
      <c r="B33">
        <f>IFERROR(MATCH(A33,'①名簿入力'!$AF$4:$AF$153,0),"")</f>
        <v>93</v>
      </c>
      <c r="C33">
        <f>IF(B33="","",INDEX('①名簿入力'!$X$4:$X$153,B33))</f>
        <v>2</v>
      </c>
      <c r="D33">
        <f>IF(B33="","",(INDEX('①名簿入力'!$AD$4:$AD$153,B33)-'設定'!$C$37)/'設定'!$C$38)</f>
        <v>1.6363552018934</v>
      </c>
      <c r="E33" t="str">
        <f>IF(B33="","",INDEX('①名簿入力'!$B$4:$B$153,B33)&amp;"")</f>
        <v>3</v>
      </c>
      <c r="F33">
        <f>IF(B33="",0,INDEX('①名簿入力'!$Y$4:$Y$153,B33))</f>
        <v>0</v>
      </c>
      <c r="G33">
        <f>IF(B33="",0,INDEX('①名簿入力'!$Z$4:$Z$153,B33))</f>
        <v>0</v>
      </c>
      <c r="H33">
        <f>IF(B33="",0,INDEX('①名簿入力'!$AA$4:$AA$153,B33))</f>
        <v>0</v>
      </c>
      <c r="I33">
        <f>IF(B33="",0,INDEX('①名簿入力'!$AB$4:$AB$153,B33))</f>
        <v>0</v>
      </c>
      <c r="J33">
        <f>COUNTIF($Z$1:Z32,1)</f>
        <v>10</v>
      </c>
      <c r="K33">
        <f>COUNTIF($Z$1:Z32,2)</f>
        <v>10</v>
      </c>
      <c r="L33">
        <f>COUNTIF($Z$1:Z32,3)</f>
        <v>11</v>
      </c>
      <c r="M33">
        <f>COUNTIFS($Z$1:Z32,1,$C$1:C32,C33)</f>
        <v>5</v>
      </c>
      <c r="N33">
        <f>COUNTIFS($Z$1:Z32,2,$C$1:C32,C33)</f>
        <v>5</v>
      </c>
      <c r="O33">
        <f>COUNTIFS($Z$1:Z32,3,$C$1:C32,C33)</f>
        <v>6</v>
      </c>
      <c r="P33">
        <f>F33*COUNTIFS($Z$1:Z32,1,$F$1:F32,1)+G33*COUNTIFS($Z$1:Z32,1,$G$1:G32,1)+H33*COUNTIFS($Z$1:Z32,1,$H$1:H32,1)+I33*COUNTIFS($Z$1:Z32,1,$I$1:I32,1)</f>
        <v>0</v>
      </c>
      <c r="Q33">
        <f>F33*COUNTIFS($Z$1:Z32,2,$F$1:F32,1)+G33*COUNTIFS($Z$1:Z32,2,$G$1:G32,1)+H33*COUNTIFS($Z$1:Z32,2,$H$1:H32,1)+I33*COUNTIFS($Z$1:Z32,2,$I$1:I32,1)</f>
        <v>0</v>
      </c>
      <c r="R33">
        <f>F33*COUNTIFS($Z$1:Z32,3,$F$1:F32,1)+G33*COUNTIFS($Z$1:Z32,3,$G$1:G32,1)+H33*COUNTIFS($Z$1:Z32,3,$H$1:H32,1)+I33*COUNTIFS($Z$1:Z32,3,$I$1:I32,1)</f>
        <v>0</v>
      </c>
      <c r="S33">
        <f>IF(E33="",0,COUNTIFS($Z$1:Z32,1,$E$1:E32,E33))</f>
        <v>3</v>
      </c>
      <c r="T33">
        <f>IF(E33="",0,COUNTIFS($Z$1:Z32,2,$E$1:E32,E33))</f>
        <v>2</v>
      </c>
      <c r="U33">
        <f>IF(E33="",0,COUNTIFS($Z$1:Z32,3,$E$1:E32,E33))</f>
        <v>6</v>
      </c>
      <c r="V33">
        <f>SUMIF($Z$1:Z32,1,$D$1:D32)</f>
        <v>1.35343530476492</v>
      </c>
      <c r="W33">
        <f>SUMIF($Z$1:Z32,2,$D$1:D32)</f>
        <v>1.21901634911564</v>
      </c>
      <c r="X33">
        <f>SUMIF($Z$1:Z32,3,$D$1:D32)</f>
        <v>0.615055623521125</v>
      </c>
      <c r="Y33">
        <f>IF(B33="",0,INDEX('①名簿入力'!$AL$4:$AL$153,B33))</f>
        <v>-0.597259268661025</v>
      </c>
      <c r="Z33">
        <f>IF(B33="","",MATCH(MIN(AA33:AC33),AA33:AC33,0))</f>
        <v>2</v>
      </c>
      <c r="AA33">
        <f>IF(B33="","",IF(J33&gt;=$AE$2,1E+15,M33*1E+10+P33*1E+8+ROUND(100*(D33*V33+$AF$5*Y33*AI33+$AF$4*S33),0)+1E+6))</f>
        <v>50001000283</v>
      </c>
      <c r="AB33">
        <f>IF(B33="","",IF(K33&gt;=$AF$2,1E+15,N33*1E+10+Q33*1E+8+ROUND(100*(D33*W33+$AF$5*Y33*AJ33+$AF$4*T33),0)+1E+6))</f>
        <v>50001000251</v>
      </c>
      <c r="AC33">
        <f>IF(B33="","",IF(L33&gt;=$AG$2,1E+15,O33*1E+10+R33*1E+8+ROUND(100*(D33*X33+$AF$5*Y33*AK33+$AF$4*U33),0)+1E+6))</f>
        <v>60001000196</v>
      </c>
      <c r="AI33">
        <f>SUMIFS($Y$1:Y32,$Z$1:Z32,1,$C$1:C32,C33)</f>
        <v>0.452761058501095</v>
      </c>
      <c r="AJ33">
        <f>SUMIFS($Y$1:Y32,$Z$1:Z32,2,$C$1:C32,C33)</f>
        <v>-0.0385328560426494</v>
      </c>
      <c r="AK33">
        <f>SUMIFS($Y$1:Y32,$Z$1:Z32,3,$C$1:C32,C33)</f>
        <v>1.82067744801505</v>
      </c>
    </row>
    <row r="34">
      <c r="A34" t="n">
        <v>33</v>
      </c>
      <c r="B34">
        <f>IFERROR(MATCH(A34,'①名簿入力'!$AF$4:$AF$153,0),"")</f>
        <v>79</v>
      </c>
      <c r="C34">
        <f>IF(B34="","",INDEX('①名簿入力'!$X$4:$X$153,B34))</f>
        <v>2</v>
      </c>
      <c r="D34">
        <f>IF(B34="","",(INDEX('①名簿入力'!$AD$4:$AD$153,B34)-'設定'!$C$37)/'設定'!$C$38)</f>
        <v>1.62141976237681</v>
      </c>
      <c r="E34" t="str">
        <f>IF(B34="","",INDEX('①名簿入力'!$B$4:$B$153,B34)&amp;"")</f>
        <v>3</v>
      </c>
      <c r="F34">
        <f>IF(B34="",0,INDEX('①名簿入力'!$Y$4:$Y$153,B34))</f>
        <v>0</v>
      </c>
      <c r="G34">
        <f>IF(B34="",0,INDEX('①名簿入力'!$Z$4:$Z$153,B34))</f>
        <v>0</v>
      </c>
      <c r="H34">
        <f>IF(B34="",0,INDEX('①名簿入力'!$AA$4:$AA$153,B34))</f>
        <v>0</v>
      </c>
      <c r="I34">
        <f>IF(B34="",0,INDEX('①名簿入力'!$AB$4:$AB$153,B34))</f>
        <v>0</v>
      </c>
      <c r="J34">
        <f>COUNTIF($Z$1:Z33,1)</f>
        <v>10</v>
      </c>
      <c r="K34">
        <f>COUNTIF($Z$1:Z33,2)</f>
        <v>11</v>
      </c>
      <c r="L34">
        <f>COUNTIF($Z$1:Z33,3)</f>
        <v>11</v>
      </c>
      <c r="M34">
        <f>COUNTIFS($Z$1:Z33,1,$C$1:C33,C34)</f>
        <v>5</v>
      </c>
      <c r="N34">
        <f>COUNTIFS($Z$1:Z33,2,$C$1:C33,C34)</f>
        <v>6</v>
      </c>
      <c r="O34">
        <f>COUNTIFS($Z$1:Z33,3,$C$1:C33,C34)</f>
        <v>6</v>
      </c>
      <c r="P34">
        <f>F34*COUNTIFS($Z$1:Z33,1,$F$1:F33,1)+G34*COUNTIFS($Z$1:Z33,1,$G$1:G33,1)+H34*COUNTIFS($Z$1:Z33,1,$H$1:H33,1)+I34*COUNTIFS($Z$1:Z33,1,$I$1:I33,1)</f>
        <v>0</v>
      </c>
      <c r="Q34">
        <f>F34*COUNTIFS($Z$1:Z33,2,$F$1:F33,1)+G34*COUNTIFS($Z$1:Z33,2,$G$1:G33,1)+H34*COUNTIFS($Z$1:Z33,2,$H$1:H33,1)+I34*COUNTIFS($Z$1:Z33,2,$I$1:I33,1)</f>
        <v>0</v>
      </c>
      <c r="R34">
        <f>F34*COUNTIFS($Z$1:Z33,3,$F$1:F33,1)+G34*COUNTIFS($Z$1:Z33,3,$G$1:G33,1)+H34*COUNTIFS($Z$1:Z33,3,$H$1:H33,1)+I34*COUNTIFS($Z$1:Z33,3,$I$1:I33,1)</f>
        <v>0</v>
      </c>
      <c r="S34">
        <f>IF(E34="",0,COUNTIFS($Z$1:Z33,1,$E$1:E33,E34))</f>
        <v>3</v>
      </c>
      <c r="T34">
        <f>IF(E34="",0,COUNTIFS($Z$1:Z33,2,$E$1:E33,E34))</f>
        <v>3</v>
      </c>
      <c r="U34">
        <f>IF(E34="",0,COUNTIFS($Z$1:Z33,3,$E$1:E33,E34))</f>
        <v>6</v>
      </c>
      <c r="V34">
        <f>SUMIF($Z$1:Z33,1,$D$1:D33)</f>
        <v>1.35343530476492</v>
      </c>
      <c r="W34">
        <f>SUMIF($Z$1:Z33,2,$D$1:D33)</f>
        <v>2.85537155100904</v>
      </c>
      <c r="X34">
        <f>SUMIF($Z$1:Z33,3,$D$1:D33)</f>
        <v>0.615055623521125</v>
      </c>
      <c r="Y34">
        <f>IF(B34="",0,INDEX('①名簿入力'!$AL$4:$AL$153,B34))</f>
        <v>-1.08855318320477</v>
      </c>
      <c r="Z34">
        <f>IF(B34="","",MATCH(MIN(AA34:AC34),AA34:AC34,0))</f>
        <v>1</v>
      </c>
      <c r="AA34">
        <f>IF(B34="","",IF(J34&gt;=$AE$2,1E+15,M34*1E+10+P34*1E+8+ROUND(100*(D34*V34+$AF$5*Y34*AI34+$AF$4*S34),0)+1E+6))</f>
        <v>50001000270</v>
      </c>
      <c r="AB34">
        <f>IF(B34="","",IF(K34&gt;=$AF$2,1E+15,N34*1E+10+Q34*1E+8+ROUND(100*(D34*W34+$AF$5*Y34*AJ34+$AF$4*T34),0)+1E+6))</f>
        <v>60001000573</v>
      </c>
      <c r="AC34">
        <f>IF(B34="","",IF(L34&gt;=$AG$2,1E+15,O34*1E+10+R34*1E+8+ROUND(100*(D34*X34+$AF$5*Y34*AK34+$AF$4*U34),0)+1E+6))</f>
        <v>60001000151</v>
      </c>
      <c r="AI34">
        <f>SUMIFS($Y$1:Y33,$Z$1:Z33,1,$C$1:C33,C34)</f>
        <v>0.452761058501095</v>
      </c>
      <c r="AJ34">
        <f>SUMIFS($Y$1:Y33,$Z$1:Z33,2,$C$1:C33,C34)</f>
        <v>-0.635792124703674</v>
      </c>
      <c r="AK34">
        <f>SUMIFS($Y$1:Y33,$Z$1:Z33,3,$C$1:C33,C34)</f>
        <v>1.82067744801505</v>
      </c>
    </row>
    <row r="35">
      <c r="A35" t="n">
        <v>34</v>
      </c>
      <c r="B35">
        <f>IFERROR(MATCH(A35,'①名簿入力'!$AF$4:$AF$153,0),"")</f>
        <v>63</v>
      </c>
      <c r="C35">
        <f>IF(B35="","",INDEX('①名簿入力'!$X$4:$X$153,B35))</f>
        <v>2</v>
      </c>
      <c r="D35">
        <f>IF(B35="","",(INDEX('①名簿入力'!$AD$4:$AD$153,B35)-'設定'!$C$37)/'設定'!$C$38)</f>
        <v>1.53180712527729</v>
      </c>
      <c r="E35" t="str">
        <f>IF(B35="","",INDEX('①名簿入力'!$B$4:$B$153,B35)&amp;"")</f>
        <v>2</v>
      </c>
      <c r="F35">
        <f>IF(B35="",0,INDEX('①名簿入力'!$Y$4:$Y$153,B35))</f>
        <v>0</v>
      </c>
      <c r="G35">
        <f>IF(B35="",0,INDEX('①名簿入力'!$Z$4:$Z$153,B35))</f>
        <v>0</v>
      </c>
      <c r="H35">
        <f>IF(B35="",0,INDEX('①名簿入力'!$AA$4:$AA$153,B35))</f>
        <v>0</v>
      </c>
      <c r="I35">
        <f>IF(B35="",0,INDEX('①名簿入力'!$AB$4:$AB$153,B35))</f>
        <v>0</v>
      </c>
      <c r="J35">
        <f>COUNTIF($Z$1:Z34,1)</f>
        <v>11</v>
      </c>
      <c r="K35">
        <f>COUNTIF($Z$1:Z34,2)</f>
        <v>11</v>
      </c>
      <c r="L35">
        <f>COUNTIF($Z$1:Z34,3)</f>
        <v>11</v>
      </c>
      <c r="M35">
        <f>COUNTIFS($Z$1:Z34,1,$C$1:C34,C35)</f>
        <v>6</v>
      </c>
      <c r="N35">
        <f>COUNTIFS($Z$1:Z34,2,$C$1:C34,C35)</f>
        <v>6</v>
      </c>
      <c r="O35">
        <f>COUNTIFS($Z$1:Z34,3,$C$1:C34,C35)</f>
        <v>6</v>
      </c>
      <c r="P35">
        <f>F35*COUNTIFS($Z$1:Z34,1,$F$1:F34,1)+G35*COUNTIFS($Z$1:Z34,1,$G$1:G34,1)+H35*COUNTIFS($Z$1:Z34,1,$H$1:H34,1)+I35*COUNTIFS($Z$1:Z34,1,$I$1:I34,1)</f>
        <v>0</v>
      </c>
      <c r="Q35">
        <f>F35*COUNTIFS($Z$1:Z34,2,$F$1:F34,1)+G35*COUNTIFS($Z$1:Z34,2,$G$1:G34,1)+H35*COUNTIFS($Z$1:Z34,2,$H$1:H34,1)+I35*COUNTIFS($Z$1:Z34,2,$I$1:I34,1)</f>
        <v>0</v>
      </c>
      <c r="R35">
        <f>F35*COUNTIFS($Z$1:Z34,3,$F$1:F34,1)+G35*COUNTIFS($Z$1:Z34,3,$G$1:G34,1)+H35*COUNTIFS($Z$1:Z34,3,$H$1:H34,1)+I35*COUNTIFS($Z$1:Z34,3,$I$1:I34,1)</f>
        <v>0</v>
      </c>
      <c r="S35">
        <f>IF(E35="",0,COUNTIFS($Z$1:Z34,1,$E$1:E34,E35))</f>
        <v>5</v>
      </c>
      <c r="T35">
        <f>IF(E35="",0,COUNTIFS($Z$1:Z34,2,$E$1:E34,E35))</f>
        <v>3</v>
      </c>
      <c r="U35">
        <f>IF(E35="",0,COUNTIFS($Z$1:Z34,3,$E$1:E34,E35))</f>
        <v>4</v>
      </c>
      <c r="V35">
        <f>SUMIF($Z$1:Z34,1,$D$1:D34)</f>
        <v>2.97485506714173</v>
      </c>
      <c r="W35">
        <f>SUMIF($Z$1:Z34,2,$D$1:D34)</f>
        <v>2.85537155100904</v>
      </c>
      <c r="X35">
        <f>SUMIF($Z$1:Z34,3,$D$1:D34)</f>
        <v>0.615055623521125</v>
      </c>
      <c r="Y35">
        <f>IF(B35="",0,INDEX('①名簿入力'!$AL$4:$AL$153,B35))</f>
        <v>0.876622474970213</v>
      </c>
      <c r="Z35">
        <f>IF(B35="","",MATCH(MIN(AA35:AC35),AA35:AC35,0))</f>
        <v>3</v>
      </c>
      <c r="AA35">
        <f>IF(B35="","",IF(J35&gt;=$AE$2,1E+15,M35*1E+10+P35*1E+8+ROUND(100*(D35*V35+$AF$5*Y35*AI35+$AF$4*S35),0)+1E+6))</f>
        <v>60001000553</v>
      </c>
      <c r="AB35">
        <f>IF(B35="","",IF(K35&gt;=$AF$2,1E+15,N35*1E+10+Q35*1E+8+ROUND(100*(D35*W35+$AF$5*Y35*AJ35+$AF$4*T35),0)+1E+6))</f>
        <v>60001000485</v>
      </c>
      <c r="AC35">
        <f>IF(B35="","",IF(L35&gt;=$AG$2,1E+15,O35*1E+10+R35*1E+8+ROUND(100*(D35*X35+$AF$5*Y35*AK35+$AF$4*U35),0)+1E+6))</f>
        <v>60001000274</v>
      </c>
      <c r="AI35">
        <f>SUMIFS($Y$1:Y34,$Z$1:Z34,1,$C$1:C34,C35)</f>
        <v>-0.635792124703677</v>
      </c>
      <c r="AJ35">
        <f>SUMIFS($Y$1:Y34,$Z$1:Z34,2,$C$1:C34,C35)</f>
        <v>-0.635792124703674</v>
      </c>
      <c r="AK35">
        <f>SUMIFS($Y$1:Y34,$Z$1:Z34,3,$C$1:C34,C35)</f>
        <v>1.82067744801505</v>
      </c>
    </row>
    <row r="36">
      <c r="A36" t="n">
        <v>35</v>
      </c>
      <c r="B36">
        <f>IFERROR(MATCH(A36,'①名簿入力'!$AF$4:$AF$153,0),"")</f>
        <v>37</v>
      </c>
      <c r="C36">
        <f>IF(B36="","",INDEX('①名簿入力'!$X$4:$X$153,B36))</f>
        <v>2</v>
      </c>
      <c r="D36">
        <f>IF(B36="","",(INDEX('①名簿入力'!$AD$4:$AD$153,B36)-'設定'!$C$37)/'設定'!$C$38)</f>
        <v>-1.50008709658969</v>
      </c>
      <c r="E36" t="str">
        <f>IF(B36="","",INDEX('①名簿入力'!$B$4:$B$153,B36)&amp;"")</f>
        <v>2</v>
      </c>
      <c r="F36">
        <f>IF(B36="",0,INDEX('①名簿入力'!$Y$4:$Y$153,B36))</f>
        <v>0</v>
      </c>
      <c r="G36">
        <f>IF(B36="",0,INDEX('①名簿入力'!$Z$4:$Z$153,B36))</f>
        <v>0</v>
      </c>
      <c r="H36">
        <f>IF(B36="",0,INDEX('①名簿入力'!$AA$4:$AA$153,B36))</f>
        <v>0</v>
      </c>
      <c r="I36">
        <f>IF(B36="",0,INDEX('①名簿入力'!$AB$4:$AB$153,B36))</f>
        <v>0</v>
      </c>
      <c r="J36">
        <f>COUNTIF($Z$1:Z35,1)</f>
        <v>11</v>
      </c>
      <c r="K36">
        <f>COUNTIF($Z$1:Z35,2)</f>
        <v>11</v>
      </c>
      <c r="L36">
        <f>COUNTIF($Z$1:Z35,3)</f>
        <v>12</v>
      </c>
      <c r="M36">
        <f>COUNTIFS($Z$1:Z35,1,$C$1:C35,C36)</f>
        <v>6</v>
      </c>
      <c r="N36">
        <f>COUNTIFS($Z$1:Z35,2,$C$1:C35,C36)</f>
        <v>6</v>
      </c>
      <c r="O36">
        <f>COUNTIFS($Z$1:Z35,3,$C$1:C35,C36)</f>
        <v>7</v>
      </c>
      <c r="P36">
        <f>F36*COUNTIFS($Z$1:Z35,1,$F$1:F35,1)+G36*COUNTIFS($Z$1:Z35,1,$G$1:G35,1)+H36*COUNTIFS($Z$1:Z35,1,$H$1:H35,1)+I36*COUNTIFS($Z$1:Z35,1,$I$1:I35,1)</f>
        <v>0</v>
      </c>
      <c r="Q36">
        <f>F36*COUNTIFS($Z$1:Z35,2,$F$1:F35,1)+G36*COUNTIFS($Z$1:Z35,2,$G$1:G35,1)+H36*COUNTIFS($Z$1:Z35,2,$H$1:H35,1)+I36*COUNTIFS($Z$1:Z35,2,$I$1:I35,1)</f>
        <v>0</v>
      </c>
      <c r="R36">
        <f>F36*COUNTIFS($Z$1:Z35,3,$F$1:F35,1)+G36*COUNTIFS($Z$1:Z35,3,$G$1:G35,1)+H36*COUNTIFS($Z$1:Z35,3,$H$1:H35,1)+I36*COUNTIFS($Z$1:Z35,3,$I$1:I35,1)</f>
        <v>0</v>
      </c>
      <c r="S36">
        <f>IF(E36="",0,COUNTIFS($Z$1:Z35,1,$E$1:E35,E36))</f>
        <v>5</v>
      </c>
      <c r="T36">
        <f>IF(E36="",0,COUNTIFS($Z$1:Z35,2,$E$1:E35,E36))</f>
        <v>3</v>
      </c>
      <c r="U36">
        <f>IF(E36="",0,COUNTIFS($Z$1:Z35,3,$E$1:E35,E36))</f>
        <v>5</v>
      </c>
      <c r="V36">
        <f>SUMIF($Z$1:Z35,1,$D$1:D35)</f>
        <v>2.97485506714173</v>
      </c>
      <c r="W36">
        <f>SUMIF($Z$1:Z35,2,$D$1:D35)</f>
        <v>2.85537155100904</v>
      </c>
      <c r="X36">
        <f>SUMIF($Z$1:Z35,3,$D$1:D35)</f>
        <v>2.14686274879842</v>
      </c>
      <c r="Y36">
        <f>IF(B36="",0,INDEX('①名簿入力'!$AL$4:$AL$153,B36))</f>
        <v>-1.41608245956727</v>
      </c>
      <c r="Z36">
        <f>IF(B36="","",MATCH(MIN(AA36:AC36),AA36:AC36,0))</f>
        <v>2</v>
      </c>
      <c r="AA36">
        <f>IF(B36="","",IF(J36&gt;=$AE$2,1E+15,M36*1E+10+P36*1E+8+ROUND(100*(D36*V36+$AF$5*Y36*AI36+$AF$4*S36),0)+1E+6))</f>
        <v>60000999724</v>
      </c>
      <c r="AB36">
        <f>IF(B36="","",IF(K36&gt;=$AF$2,1E+15,N36*1E+10+Q36*1E+8+ROUND(100*(D36*W36+$AF$5*Y36*AJ36+$AF$4*T36),0)+1E+6))</f>
        <v>60000999692</v>
      </c>
      <c r="AC36">
        <f>IF(B36="","",IF(L36&gt;=$AG$2,1E+15,O36*1E+10+R36*1E+8+ROUND(100*(D36*X36+$AF$5*Y36*AK36+$AF$4*U36),0)+1E+6))</f>
        <v>70000999612</v>
      </c>
      <c r="AI36">
        <f>SUMIFS($Y$1:Y35,$Z$1:Z35,1,$C$1:C35,C36)</f>
        <v>-0.635792124703677</v>
      </c>
      <c r="AJ36">
        <f>SUMIFS($Y$1:Y35,$Z$1:Z35,2,$C$1:C35,C36)</f>
        <v>-0.635792124703674</v>
      </c>
      <c r="AK36">
        <f>SUMIFS($Y$1:Y35,$Z$1:Z35,3,$C$1:C35,C36)</f>
        <v>2.69729992298527</v>
      </c>
    </row>
    <row r="37">
      <c r="A37" t="n">
        <v>36</v>
      </c>
      <c r="B37">
        <f>IFERROR(MATCH(A37,'①名簿入力'!$AF$4:$AF$153,0),"")</f>
        <v>4</v>
      </c>
      <c r="C37">
        <f>IF(B37="","",INDEX('①名簿入力'!$X$4:$X$153,B37))</f>
        <v>2</v>
      </c>
      <c r="D37">
        <f>IF(B37="","",(INDEX('①名簿入力'!$AD$4:$AD$153,B37)-'設定'!$C$37)/'設定'!$C$38)</f>
        <v>-1.42540989900676</v>
      </c>
      <c r="E37" t="str">
        <f>IF(B37="","",INDEX('①名簿入力'!$B$4:$B$153,B37)&amp;"")</f>
        <v>1</v>
      </c>
      <c r="F37">
        <f>IF(B37="",0,INDEX('①名簿入力'!$Y$4:$Y$153,B37))</f>
        <v>0</v>
      </c>
      <c r="G37">
        <f>IF(B37="",0,INDEX('①名簿入力'!$Z$4:$Z$153,B37))</f>
        <v>0</v>
      </c>
      <c r="H37">
        <f>IF(B37="",0,INDEX('①名簿入力'!$AA$4:$AA$153,B37))</f>
        <v>0</v>
      </c>
      <c r="I37">
        <f>IF(B37="",0,INDEX('①名簿入力'!$AB$4:$AB$153,B37))</f>
        <v>0</v>
      </c>
      <c r="J37">
        <f>COUNTIF($Z$1:Z36,1)</f>
        <v>11</v>
      </c>
      <c r="K37">
        <f>COUNTIF($Z$1:Z36,2)</f>
        <v>12</v>
      </c>
      <c r="L37">
        <f>COUNTIF($Z$1:Z36,3)</f>
        <v>12</v>
      </c>
      <c r="M37">
        <f>COUNTIFS($Z$1:Z36,1,$C$1:C36,C37)</f>
        <v>6</v>
      </c>
      <c r="N37">
        <f>COUNTIFS($Z$1:Z36,2,$C$1:C36,C37)</f>
        <v>7</v>
      </c>
      <c r="O37">
        <f>COUNTIFS($Z$1:Z36,3,$C$1:C36,C37)</f>
        <v>7</v>
      </c>
      <c r="P37">
        <f>F37*COUNTIFS($Z$1:Z36,1,$F$1:F36,1)+G37*COUNTIFS($Z$1:Z36,1,$G$1:G36,1)+H37*COUNTIFS($Z$1:Z36,1,$H$1:H36,1)+I37*COUNTIFS($Z$1:Z36,1,$I$1:I36,1)</f>
        <v>0</v>
      </c>
      <c r="Q37">
        <f>F37*COUNTIFS($Z$1:Z36,2,$F$1:F36,1)+G37*COUNTIFS($Z$1:Z36,2,$G$1:G36,1)+H37*COUNTIFS($Z$1:Z36,2,$H$1:H36,1)+I37*COUNTIFS($Z$1:Z36,2,$I$1:I36,1)</f>
        <v>0</v>
      </c>
      <c r="R37">
        <f>F37*COUNTIFS($Z$1:Z36,3,$F$1:F36,1)+G37*COUNTIFS($Z$1:Z36,3,$G$1:G36,1)+H37*COUNTIFS($Z$1:Z36,3,$H$1:H36,1)+I37*COUNTIFS($Z$1:Z36,3,$I$1:I36,1)</f>
        <v>0</v>
      </c>
      <c r="S37">
        <f>IF(E37="",0,COUNTIFS($Z$1:Z36,1,$E$1:E36,E37))</f>
        <v>2</v>
      </c>
      <c r="T37">
        <f>IF(E37="",0,COUNTIFS($Z$1:Z36,2,$E$1:E36,E37))</f>
        <v>5</v>
      </c>
      <c r="U37">
        <f>IF(E37="",0,COUNTIFS($Z$1:Z36,3,$E$1:E36,E37))</f>
        <v>1</v>
      </c>
      <c r="V37">
        <f>SUMIF($Z$1:Z36,1,$D$1:D36)</f>
        <v>2.97485506714173</v>
      </c>
      <c r="W37">
        <f>SUMIF($Z$1:Z36,2,$D$1:D36)</f>
        <v>1.35528445441935</v>
      </c>
      <c r="X37">
        <f>SUMIF($Z$1:Z36,3,$D$1:D36)</f>
        <v>2.14686274879842</v>
      </c>
      <c r="Y37">
        <f>IF(B37="",0,INDEX('①名簿入力'!$AL$4:$AL$153,B37))</f>
        <v>0.712857836788965</v>
      </c>
      <c r="Z37">
        <f>IF(B37="","",MATCH(MIN(AA37:AC37),AA37:AC37,0))</f>
        <v>1</v>
      </c>
      <c r="AA37">
        <f>IF(B37="","",IF(J37&gt;=$AE$2,1E+15,M37*1E+10+P37*1E+8+ROUND(100*(D37*V37+$AF$5*Y37*AI37+$AF$4*S37),0)+1E+6))</f>
        <v>60000999603</v>
      </c>
      <c r="AB37">
        <f>IF(B37="","",IF(K37&gt;=$AF$2,1E+15,N37*1E+10+Q37*1E+8+ROUND(100*(D37*W37+$AF$5*Y37*AJ37+$AF$4*T37),0)+1E+6))</f>
        <v>70000999859</v>
      </c>
      <c r="AC37">
        <f>IF(B37="","",IF(L37&gt;=$AG$2,1E+15,O37*1E+10+R37*1E+8+ROUND(100*(D37*X37+$AF$5*Y37*AK37+$AF$4*U37),0)+1E+6))</f>
        <v>70000999815</v>
      </c>
      <c r="AI37">
        <f>SUMIFS($Y$1:Y36,$Z$1:Z36,1,$C$1:C36,C37)</f>
        <v>-0.635792124703677</v>
      </c>
      <c r="AJ37">
        <f>SUMIFS($Y$1:Y36,$Z$1:Z36,2,$C$1:C36,C37)</f>
        <v>-2.05187458427094</v>
      </c>
      <c r="AK37">
        <f>SUMIFS($Y$1:Y36,$Z$1:Z36,3,$C$1:C36,C37)</f>
        <v>2.69729992298527</v>
      </c>
    </row>
    <row r="38">
      <c r="A38" t="n">
        <v>37</v>
      </c>
      <c r="B38">
        <f>IFERROR(MATCH(A38,'①名簿入力'!$AF$4:$AF$153,0),"")</f>
        <v>48</v>
      </c>
      <c r="C38">
        <f>IF(B38="","",INDEX('①名簿入力'!$X$4:$X$153,B38))</f>
        <v>1</v>
      </c>
      <c r="D38">
        <f>IF(B38="","",(INDEX('①名簿入力'!$AD$4:$AD$153,B38)-'設定'!$C$37)/'設定'!$C$38)</f>
        <v>-1.33579726190724</v>
      </c>
      <c r="E38" t="str">
        <f>IF(B38="","",INDEX('①名簿入力'!$B$4:$B$153,B38)&amp;"")</f>
        <v>2</v>
      </c>
      <c r="F38">
        <f>IF(B38="",0,INDEX('①名簿入力'!$Y$4:$Y$153,B38))</f>
        <v>0</v>
      </c>
      <c r="G38">
        <f>IF(B38="",0,INDEX('①名簿入力'!$Z$4:$Z$153,B38))</f>
        <v>0</v>
      </c>
      <c r="H38">
        <f>IF(B38="",0,INDEX('①名簿入力'!$AA$4:$AA$153,B38))</f>
        <v>0</v>
      </c>
      <c r="I38">
        <f>IF(B38="",0,INDEX('①名簿入力'!$AB$4:$AB$153,B38))</f>
        <v>0</v>
      </c>
      <c r="J38">
        <f>COUNTIF($Z$1:Z37,1)</f>
        <v>12</v>
      </c>
      <c r="K38">
        <f>COUNTIF($Z$1:Z37,2)</f>
        <v>12</v>
      </c>
      <c r="L38">
        <f>COUNTIF($Z$1:Z37,3)</f>
        <v>12</v>
      </c>
      <c r="M38">
        <f>COUNTIFS($Z$1:Z37,1,$C$1:C37,C38)</f>
        <v>5</v>
      </c>
      <c r="N38">
        <f>COUNTIFS($Z$1:Z37,2,$C$1:C37,C38)</f>
        <v>5</v>
      </c>
      <c r="O38">
        <f>COUNTIFS($Z$1:Z37,3,$C$1:C37,C38)</f>
        <v>5</v>
      </c>
      <c r="P38">
        <f>F38*COUNTIFS($Z$1:Z37,1,$F$1:F37,1)+G38*COUNTIFS($Z$1:Z37,1,$G$1:G37,1)+H38*COUNTIFS($Z$1:Z37,1,$H$1:H37,1)+I38*COUNTIFS($Z$1:Z37,1,$I$1:I37,1)</f>
        <v>0</v>
      </c>
      <c r="Q38">
        <f>F38*COUNTIFS($Z$1:Z37,2,$F$1:F37,1)+G38*COUNTIFS($Z$1:Z37,2,$G$1:G37,1)+H38*COUNTIFS($Z$1:Z37,2,$H$1:H37,1)+I38*COUNTIFS($Z$1:Z37,2,$I$1:I37,1)</f>
        <v>0</v>
      </c>
      <c r="R38">
        <f>F38*COUNTIFS($Z$1:Z37,3,$F$1:F37,1)+G38*COUNTIFS($Z$1:Z37,3,$G$1:G37,1)+H38*COUNTIFS($Z$1:Z37,3,$H$1:H37,1)+I38*COUNTIFS($Z$1:Z37,3,$I$1:I37,1)</f>
        <v>0</v>
      </c>
      <c r="S38">
        <f>IF(E38="",0,COUNTIFS($Z$1:Z37,1,$E$1:E37,E38))</f>
        <v>5</v>
      </c>
      <c r="T38">
        <f>IF(E38="",0,COUNTIFS($Z$1:Z37,2,$E$1:E37,E38))</f>
        <v>4</v>
      </c>
      <c r="U38">
        <f>IF(E38="",0,COUNTIFS($Z$1:Z37,3,$E$1:E37,E38))</f>
        <v>5</v>
      </c>
      <c r="V38">
        <f>SUMIF($Z$1:Z37,1,$D$1:D37)</f>
        <v>1.54944516813498</v>
      </c>
      <c r="W38">
        <f>SUMIF($Z$1:Z37,2,$D$1:D37)</f>
        <v>1.35528445441935</v>
      </c>
      <c r="X38">
        <f>SUMIF($Z$1:Z37,3,$D$1:D37)</f>
        <v>2.14686274879842</v>
      </c>
      <c r="Y38">
        <f>IF(B38="",0,INDEX('①名簿入力'!$AL$4:$AL$153,B38))</f>
        <v>-0.43410481052153</v>
      </c>
      <c r="Z38">
        <f>IF(B38="","",MATCH(MIN(AA38:AC38),AA38:AC38,0))</f>
        <v>3</v>
      </c>
      <c r="AA38">
        <f>IF(B38="","",IF(J38&gt;=$AE$2,1E+15,M38*1E+10+P38*1E+8+ROUND(100*(D38*V38+$AF$5*Y38*AI38+$AF$4*S38),0)+1E+6))</f>
        <v>50000999940</v>
      </c>
      <c r="AB38">
        <f>IF(B38="","",IF(K38&gt;=$AF$2,1E+15,N38*1E+10+Q38*1E+8+ROUND(100*(D38*W38+$AF$5*Y38*AJ38+$AF$4*T38),0)+1E+6))</f>
        <v>50000999961</v>
      </c>
      <c r="AC38">
        <f>IF(B38="","",IF(L38&gt;=$AG$2,1E+15,O38*1E+10+R38*1E+8+ROUND(100*(D38*X38+$AF$5*Y38*AK38+$AF$4*U38),0)+1E+6))</f>
        <v>50000999796</v>
      </c>
      <c r="AI38">
        <f>SUMIFS($Y$1:Y37,$Z$1:Z37,1,$C$1:C37,C38)</f>
        <v>-1.03257940366772</v>
      </c>
      <c r="AJ38">
        <f>SUMIFS($Y$1:Y37,$Z$1:Z37,2,$C$1:C37,C38)</f>
        <v>-1.94293512281966</v>
      </c>
      <c r="AK38">
        <f>SUMIFS($Y$1:Y37,$Z$1:Z37,3,$C$1:C37,C38)</f>
        <v>1.92607668357611</v>
      </c>
    </row>
    <row r="39">
      <c r="A39" t="n">
        <v>38</v>
      </c>
      <c r="B39">
        <f>IFERROR(MATCH(A39,'①名簿入力'!$AF$4:$AF$153,0),"")</f>
        <v>50</v>
      </c>
      <c r="C39">
        <f>IF(B39="","",INDEX('①名簿入力'!$X$4:$X$153,B39))</f>
        <v>1</v>
      </c>
      <c r="D39">
        <f>IF(B39="","",(INDEX('①名簿入力'!$AD$4:$AD$153,B39)-'設定'!$C$37)/'設定'!$C$38)</f>
        <v>-1.32086182239065</v>
      </c>
      <c r="E39" t="str">
        <f>IF(B39="","",INDEX('①名簿入力'!$B$4:$B$153,B39)&amp;"")</f>
        <v>2</v>
      </c>
      <c r="F39">
        <f>IF(B39="",0,INDEX('①名簿入力'!$Y$4:$Y$153,B39))</f>
        <v>0</v>
      </c>
      <c r="G39">
        <f>IF(B39="",0,INDEX('①名簿入力'!$Z$4:$Z$153,B39))</f>
        <v>0</v>
      </c>
      <c r="H39">
        <f>IF(B39="",0,INDEX('①名簿入力'!$AA$4:$AA$153,B39))</f>
        <v>0</v>
      </c>
      <c r="I39">
        <f>IF(B39="",0,INDEX('①名簿入力'!$AB$4:$AB$153,B39))</f>
        <v>0</v>
      </c>
      <c r="J39">
        <f>COUNTIF($Z$1:Z38,1)</f>
        <v>12</v>
      </c>
      <c r="K39">
        <f>COUNTIF($Z$1:Z38,2)</f>
        <v>12</v>
      </c>
      <c r="L39">
        <f>COUNTIF($Z$1:Z38,3)</f>
        <v>13</v>
      </c>
      <c r="M39">
        <f>COUNTIFS($Z$1:Z38,1,$C$1:C38,C39)</f>
        <v>5</v>
      </c>
      <c r="N39">
        <f>COUNTIFS($Z$1:Z38,2,$C$1:C38,C39)</f>
        <v>5</v>
      </c>
      <c r="O39">
        <f>COUNTIFS($Z$1:Z38,3,$C$1:C38,C39)</f>
        <v>6</v>
      </c>
      <c r="P39">
        <f>F39*COUNTIFS($Z$1:Z38,1,$F$1:F38,1)+G39*COUNTIFS($Z$1:Z38,1,$G$1:G38,1)+H39*COUNTIFS($Z$1:Z38,1,$H$1:H38,1)+I39*COUNTIFS($Z$1:Z38,1,$I$1:I38,1)</f>
        <v>0</v>
      </c>
      <c r="Q39">
        <f>F39*COUNTIFS($Z$1:Z38,2,$F$1:F38,1)+G39*COUNTIFS($Z$1:Z38,2,$G$1:G38,1)+H39*COUNTIFS($Z$1:Z38,2,$H$1:H38,1)+I39*COUNTIFS($Z$1:Z38,2,$I$1:I38,1)</f>
        <v>0</v>
      </c>
      <c r="R39">
        <f>F39*COUNTIFS($Z$1:Z38,3,$F$1:F38,1)+G39*COUNTIFS($Z$1:Z38,3,$G$1:G38,1)+H39*COUNTIFS($Z$1:Z38,3,$H$1:H38,1)+I39*COUNTIFS($Z$1:Z38,3,$I$1:I38,1)</f>
        <v>0</v>
      </c>
      <c r="S39">
        <f>IF(E39="",0,COUNTIFS($Z$1:Z38,1,$E$1:E38,E39))</f>
        <v>5</v>
      </c>
      <c r="T39">
        <f>IF(E39="",0,COUNTIFS($Z$1:Z38,2,$E$1:E38,E39))</f>
        <v>4</v>
      </c>
      <c r="U39">
        <f>IF(E39="",0,COUNTIFS($Z$1:Z38,3,$E$1:E38,E39))</f>
        <v>6</v>
      </c>
      <c r="V39">
        <f>SUMIF($Z$1:Z38,1,$D$1:D38)</f>
        <v>1.54944516813498</v>
      </c>
      <c r="W39">
        <f>SUMIF($Z$1:Z38,2,$D$1:D38)</f>
        <v>1.35528445441935</v>
      </c>
      <c r="X39">
        <f>SUMIF($Z$1:Z38,3,$D$1:D38)</f>
        <v>0.811065486891179</v>
      </c>
      <c r="Y39">
        <f>IF(B39="",0,INDEX('①名簿入力'!$AL$4:$AL$153,B39))</f>
        <v>0.93142876820639</v>
      </c>
      <c r="Z39">
        <f>IF(B39="","",MATCH(MIN(AA39:AC39),AA39:AC39,0))</f>
        <v>2</v>
      </c>
      <c r="AA39">
        <f>IF(B39="","",IF(J39&gt;=$AE$2,1E+15,M39*1E+10+P39*1E+8+ROUND(100*(D39*V39+$AF$5*Y39*AI39+$AF$4*S39),0)+1E+6))</f>
        <v>50000999872</v>
      </c>
      <c r="AB39">
        <f>IF(B39="","",IF(K39&gt;=$AF$2,1E+15,N39*1E+10+Q39*1E+8+ROUND(100*(D39*W39+$AF$5*Y39*AJ39+$AF$4*T39),0)+1E+6))</f>
        <v>50000999831</v>
      </c>
      <c r="AC39">
        <f>IF(B39="","",IF(L39&gt;=$AG$2,1E+15,O39*1E+10+R39*1E+8+ROUND(100*(D39*X39+$AF$5*Y39*AK39+$AF$4*U39),0)+1E+6))</f>
        <v>60001000112</v>
      </c>
      <c r="AI39">
        <f>SUMIFS($Y$1:Y38,$Z$1:Z38,1,$C$1:C38,C39)</f>
        <v>-1.03257940366772</v>
      </c>
      <c r="AJ39">
        <f>SUMIFS($Y$1:Y38,$Z$1:Z38,2,$C$1:C38,C39)</f>
        <v>-1.94293512281966</v>
      </c>
      <c r="AK39">
        <f>SUMIFS($Y$1:Y38,$Z$1:Z38,3,$C$1:C38,C39)</f>
        <v>1.49197187305458</v>
      </c>
    </row>
    <row r="40">
      <c r="A40" t="n">
        <v>39</v>
      </c>
      <c r="B40">
        <f>IFERROR(MATCH(A40,'①名簿入力'!$AF$4:$AF$153,0),"")</f>
        <v>43</v>
      </c>
      <c r="C40">
        <f>IF(B40="","",INDEX('①名簿入力'!$X$4:$X$153,B40))</f>
        <v>2</v>
      </c>
      <c r="D40">
        <f>IF(B40="","",(INDEX('①名簿入力'!$AD$4:$AD$153,B40)-'設定'!$C$37)/'設定'!$C$38)</f>
        <v>1.3077755325285</v>
      </c>
      <c r="E40" t="str">
        <f>IF(B40="","",INDEX('①名簿入力'!$B$4:$B$153,B40)&amp;"")</f>
        <v>2</v>
      </c>
      <c r="F40">
        <f>IF(B40="",0,INDEX('①名簿入力'!$Y$4:$Y$153,B40))</f>
        <v>0</v>
      </c>
      <c r="G40">
        <f>IF(B40="",0,INDEX('①名簿入力'!$Z$4:$Z$153,B40))</f>
        <v>0</v>
      </c>
      <c r="H40">
        <f>IF(B40="",0,INDEX('①名簿入力'!$AA$4:$AA$153,B40))</f>
        <v>0</v>
      </c>
      <c r="I40">
        <f>IF(B40="",0,INDEX('①名簿入力'!$AB$4:$AB$153,B40))</f>
        <v>0</v>
      </c>
      <c r="J40">
        <f>COUNTIF($Z$1:Z39,1)</f>
        <v>12</v>
      </c>
      <c r="K40">
        <f>COUNTIF($Z$1:Z39,2)</f>
        <v>13</v>
      </c>
      <c r="L40">
        <f>COUNTIF($Z$1:Z39,3)</f>
        <v>13</v>
      </c>
      <c r="M40">
        <f>COUNTIFS($Z$1:Z39,1,$C$1:C39,C40)</f>
        <v>7</v>
      </c>
      <c r="N40">
        <f>COUNTIFS($Z$1:Z39,2,$C$1:C39,C40)</f>
        <v>7</v>
      </c>
      <c r="O40">
        <f>COUNTIFS($Z$1:Z39,3,$C$1:C39,C40)</f>
        <v>7</v>
      </c>
      <c r="P40">
        <f>F40*COUNTIFS($Z$1:Z39,1,$F$1:F39,1)+G40*COUNTIFS($Z$1:Z39,1,$G$1:G39,1)+H40*COUNTIFS($Z$1:Z39,1,$H$1:H39,1)+I40*COUNTIFS($Z$1:Z39,1,$I$1:I39,1)</f>
        <v>0</v>
      </c>
      <c r="Q40">
        <f>F40*COUNTIFS($Z$1:Z39,2,$F$1:F39,1)+G40*COUNTIFS($Z$1:Z39,2,$G$1:G39,1)+H40*COUNTIFS($Z$1:Z39,2,$H$1:H39,1)+I40*COUNTIFS($Z$1:Z39,2,$I$1:I39,1)</f>
        <v>0</v>
      </c>
      <c r="R40">
        <f>F40*COUNTIFS($Z$1:Z39,3,$F$1:F39,1)+G40*COUNTIFS($Z$1:Z39,3,$G$1:G39,1)+H40*COUNTIFS($Z$1:Z39,3,$H$1:H39,1)+I40*COUNTIFS($Z$1:Z39,3,$I$1:I39,1)</f>
        <v>0</v>
      </c>
      <c r="S40">
        <f>IF(E40="",0,COUNTIFS($Z$1:Z39,1,$E$1:E39,E40))</f>
        <v>5</v>
      </c>
      <c r="T40">
        <f>IF(E40="",0,COUNTIFS($Z$1:Z39,2,$E$1:E39,E40))</f>
        <v>5</v>
      </c>
      <c r="U40">
        <f>IF(E40="",0,COUNTIFS($Z$1:Z39,3,$E$1:E39,E40))</f>
        <v>6</v>
      </c>
      <c r="V40">
        <f>SUMIF($Z$1:Z39,1,$D$1:D39)</f>
        <v>1.54944516813498</v>
      </c>
      <c r="W40">
        <f>SUMIF($Z$1:Z39,2,$D$1:D39)</f>
        <v>0.034422632028701</v>
      </c>
      <c r="X40">
        <f>SUMIF($Z$1:Z39,3,$D$1:D39)</f>
        <v>0.811065486891179</v>
      </c>
      <c r="Y40">
        <f>IF(B40="",0,INDEX('①名簿入力'!$AL$4:$AL$153,B40))</f>
        <v>-0.269729992298529</v>
      </c>
      <c r="Z40">
        <f>IF(B40="","",MATCH(MIN(AA40:AC40),AA40:AC40,0))</f>
        <v>2</v>
      </c>
      <c r="AA40">
        <f>IF(B40="","",IF(J40&gt;=$AE$2,1E+15,M40*1E+10+P40*1E+8+ROUND(100*(D40*V40+$AF$5*Y40*AI40+$AF$4*S40),0)+1E+6))</f>
        <v>70001000327</v>
      </c>
      <c r="AB40">
        <f>IF(B40="","",IF(K40&gt;=$AF$2,1E+15,N40*1E+10+Q40*1E+8+ROUND(100*(D40*W40+$AF$5*Y40*AJ40+$AF$4*T40),0)+1E+6))</f>
        <v>70001000157</v>
      </c>
      <c r="AC40">
        <f>IF(B40="","",IF(L40&gt;=$AG$2,1E+15,O40*1E+10+R40*1E+8+ROUND(100*(D40*X40+$AF$5*Y40*AK40+$AF$4*U40),0)+1E+6))</f>
        <v>70001000220</v>
      </c>
      <c r="AI40">
        <f>SUMIFS($Y$1:Y39,$Z$1:Z39,1,$C$1:C39,C40)</f>
        <v>0.0770657120852876</v>
      </c>
      <c r="AJ40">
        <f>SUMIFS($Y$1:Y39,$Z$1:Z39,2,$C$1:C39,C40)</f>
        <v>-2.05187458427094</v>
      </c>
      <c r="AK40">
        <f>SUMIFS($Y$1:Y39,$Z$1:Z39,3,$C$1:C39,C40)</f>
        <v>2.69729992298527</v>
      </c>
    </row>
    <row r="41">
      <c r="A41" t="n">
        <v>40</v>
      </c>
      <c r="B41">
        <f>IFERROR(MATCH(A41,'①名簿入力'!$AF$4:$AF$153,0),"")</f>
        <v>101</v>
      </c>
      <c r="C41">
        <f>IF(B41="","",INDEX('①名簿入力'!$X$4:$X$153,B41))</f>
        <v>1</v>
      </c>
      <c r="D41">
        <f>IF(B41="","",(INDEX('①名簿入力'!$AD$4:$AD$153,B41)-'設定'!$C$37)/'設定'!$C$38)</f>
        <v>1.3077755325285</v>
      </c>
      <c r="E41" t="str">
        <f>IF(B41="","",INDEX('①名簿入力'!$B$4:$B$153,B41)&amp;"")</f>
        <v>3</v>
      </c>
      <c r="F41">
        <f>IF(B41="",0,INDEX('①名簿入力'!$Y$4:$Y$153,B41))</f>
        <v>0</v>
      </c>
      <c r="G41">
        <f>IF(B41="",0,INDEX('①名簿入力'!$Z$4:$Z$153,B41))</f>
        <v>0</v>
      </c>
      <c r="H41">
        <f>IF(B41="",0,INDEX('①名簿入力'!$AA$4:$AA$153,B41))</f>
        <v>0</v>
      </c>
      <c r="I41">
        <f>IF(B41="",0,INDEX('①名簿入力'!$AB$4:$AB$153,B41))</f>
        <v>0</v>
      </c>
      <c r="J41">
        <f>COUNTIF($Z$1:Z40,1)</f>
        <v>12</v>
      </c>
      <c r="K41">
        <f>COUNTIF($Z$1:Z40,2)</f>
        <v>14</v>
      </c>
      <c r="L41">
        <f>COUNTIF($Z$1:Z40,3)</f>
        <v>13</v>
      </c>
      <c r="M41">
        <f>COUNTIFS($Z$1:Z40,1,$C$1:C40,C41)</f>
        <v>5</v>
      </c>
      <c r="N41">
        <f>COUNTIFS($Z$1:Z40,2,$C$1:C40,C41)</f>
        <v>6</v>
      </c>
      <c r="O41">
        <f>COUNTIFS($Z$1:Z40,3,$C$1:C40,C41)</f>
        <v>6</v>
      </c>
      <c r="P41">
        <f>F41*COUNTIFS($Z$1:Z40,1,$F$1:F40,1)+G41*COUNTIFS($Z$1:Z40,1,$G$1:G40,1)+H41*COUNTIFS($Z$1:Z40,1,$H$1:H40,1)+I41*COUNTIFS($Z$1:Z40,1,$I$1:I40,1)</f>
        <v>0</v>
      </c>
      <c r="Q41">
        <f>F41*COUNTIFS($Z$1:Z40,2,$F$1:F40,1)+G41*COUNTIFS($Z$1:Z40,2,$G$1:G40,1)+H41*COUNTIFS($Z$1:Z40,2,$H$1:H40,1)+I41*COUNTIFS($Z$1:Z40,2,$I$1:I40,1)</f>
        <v>0</v>
      </c>
      <c r="R41">
        <f>F41*COUNTIFS($Z$1:Z40,3,$F$1:F40,1)+G41*COUNTIFS($Z$1:Z40,3,$G$1:G40,1)+H41*COUNTIFS($Z$1:Z40,3,$H$1:H40,1)+I41*COUNTIFS($Z$1:Z40,3,$I$1:I40,1)</f>
        <v>0</v>
      </c>
      <c r="S41">
        <f>IF(E41="",0,COUNTIFS($Z$1:Z40,1,$E$1:E40,E41))</f>
        <v>4</v>
      </c>
      <c r="T41">
        <f>IF(E41="",0,COUNTIFS($Z$1:Z40,2,$E$1:E40,E41))</f>
        <v>3</v>
      </c>
      <c r="U41">
        <f>IF(E41="",0,COUNTIFS($Z$1:Z40,3,$E$1:E40,E41))</f>
        <v>6</v>
      </c>
      <c r="V41">
        <f>SUMIF($Z$1:Z40,1,$D$1:D40)</f>
        <v>1.54944516813498</v>
      </c>
      <c r="W41">
        <f>SUMIF($Z$1:Z40,2,$D$1:D40)</f>
        <v>1.3421981645572</v>
      </c>
      <c r="X41">
        <f>SUMIF($Z$1:Z40,3,$D$1:D40)</f>
        <v>0.811065486891179</v>
      </c>
      <c r="Y41">
        <f>IF(B41="",0,INDEX('①名簿入力'!$AL$4:$AL$153,B41))</f>
        <v>1.38660662778237</v>
      </c>
      <c r="Z41">
        <f>IF(B41="","",MATCH(MIN(AA41:AC41),AA41:AC41,0))</f>
        <v>1</v>
      </c>
      <c r="AA41">
        <f>IF(B41="","",IF(J41&gt;=$AE$2,1E+15,M41*1E+10+P41*1E+8+ROUND(100*(D41*V41+$AF$5*Y41*AI41+$AF$4*S41),0)+1E+6))</f>
        <v>50001000231</v>
      </c>
      <c r="AB41">
        <f>IF(B41="","",IF(K41&gt;=$AF$2,1E+15,N41*1E+10+Q41*1E+8+ROUND(100*(D41*W41+$AF$5*Y41*AJ41+$AF$4*T41),0)+1E+6))</f>
        <v>60001000180</v>
      </c>
      <c r="AC41">
        <f>IF(B41="","",IF(L41&gt;=$AG$2,1E+15,O41*1E+10+R41*1E+8+ROUND(100*(D41*X41+$AF$5*Y41*AK41+$AF$4*U41),0)+1E+6))</f>
        <v>60001000360</v>
      </c>
      <c r="AI41">
        <f>SUMIFS($Y$1:Y40,$Z$1:Z40,1,$C$1:C40,C41)</f>
        <v>-1.03257940366772</v>
      </c>
      <c r="AJ41">
        <f>SUMIFS($Y$1:Y40,$Z$1:Z40,2,$C$1:C40,C41)</f>
        <v>-1.01150635461328</v>
      </c>
      <c r="AK41">
        <f>SUMIFS($Y$1:Y40,$Z$1:Z40,3,$C$1:C40,C41)</f>
        <v>1.49197187305458</v>
      </c>
    </row>
    <row r="42">
      <c r="A42" t="n">
        <v>41</v>
      </c>
      <c r="B42">
        <f>IFERROR(MATCH(A42,'①名簿入力'!$AF$4:$AF$153,0),"")</f>
        <v>70</v>
      </c>
      <c r="C42">
        <f>IF(B42="","",INDEX('①名簿入力'!$X$4:$X$153,B42))</f>
        <v>1</v>
      </c>
      <c r="D42">
        <f>IF(B42="","",(INDEX('①名簿入力'!$AD$4:$AD$153,B42)-'設定'!$C$37)/'設定'!$C$38)</f>
        <v>-1.29099094335748</v>
      </c>
      <c r="E42" t="str">
        <f>IF(B42="","",INDEX('①名簿入力'!$B$4:$B$153,B42)&amp;"")</f>
        <v>2</v>
      </c>
      <c r="F42">
        <f>IF(B42="",0,INDEX('①名簿入力'!$Y$4:$Y$153,B42))</f>
        <v>0</v>
      </c>
      <c r="G42">
        <f>IF(B42="",0,INDEX('①名簿入力'!$Z$4:$Z$153,B42))</f>
        <v>0</v>
      </c>
      <c r="H42">
        <f>IF(B42="",0,INDEX('①名簿入力'!$AA$4:$AA$153,B42))</f>
        <v>0</v>
      </c>
      <c r="I42">
        <f>IF(B42="",0,INDEX('①名簿入力'!$AB$4:$AB$153,B42))</f>
        <v>0</v>
      </c>
      <c r="J42">
        <f>COUNTIF($Z$1:Z41,1)</f>
        <v>13</v>
      </c>
      <c r="K42">
        <f>COUNTIF($Z$1:Z41,2)</f>
        <v>14</v>
      </c>
      <c r="L42">
        <f>COUNTIF($Z$1:Z41,3)</f>
        <v>13</v>
      </c>
      <c r="M42">
        <f>COUNTIFS($Z$1:Z41,1,$C$1:C41,C42)</f>
        <v>6</v>
      </c>
      <c r="N42">
        <f>COUNTIFS($Z$1:Z41,2,$C$1:C41,C42)</f>
        <v>6</v>
      </c>
      <c r="O42">
        <f>COUNTIFS($Z$1:Z41,3,$C$1:C41,C42)</f>
        <v>6</v>
      </c>
      <c r="P42">
        <f>F42*COUNTIFS($Z$1:Z41,1,$F$1:F41,1)+G42*COUNTIFS($Z$1:Z41,1,$G$1:G41,1)+H42*COUNTIFS($Z$1:Z41,1,$H$1:H41,1)+I42*COUNTIFS($Z$1:Z41,1,$I$1:I41,1)</f>
        <v>0</v>
      </c>
      <c r="Q42">
        <f>F42*COUNTIFS($Z$1:Z41,2,$F$1:F41,1)+G42*COUNTIFS($Z$1:Z41,2,$G$1:G41,1)+H42*COUNTIFS($Z$1:Z41,2,$H$1:H41,1)+I42*COUNTIFS($Z$1:Z41,2,$I$1:I41,1)</f>
        <v>0</v>
      </c>
      <c r="R42">
        <f>F42*COUNTIFS($Z$1:Z41,3,$F$1:F41,1)+G42*COUNTIFS($Z$1:Z41,3,$G$1:G41,1)+H42*COUNTIFS($Z$1:Z41,3,$H$1:H41,1)+I42*COUNTIFS($Z$1:Z41,3,$I$1:I41,1)</f>
        <v>0</v>
      </c>
      <c r="S42">
        <f>IF(E42="",0,COUNTIFS($Z$1:Z41,1,$E$1:E41,E42))</f>
        <v>5</v>
      </c>
      <c r="T42">
        <f>IF(E42="",0,COUNTIFS($Z$1:Z41,2,$E$1:E41,E42))</f>
        <v>6</v>
      </c>
      <c r="U42">
        <f>IF(E42="",0,COUNTIFS($Z$1:Z41,3,$E$1:E41,E42))</f>
        <v>6</v>
      </c>
      <c r="V42">
        <f>SUMIF($Z$1:Z41,1,$D$1:D41)</f>
        <v>2.85722070066348</v>
      </c>
      <c r="W42">
        <f>SUMIF($Z$1:Z41,2,$D$1:D41)</f>
        <v>1.3421981645572</v>
      </c>
      <c r="X42">
        <f>SUMIF($Z$1:Z41,3,$D$1:D41)</f>
        <v>0.811065486891179</v>
      </c>
      <c r="Y42">
        <f>IF(B42="",0,INDEX('①名簿入力'!$AL$4:$AL$153,B42))</f>
        <v>0.93142876820639</v>
      </c>
      <c r="Z42">
        <f>IF(B42="","",MATCH(MIN(AA42:AC42),AA42:AC42,0))</f>
        <v>1</v>
      </c>
      <c r="AA42">
        <f>IF(B42="","",IF(J42&gt;=$AE$2,1E+15,M42*1E+10+P42*1E+8+ROUND(100*(D42*V42+$AF$5*Y42*AI42+$AF$4*S42),0)+1E+6))</f>
        <v>60000999773</v>
      </c>
      <c r="AB42">
        <f>IF(B42="","",IF(K42&gt;=$AF$2,1E+15,N42*1E+10+Q42*1E+8+ROUND(100*(D42*W42+$AF$5*Y42*AJ42+$AF$4*T42),0)+1E+6))</f>
        <v>60000999930</v>
      </c>
      <c r="AC42">
        <f>IF(B42="","",IF(L42&gt;=$AG$2,1E+15,O42*1E+10+R42*1E+8+ROUND(100*(D42*X42+$AF$5*Y42*AK42+$AF$4*U42),0)+1E+6))</f>
        <v>60001000115</v>
      </c>
      <c r="AI42">
        <f>SUMIFS($Y$1:Y41,$Z$1:Z41,1,$C$1:C41,C42)</f>
        <v>0.354027224114649</v>
      </c>
      <c r="AJ42">
        <f>SUMIFS($Y$1:Y41,$Z$1:Z41,2,$C$1:C41,C42)</f>
        <v>-1.01150635461328</v>
      </c>
      <c r="AK42">
        <f>SUMIFS($Y$1:Y41,$Z$1:Z41,3,$C$1:C41,C42)</f>
        <v>1.49197187305458</v>
      </c>
    </row>
    <row r="43">
      <c r="A43" t="n">
        <v>42</v>
      </c>
      <c r="B43">
        <f>IFERROR(MATCH(A43,'①名簿入力'!$AF$4:$AF$153,0),"")</f>
        <v>6</v>
      </c>
      <c r="C43">
        <f>IF(B43="","",INDEX('①名簿入力'!$X$4:$X$153,B43))</f>
        <v>2</v>
      </c>
      <c r="D43">
        <f>IF(B43="","",(INDEX('①名簿入力'!$AD$4:$AD$153,B43)-'設定'!$C$37)/'設定'!$C$38)</f>
        <v>1.2032274559124</v>
      </c>
      <c r="E43" t="str">
        <f>IF(B43="","",INDEX('①名簿入力'!$B$4:$B$153,B43)&amp;"")</f>
        <v>1</v>
      </c>
      <c r="F43">
        <f>IF(B43="",0,INDEX('①名簿入力'!$Y$4:$Y$153,B43))</f>
        <v>0</v>
      </c>
      <c r="G43">
        <f>IF(B43="",0,INDEX('①名簿入力'!$Z$4:$Z$153,B43))</f>
        <v>0</v>
      </c>
      <c r="H43">
        <f>IF(B43="",0,INDEX('①名簿入力'!$AA$4:$AA$153,B43))</f>
        <v>0</v>
      </c>
      <c r="I43">
        <f>IF(B43="",0,INDEX('①名簿入力'!$AB$4:$AB$153,B43))</f>
        <v>0</v>
      </c>
      <c r="J43">
        <f>COUNTIF($Z$1:Z42,1)</f>
        <v>14</v>
      </c>
      <c r="K43">
        <f>COUNTIF($Z$1:Z42,2)</f>
        <v>14</v>
      </c>
      <c r="L43">
        <f>COUNTIF($Z$1:Z42,3)</f>
        <v>13</v>
      </c>
      <c r="M43">
        <f>COUNTIFS($Z$1:Z42,1,$C$1:C42,C43)</f>
        <v>7</v>
      </c>
      <c r="N43">
        <f>COUNTIFS($Z$1:Z42,2,$C$1:C42,C43)</f>
        <v>8</v>
      </c>
      <c r="O43">
        <f>COUNTIFS($Z$1:Z42,3,$C$1:C42,C43)</f>
        <v>7</v>
      </c>
      <c r="P43">
        <f>F43*COUNTIFS($Z$1:Z42,1,$F$1:F42,1)+G43*COUNTIFS($Z$1:Z42,1,$G$1:G42,1)+H43*COUNTIFS($Z$1:Z42,1,$H$1:H42,1)+I43*COUNTIFS($Z$1:Z42,1,$I$1:I42,1)</f>
        <v>0</v>
      </c>
      <c r="Q43">
        <f>F43*COUNTIFS($Z$1:Z42,2,$F$1:F42,1)+G43*COUNTIFS($Z$1:Z42,2,$G$1:G42,1)+H43*COUNTIFS($Z$1:Z42,2,$H$1:H42,1)+I43*COUNTIFS($Z$1:Z42,2,$I$1:I42,1)</f>
        <v>0</v>
      </c>
      <c r="R43">
        <f>F43*COUNTIFS($Z$1:Z42,3,$F$1:F42,1)+G43*COUNTIFS($Z$1:Z42,3,$G$1:G42,1)+H43*COUNTIFS($Z$1:Z42,3,$H$1:H42,1)+I43*COUNTIFS($Z$1:Z42,3,$I$1:I42,1)</f>
        <v>0</v>
      </c>
      <c r="S43">
        <f>IF(E43="",0,COUNTIFS($Z$1:Z42,1,$E$1:E42,E43))</f>
        <v>3</v>
      </c>
      <c r="T43">
        <f>IF(E43="",0,COUNTIFS($Z$1:Z42,2,$E$1:E42,E43))</f>
        <v>5</v>
      </c>
      <c r="U43">
        <f>IF(E43="",0,COUNTIFS($Z$1:Z42,3,$E$1:E42,E43))</f>
        <v>1</v>
      </c>
      <c r="V43">
        <f>SUMIF($Z$1:Z42,1,$D$1:D42)</f>
        <v>1.566229757306</v>
      </c>
      <c r="W43">
        <f>SUMIF($Z$1:Z42,2,$D$1:D42)</f>
        <v>1.3421981645572</v>
      </c>
      <c r="X43">
        <f>SUMIF($Z$1:Z42,3,$D$1:D42)</f>
        <v>0.811065486891179</v>
      </c>
      <c r="Y43">
        <f>IF(B43="",0,INDEX('①名簿入力'!$AL$4:$AL$153,B43))</f>
        <v>0.0577992840639699</v>
      </c>
      <c r="Z43">
        <f>IF(B43="","",MATCH(MIN(AA43:AC43),AA43:AC43,0))</f>
        <v>3</v>
      </c>
      <c r="AA43">
        <f>IF(B43="","",IF(J43&gt;=$AE$2,1E+15,M43*1E+10+P43*1E+8+ROUND(100*(D43*V43+$AF$5*Y43*AI43+$AF$4*S43),0)+1E+6))</f>
        <v>70001000264</v>
      </c>
      <c r="AB43">
        <f>IF(B43="","",IF(K43&gt;=$AF$2,1E+15,N43*1E+10+Q43*1E+8+ROUND(100*(D43*W43+$AF$5*Y43*AJ43+$AF$4*T43),0)+1E+6))</f>
        <v>80001000280</v>
      </c>
      <c r="AC43">
        <f>IF(B43="","",IF(L43&gt;=$AG$2,1E+15,O43*1E+10+R43*1E+8+ROUND(100*(D43*X43+$AF$5*Y43*AK43+$AF$4*U43),0)+1E+6))</f>
        <v>70001000130</v>
      </c>
      <c r="AI43">
        <f>SUMIFS($Y$1:Y42,$Z$1:Z42,1,$C$1:C42,C43)</f>
        <v>0.0770657120852876</v>
      </c>
      <c r="AJ43">
        <f>SUMIFS($Y$1:Y42,$Z$1:Z42,2,$C$1:C42,C43)</f>
        <v>-2.32160457656947</v>
      </c>
      <c r="AK43">
        <f>SUMIFS($Y$1:Y42,$Z$1:Z42,3,$C$1:C42,C43)</f>
        <v>2.69729992298527</v>
      </c>
    </row>
    <row r="44">
      <c r="A44" t="n">
        <v>43</v>
      </c>
      <c r="B44">
        <f>IFERROR(MATCH(A44,'①名簿入力'!$AF$4:$AF$153,0),"")</f>
        <v>89</v>
      </c>
      <c r="C44">
        <f>IF(B44="","",INDEX('①名簿入力'!$X$4:$X$153,B44))</f>
        <v>2</v>
      </c>
      <c r="D44">
        <f>IF(B44="","",(INDEX('①名簿入力'!$AD$4:$AD$153,B44)-'設定'!$C$37)/'設定'!$C$38)</f>
        <v>1.2032274559124</v>
      </c>
      <c r="E44" t="str">
        <f>IF(B44="","",INDEX('①名簿入力'!$B$4:$B$153,B44)&amp;"")</f>
        <v>3</v>
      </c>
      <c r="F44">
        <f>IF(B44="",0,INDEX('①名簿入力'!$Y$4:$Y$153,B44))</f>
        <v>0</v>
      </c>
      <c r="G44">
        <f>IF(B44="",0,INDEX('①名簿入力'!$Z$4:$Z$153,B44))</f>
        <v>0</v>
      </c>
      <c r="H44">
        <f>IF(B44="",0,INDEX('①名簿入力'!$AA$4:$AA$153,B44))</f>
        <v>0</v>
      </c>
      <c r="I44">
        <f>IF(B44="",0,INDEX('①名簿入力'!$AB$4:$AB$153,B44))</f>
        <v>0</v>
      </c>
      <c r="J44">
        <f>COUNTIF($Z$1:Z43,1)</f>
        <v>14</v>
      </c>
      <c r="K44">
        <f>COUNTIF($Z$1:Z43,2)</f>
        <v>14</v>
      </c>
      <c r="L44">
        <f>COUNTIF($Z$1:Z43,3)</f>
        <v>14</v>
      </c>
      <c r="M44">
        <f>COUNTIFS($Z$1:Z43,1,$C$1:C43,C44)</f>
        <v>7</v>
      </c>
      <c r="N44">
        <f>COUNTIFS($Z$1:Z43,2,$C$1:C43,C44)</f>
        <v>8</v>
      </c>
      <c r="O44">
        <f>COUNTIFS($Z$1:Z43,3,$C$1:C43,C44)</f>
        <v>8</v>
      </c>
      <c r="P44">
        <f>F44*COUNTIFS($Z$1:Z43,1,$F$1:F43,1)+G44*COUNTIFS($Z$1:Z43,1,$G$1:G43,1)+H44*COUNTIFS($Z$1:Z43,1,$H$1:H43,1)+I44*COUNTIFS($Z$1:Z43,1,$I$1:I43,1)</f>
        <v>0</v>
      </c>
      <c r="Q44">
        <f>F44*COUNTIFS($Z$1:Z43,2,$F$1:F43,1)+G44*COUNTIFS($Z$1:Z43,2,$G$1:G43,1)+H44*COUNTIFS($Z$1:Z43,2,$H$1:H43,1)+I44*COUNTIFS($Z$1:Z43,2,$I$1:I43,1)</f>
        <v>0</v>
      </c>
      <c r="R44">
        <f>F44*COUNTIFS($Z$1:Z43,3,$F$1:F43,1)+G44*COUNTIFS($Z$1:Z43,3,$G$1:G43,1)+H44*COUNTIFS($Z$1:Z43,3,$H$1:H43,1)+I44*COUNTIFS($Z$1:Z43,3,$I$1:I43,1)</f>
        <v>0</v>
      </c>
      <c r="S44">
        <f>IF(E44="",0,COUNTIFS($Z$1:Z43,1,$E$1:E43,E44))</f>
        <v>5</v>
      </c>
      <c r="T44">
        <f>IF(E44="",0,COUNTIFS($Z$1:Z43,2,$E$1:E43,E44))</f>
        <v>3</v>
      </c>
      <c r="U44">
        <f>IF(E44="",0,COUNTIFS($Z$1:Z43,3,$E$1:E43,E44))</f>
        <v>6</v>
      </c>
      <c r="V44">
        <f>SUMIF($Z$1:Z43,1,$D$1:D43)</f>
        <v>1.566229757306</v>
      </c>
      <c r="W44">
        <f>SUMIF($Z$1:Z43,2,$D$1:D43)</f>
        <v>1.3421981645572</v>
      </c>
      <c r="X44">
        <f>SUMIF($Z$1:Z43,3,$D$1:D43)</f>
        <v>2.01429294280358</v>
      </c>
      <c r="Y44">
        <f>IF(B44="",0,INDEX('①名簿入力'!$AL$4:$AL$153,B44))</f>
        <v>0.549093198607714</v>
      </c>
      <c r="Z44">
        <f>IF(B44="","",MATCH(MIN(AA44:AC44),AA44:AC44,0))</f>
        <v>1</v>
      </c>
      <c r="AA44">
        <f>IF(B44="","",IF(J44&gt;=$AE$2,1E+15,M44*1E+10+P44*1E+8+ROUND(100*(D44*V44+$AF$5*Y44*AI44+$AF$4*S44),0)+1E+6))</f>
        <v>70001000316</v>
      </c>
      <c r="AB44">
        <f>IF(B44="","",IF(K44&gt;=$AF$2,1E+15,N44*1E+10+Q44*1E+8+ROUND(100*(D44*W44+$AF$5*Y44*AJ44+$AF$4*T44),0)+1E+6))</f>
        <v>80001000173</v>
      </c>
      <c r="AC44">
        <f>IF(B44="","",IF(L44&gt;=$AG$2,1E+15,O44*1E+10+R44*1E+8+ROUND(100*(D44*X44+$AF$5*Y44*AK44+$AF$4*U44),0)+1E+6))</f>
        <v>80001000468</v>
      </c>
      <c r="AI44">
        <f>SUMIFS($Y$1:Y43,$Z$1:Z43,1,$C$1:C43,C44)</f>
        <v>0.0770657120852876</v>
      </c>
      <c r="AJ44">
        <f>SUMIFS($Y$1:Y43,$Z$1:Z43,2,$C$1:C43,C44)</f>
        <v>-2.32160457656947</v>
      </c>
      <c r="AK44">
        <f>SUMIFS($Y$1:Y43,$Z$1:Z43,3,$C$1:C43,C44)</f>
        <v>2.75509920704924</v>
      </c>
    </row>
    <row r="45">
      <c r="A45" t="n">
        <v>44</v>
      </c>
      <c r="B45">
        <f>IFERROR(MATCH(A45,'①名簿入力'!$AF$4:$AF$153,0),"")</f>
        <v>13</v>
      </c>
      <c r="C45">
        <f>IF(B45="","",INDEX('①名簿入力'!$X$4:$X$153,B45))</f>
        <v>1</v>
      </c>
      <c r="D45">
        <f>IF(B45="","",(INDEX('①名簿入力'!$AD$4:$AD$153,B45)-'設定'!$C$37)/'設定'!$C$38)</f>
        <v>-1.20137830625796</v>
      </c>
      <c r="E45" t="str">
        <f>IF(B45="","",INDEX('①名簿入力'!$B$4:$B$153,B45)&amp;"")</f>
        <v>1</v>
      </c>
      <c r="F45">
        <f>IF(B45="",0,INDEX('①名簿入力'!$Y$4:$Y$153,B45))</f>
        <v>0</v>
      </c>
      <c r="G45">
        <f>IF(B45="",0,INDEX('①名簿入力'!$Z$4:$Z$153,B45))</f>
        <v>0</v>
      </c>
      <c r="H45">
        <f>IF(B45="",0,INDEX('①名簿入力'!$AA$4:$AA$153,B45))</f>
        <v>0</v>
      </c>
      <c r="I45">
        <f>IF(B45="",0,INDEX('①名簿入力'!$AB$4:$AB$153,B45))</f>
        <v>0</v>
      </c>
      <c r="J45">
        <f>COUNTIF($Z$1:Z44,1)</f>
        <v>15</v>
      </c>
      <c r="K45">
        <f>COUNTIF($Z$1:Z44,2)</f>
        <v>14</v>
      </c>
      <c r="L45">
        <f>COUNTIF($Z$1:Z44,3)</f>
        <v>14</v>
      </c>
      <c r="M45">
        <f>COUNTIFS($Z$1:Z44,1,$C$1:C44,C45)</f>
        <v>7</v>
      </c>
      <c r="N45">
        <f>COUNTIFS($Z$1:Z44,2,$C$1:C44,C45)</f>
        <v>6</v>
      </c>
      <c r="O45">
        <f>COUNTIFS($Z$1:Z44,3,$C$1:C44,C45)</f>
        <v>6</v>
      </c>
      <c r="P45">
        <f>F45*COUNTIFS($Z$1:Z44,1,$F$1:F44,1)+G45*COUNTIFS($Z$1:Z44,1,$G$1:G44,1)+H45*COUNTIFS($Z$1:Z44,1,$H$1:H44,1)+I45*COUNTIFS($Z$1:Z44,1,$I$1:I44,1)</f>
        <v>0</v>
      </c>
      <c r="Q45">
        <f>F45*COUNTIFS($Z$1:Z44,2,$F$1:F44,1)+G45*COUNTIFS($Z$1:Z44,2,$G$1:G44,1)+H45*COUNTIFS($Z$1:Z44,2,$H$1:H44,1)+I45*COUNTIFS($Z$1:Z44,2,$I$1:I44,1)</f>
        <v>0</v>
      </c>
      <c r="R45">
        <f>F45*COUNTIFS($Z$1:Z44,3,$F$1:F44,1)+G45*COUNTIFS($Z$1:Z44,3,$G$1:G44,1)+H45*COUNTIFS($Z$1:Z44,3,$H$1:H44,1)+I45*COUNTIFS($Z$1:Z44,3,$I$1:I44,1)</f>
        <v>0</v>
      </c>
      <c r="S45">
        <f>IF(E45="",0,COUNTIFS($Z$1:Z44,1,$E$1:E44,E45))</f>
        <v>3</v>
      </c>
      <c r="T45">
        <f>IF(E45="",0,COUNTIFS($Z$1:Z44,2,$E$1:E44,E45))</f>
        <v>5</v>
      </c>
      <c r="U45">
        <f>IF(E45="",0,COUNTIFS($Z$1:Z44,3,$E$1:E44,E45))</f>
        <v>2</v>
      </c>
      <c r="V45">
        <f>SUMIF($Z$1:Z44,1,$D$1:D44)</f>
        <v>2.7694572132184</v>
      </c>
      <c r="W45">
        <f>SUMIF($Z$1:Z44,2,$D$1:D44)</f>
        <v>1.3421981645572</v>
      </c>
      <c r="X45">
        <f>SUMIF($Z$1:Z44,3,$D$1:D44)</f>
        <v>2.01429294280358</v>
      </c>
      <c r="Y45">
        <f>IF(B45="",0,INDEX('①名簿入力'!$AL$4:$AL$153,B45))</f>
        <v>-2.48240517861341</v>
      </c>
      <c r="Z45">
        <f>IF(B45="","",MATCH(MIN(AA45:AC45),AA45:AC45,0))</f>
        <v>3</v>
      </c>
      <c r="AA45">
        <f>IF(B45="","",IF(J45&gt;=$AE$2,1E+15,M45*1E+10+P45*1E+8+ROUND(100*(D45*V45+$AF$5*Y45*AI45+$AF$4*S45),0)+1E+6))</f>
        <v>70000999583</v>
      </c>
      <c r="AB45">
        <f>IF(B45="","",IF(K45&gt;=$AF$2,1E+15,N45*1E+10+Q45*1E+8+ROUND(100*(D45*W45+$AF$5*Y45*AJ45+$AF$4*T45),0)+1E+6))</f>
        <v>60001000089</v>
      </c>
      <c r="AC45">
        <f>IF(B45="","",IF(L45&gt;=$AG$2,1E+15,O45*1E+10+R45*1E+8+ROUND(100*(D45*X45+$AF$5*Y45*AK45+$AF$4*U45),0)+1E+6))</f>
        <v>60000999623</v>
      </c>
      <c r="AI45">
        <f>SUMIFS($Y$1:Y44,$Z$1:Z44,1,$C$1:C44,C45)</f>
        <v>1.28545599232104</v>
      </c>
      <c r="AJ45">
        <f>SUMIFS($Y$1:Y44,$Z$1:Z44,2,$C$1:C44,C45)</f>
        <v>-1.01150635461328</v>
      </c>
      <c r="AK45">
        <f>SUMIFS($Y$1:Y44,$Z$1:Z44,3,$C$1:C44,C45)</f>
        <v>1.49197187305458</v>
      </c>
    </row>
    <row r="46">
      <c r="A46" t="n">
        <v>45</v>
      </c>
      <c r="B46">
        <f>IFERROR(MATCH(A46,'①名簿入力'!$AF$4:$AF$153,0),"")</f>
        <v>67</v>
      </c>
      <c r="C46">
        <f>IF(B46="","",INDEX('①名簿入力'!$X$4:$X$153,B46))</f>
        <v>1</v>
      </c>
      <c r="D46">
        <f>IF(B46="","",(INDEX('①名簿入力'!$AD$4:$AD$153,B46)-'設定'!$C$37)/'設定'!$C$38)</f>
        <v>1.17335657687923</v>
      </c>
      <c r="E46" t="str">
        <f>IF(B46="","",INDEX('①名簿入力'!$B$4:$B$153,B46)&amp;"")</f>
        <v>2</v>
      </c>
      <c r="F46">
        <f>IF(B46="",0,INDEX('①名簿入力'!$Y$4:$Y$153,B46))</f>
        <v>0</v>
      </c>
      <c r="G46">
        <f>IF(B46="",0,INDEX('①名簿入力'!$Z$4:$Z$153,B46))</f>
        <v>0</v>
      </c>
      <c r="H46">
        <f>IF(B46="",0,INDEX('①名簿入力'!$AA$4:$AA$153,B46))</f>
        <v>0</v>
      </c>
      <c r="I46">
        <f>IF(B46="",0,INDEX('①名簿入力'!$AB$4:$AB$153,B46))</f>
        <v>0</v>
      </c>
      <c r="J46">
        <f>COUNTIF($Z$1:Z45,1)</f>
        <v>15</v>
      </c>
      <c r="K46">
        <f>COUNTIF($Z$1:Z45,2)</f>
        <v>14</v>
      </c>
      <c r="L46">
        <f>COUNTIF($Z$1:Z45,3)</f>
        <v>15</v>
      </c>
      <c r="M46">
        <f>COUNTIFS($Z$1:Z45,1,$C$1:C45,C46)</f>
        <v>7</v>
      </c>
      <c r="N46">
        <f>COUNTIFS($Z$1:Z45,2,$C$1:C45,C46)</f>
        <v>6</v>
      </c>
      <c r="O46">
        <f>COUNTIFS($Z$1:Z45,3,$C$1:C45,C46)</f>
        <v>7</v>
      </c>
      <c r="P46">
        <f>F46*COUNTIFS($Z$1:Z45,1,$F$1:F45,1)+G46*COUNTIFS($Z$1:Z45,1,$G$1:G45,1)+H46*COUNTIFS($Z$1:Z45,1,$H$1:H45,1)+I46*COUNTIFS($Z$1:Z45,1,$I$1:I45,1)</f>
        <v>0</v>
      </c>
      <c r="Q46">
        <f>F46*COUNTIFS($Z$1:Z45,2,$F$1:F45,1)+G46*COUNTIFS($Z$1:Z45,2,$G$1:G45,1)+H46*COUNTIFS($Z$1:Z45,2,$H$1:H45,1)+I46*COUNTIFS($Z$1:Z45,2,$I$1:I45,1)</f>
        <v>0</v>
      </c>
      <c r="R46">
        <f>F46*COUNTIFS($Z$1:Z45,3,$F$1:F45,1)+G46*COUNTIFS($Z$1:Z45,3,$G$1:G45,1)+H46*COUNTIFS($Z$1:Z45,3,$H$1:H45,1)+I46*COUNTIFS($Z$1:Z45,3,$I$1:I45,1)</f>
        <v>0</v>
      </c>
      <c r="S46">
        <f>IF(E46="",0,COUNTIFS($Z$1:Z45,1,$E$1:E45,E46))</f>
        <v>6</v>
      </c>
      <c r="T46">
        <f>IF(E46="",0,COUNTIFS($Z$1:Z45,2,$E$1:E45,E46))</f>
        <v>6</v>
      </c>
      <c r="U46">
        <f>IF(E46="",0,COUNTIFS($Z$1:Z45,3,$E$1:E45,E46))</f>
        <v>6</v>
      </c>
      <c r="V46">
        <f>SUMIF($Z$1:Z45,1,$D$1:D45)</f>
        <v>2.7694572132184</v>
      </c>
      <c r="W46">
        <f>SUMIF($Z$1:Z45,2,$D$1:D45)</f>
        <v>1.3421981645572</v>
      </c>
      <c r="X46">
        <f>SUMIF($Z$1:Z45,3,$D$1:D45)</f>
        <v>0.812914636545613</v>
      </c>
      <c r="Y46">
        <f>IF(B46="",0,INDEX('①名簿入力'!$AL$4:$AL$153,B46))</f>
        <v>-0.889282670097504</v>
      </c>
      <c r="Z46">
        <f>IF(B46="","",MATCH(MIN(AA46:AC46),AA46:AC46,0))</f>
        <v>2</v>
      </c>
      <c r="AA46">
        <f>IF(B46="","",IF(J46&gt;=$AE$2,1E+15,M46*1E+10+P46*1E+8+ROUND(100*(D46*V46+$AF$5*Y46*AI46+$AF$4*S46),0)+1E+6))</f>
        <v>70001000418</v>
      </c>
      <c r="AB46">
        <f>IF(B46="","",IF(K46&gt;=$AF$2,1E+15,N46*1E+10+Q46*1E+8+ROUND(100*(D46*W46+$AF$5*Y46*AJ46+$AF$4*T46),0)+1E+6))</f>
        <v>60001000352</v>
      </c>
      <c r="AC46">
        <f>IF(B46="","",IF(L46&gt;=$AG$2,1E+15,O46*1E+10+R46*1E+8+ROUND(100*(D46*X46+$AF$5*Y46*AK46+$AF$4*U46),0)+1E+6))</f>
        <v>70001000289</v>
      </c>
      <c r="AI46">
        <f>SUMIFS($Y$1:Y45,$Z$1:Z45,1,$C$1:C45,C46)</f>
        <v>1.28545599232104</v>
      </c>
      <c r="AJ46">
        <f>SUMIFS($Y$1:Y45,$Z$1:Z45,2,$C$1:C45,C46)</f>
        <v>-1.01150635461328</v>
      </c>
      <c r="AK46">
        <f>SUMIFS($Y$1:Y45,$Z$1:Z45,3,$C$1:C45,C46)</f>
        <v>-0.990433305558831</v>
      </c>
    </row>
    <row r="47">
      <c r="A47" t="n">
        <v>46</v>
      </c>
      <c r="B47">
        <f>IFERROR(MATCH(A47,'①名簿入力'!$AF$4:$AF$153,0),"")</f>
        <v>60</v>
      </c>
      <c r="C47">
        <f>IF(B47="","",INDEX('①名簿入力'!$X$4:$X$153,B47))</f>
        <v>1</v>
      </c>
      <c r="D47">
        <f>IF(B47="","",(INDEX('①名簿入力'!$AD$4:$AD$153,B47)-'設定'!$C$37)/'設定'!$C$38)</f>
        <v>1.15842113736264</v>
      </c>
      <c r="E47" t="str">
        <f>IF(B47="","",INDEX('①名簿入力'!$B$4:$B$153,B47)&amp;"")</f>
        <v>2</v>
      </c>
      <c r="F47">
        <f>IF(B47="",0,INDEX('①名簿入力'!$Y$4:$Y$153,B47))</f>
        <v>0</v>
      </c>
      <c r="G47">
        <f>IF(B47="",0,INDEX('①名簿入力'!$Z$4:$Z$153,B47))</f>
        <v>0</v>
      </c>
      <c r="H47">
        <f>IF(B47="",0,INDEX('①名簿入力'!$AA$4:$AA$153,B47))</f>
        <v>0</v>
      </c>
      <c r="I47">
        <f>IF(B47="",0,INDEX('①名簿入力'!$AB$4:$AB$153,B47))</f>
        <v>0</v>
      </c>
      <c r="J47">
        <f>COUNTIF($Z$1:Z46,1)</f>
        <v>15</v>
      </c>
      <c r="K47">
        <f>COUNTIF($Z$1:Z46,2)</f>
        <v>15</v>
      </c>
      <c r="L47">
        <f>COUNTIF($Z$1:Z46,3)</f>
        <v>15</v>
      </c>
      <c r="M47">
        <f>COUNTIFS($Z$1:Z46,1,$C$1:C46,C47)</f>
        <v>7</v>
      </c>
      <c r="N47">
        <f>COUNTIFS($Z$1:Z46,2,$C$1:C46,C47)</f>
        <v>7</v>
      </c>
      <c r="O47">
        <f>COUNTIFS($Z$1:Z46,3,$C$1:C46,C47)</f>
        <v>7</v>
      </c>
      <c r="P47">
        <f>F47*COUNTIFS($Z$1:Z46,1,$F$1:F46,1)+G47*COUNTIFS($Z$1:Z46,1,$G$1:G46,1)+H47*COUNTIFS($Z$1:Z46,1,$H$1:H46,1)+I47*COUNTIFS($Z$1:Z46,1,$I$1:I46,1)</f>
        <v>0</v>
      </c>
      <c r="Q47">
        <f>F47*COUNTIFS($Z$1:Z46,2,$F$1:F46,1)+G47*COUNTIFS($Z$1:Z46,2,$G$1:G46,1)+H47*COUNTIFS($Z$1:Z46,2,$H$1:H46,1)+I47*COUNTIFS($Z$1:Z46,2,$I$1:I46,1)</f>
        <v>0</v>
      </c>
      <c r="R47">
        <f>F47*COUNTIFS($Z$1:Z46,3,$F$1:F46,1)+G47*COUNTIFS($Z$1:Z46,3,$G$1:G46,1)+H47*COUNTIFS($Z$1:Z46,3,$H$1:H46,1)+I47*COUNTIFS($Z$1:Z46,3,$I$1:I46,1)</f>
        <v>0</v>
      </c>
      <c r="S47">
        <f>IF(E47="",0,COUNTIFS($Z$1:Z46,1,$E$1:E46,E47))</f>
        <v>6</v>
      </c>
      <c r="T47">
        <f>IF(E47="",0,COUNTIFS($Z$1:Z46,2,$E$1:E46,E47))</f>
        <v>7</v>
      </c>
      <c r="U47">
        <f>IF(E47="",0,COUNTIFS($Z$1:Z46,3,$E$1:E46,E47))</f>
        <v>6</v>
      </c>
      <c r="V47">
        <f>SUMIF($Z$1:Z46,1,$D$1:D46)</f>
        <v>2.7694572132184</v>
      </c>
      <c r="W47">
        <f>SUMIF($Z$1:Z46,2,$D$1:D46)</f>
        <v>2.51555474143643</v>
      </c>
      <c r="X47">
        <f>SUMIF($Z$1:Z46,3,$D$1:D46)</f>
        <v>0.812914636545613</v>
      </c>
      <c r="Y47">
        <f>IF(B47="",0,INDEX('①名簿入力'!$AL$4:$AL$153,B47))</f>
        <v>-1.11687159988549</v>
      </c>
      <c r="Z47">
        <f>IF(B47="","",MATCH(MIN(AA47:AC47),AA47:AC47,0))</f>
        <v>3</v>
      </c>
      <c r="AA47">
        <f>IF(B47="","",IF(J47&gt;=$AE$2,1E+15,M47*1E+10+P47*1E+8+ROUND(100*(D47*V47+$AF$5*Y47*AI47+$AF$4*S47),0)+1E+6))</f>
        <v>70001000399</v>
      </c>
      <c r="AB47">
        <f>IF(B47="","",IF(K47&gt;=$AF$2,1E+15,N47*1E+10+Q47*1E+8+ROUND(100*(D47*W47+$AF$5*Y47*AJ47+$AF$4*T47),0)+1E+6))</f>
        <v>70001000573</v>
      </c>
      <c r="AC47">
        <f>IF(B47="","",IF(L47&gt;=$AG$2,1E+15,O47*1E+10+R47*1E+8+ROUND(100*(D47*X47+$AF$5*Y47*AK47+$AF$4*U47),0)+1E+6))</f>
        <v>70001000299</v>
      </c>
      <c r="AI47">
        <f>SUMIFS($Y$1:Y46,$Z$1:Z46,1,$C$1:C46,C47)</f>
        <v>1.28545599232104</v>
      </c>
      <c r="AJ47">
        <f>SUMIFS($Y$1:Y46,$Z$1:Z46,2,$C$1:C46,C47)</f>
        <v>-1.90078902471078</v>
      </c>
      <c r="AK47">
        <f>SUMIFS($Y$1:Y46,$Z$1:Z46,3,$C$1:C46,C47)</f>
        <v>-0.990433305558831</v>
      </c>
    </row>
    <row r="48">
      <c r="A48" t="n">
        <v>47</v>
      </c>
      <c r="B48">
        <f>IFERROR(MATCH(A48,'①名簿入力'!$AF$4:$AF$153,0),"")</f>
        <v>7</v>
      </c>
      <c r="C48">
        <f>IF(B48="","",INDEX('①名簿入力'!$X$4:$X$153,B48))</f>
        <v>2</v>
      </c>
      <c r="D48">
        <f>IF(B48="","",(INDEX('①名簿入力'!$AD$4:$AD$153,B48)-'設定'!$C$37)/'設定'!$C$38)</f>
        <v>1.12855025832947</v>
      </c>
      <c r="E48" t="str">
        <f>IF(B48="","",INDEX('①名簿入力'!$B$4:$B$153,B48)&amp;"")</f>
        <v>1</v>
      </c>
      <c r="F48">
        <f>IF(B48="",0,INDEX('①名簿入力'!$Y$4:$Y$153,B48))</f>
        <v>0</v>
      </c>
      <c r="G48">
        <f>IF(B48="",0,INDEX('①名簿入力'!$Z$4:$Z$153,B48))</f>
        <v>0</v>
      </c>
      <c r="H48">
        <f>IF(B48="",0,INDEX('①名簿入力'!$AA$4:$AA$153,B48))</f>
        <v>0</v>
      </c>
      <c r="I48">
        <f>IF(B48="",0,INDEX('①名簿入力'!$AB$4:$AB$153,B48))</f>
        <v>0</v>
      </c>
      <c r="J48">
        <f>COUNTIF($Z$1:Z47,1)</f>
        <v>15</v>
      </c>
      <c r="K48">
        <f>COUNTIF($Z$1:Z47,2)</f>
        <v>15</v>
      </c>
      <c r="L48">
        <f>COUNTIF($Z$1:Z47,3)</f>
        <v>16</v>
      </c>
      <c r="M48">
        <f>COUNTIFS($Z$1:Z47,1,$C$1:C47,C48)</f>
        <v>8</v>
      </c>
      <c r="N48">
        <f>COUNTIFS($Z$1:Z47,2,$C$1:C47,C48)</f>
        <v>8</v>
      </c>
      <c r="O48">
        <f>COUNTIFS($Z$1:Z47,3,$C$1:C47,C48)</f>
        <v>8</v>
      </c>
      <c r="P48">
        <f>F48*COUNTIFS($Z$1:Z47,1,$F$1:F47,1)+G48*COUNTIFS($Z$1:Z47,1,$G$1:G47,1)+H48*COUNTIFS($Z$1:Z47,1,$H$1:H47,1)+I48*COUNTIFS($Z$1:Z47,1,$I$1:I47,1)</f>
        <v>0</v>
      </c>
      <c r="Q48">
        <f>F48*COUNTIFS($Z$1:Z47,2,$F$1:F47,1)+G48*COUNTIFS($Z$1:Z47,2,$G$1:G47,1)+H48*COUNTIFS($Z$1:Z47,2,$H$1:H47,1)+I48*COUNTIFS($Z$1:Z47,2,$I$1:I47,1)</f>
        <v>0</v>
      </c>
      <c r="R48">
        <f>F48*COUNTIFS($Z$1:Z47,3,$F$1:F47,1)+G48*COUNTIFS($Z$1:Z47,3,$G$1:G47,1)+H48*COUNTIFS($Z$1:Z47,3,$H$1:H47,1)+I48*COUNTIFS($Z$1:Z47,3,$I$1:I47,1)</f>
        <v>0</v>
      </c>
      <c r="S48">
        <f>IF(E48="",0,COUNTIFS($Z$1:Z47,1,$E$1:E47,E48))</f>
        <v>3</v>
      </c>
      <c r="T48">
        <f>IF(E48="",0,COUNTIFS($Z$1:Z47,2,$E$1:E47,E48))</f>
        <v>5</v>
      </c>
      <c r="U48">
        <f>IF(E48="",0,COUNTIFS($Z$1:Z47,3,$E$1:E47,E48))</f>
        <v>3</v>
      </c>
      <c r="V48">
        <f>SUMIF($Z$1:Z47,1,$D$1:D47)</f>
        <v>2.7694572132184</v>
      </c>
      <c r="W48">
        <f>SUMIF($Z$1:Z47,2,$D$1:D47)</f>
        <v>2.51555474143643</v>
      </c>
      <c r="X48">
        <f>SUMIF($Z$1:Z47,3,$D$1:D47)</f>
        <v>1.97133577390825</v>
      </c>
      <c r="Y48">
        <f>IF(B48="",0,INDEX('①名簿入力'!$AL$4:$AL$153,B48))</f>
        <v>1.69544566587646</v>
      </c>
      <c r="Z48">
        <f>IF(B48="","",MATCH(MIN(AA48:AC48),AA48:AC48,0))</f>
        <v>2</v>
      </c>
      <c r="AA48">
        <f>IF(B48="","",IF(J48&gt;=$AE$2,1E+15,M48*1E+10+P48*1E+8+ROUND(100*(D48*V48+$AF$5*Y48*AI48+$AF$4*S48),0)+1E+6))</f>
        <v>80001000441</v>
      </c>
      <c r="AB48">
        <f>IF(B48="","",IF(K48&gt;=$AF$2,1E+15,N48*1E+10+Q48*1E+8+ROUND(100*(D48*W48+$AF$5*Y48*AJ48+$AF$4*T48),0)+1E+6))</f>
        <v>80001000212</v>
      </c>
      <c r="AC48">
        <f>IF(B48="","",IF(L48&gt;=$AG$2,1E+15,O48*1E+10+R48*1E+8+ROUND(100*(D48*X48+$AF$5*Y48*AK48+$AF$4*U48),0)+1E+6))</f>
        <v>80001000531</v>
      </c>
      <c r="AI48">
        <f>SUMIFS($Y$1:Y47,$Z$1:Z47,1,$C$1:C47,C48)</f>
        <v>0.626158910693001</v>
      </c>
      <c r="AJ48">
        <f>SUMIFS($Y$1:Y47,$Z$1:Z47,2,$C$1:C47,C48)</f>
        <v>-2.32160457656947</v>
      </c>
      <c r="AK48">
        <f>SUMIFS($Y$1:Y47,$Z$1:Z47,3,$C$1:C47,C48)</f>
        <v>2.75509920704924</v>
      </c>
    </row>
    <row r="49">
      <c r="A49" t="n">
        <v>48</v>
      </c>
      <c r="B49">
        <f>IFERROR(MATCH(A49,'①名簿入力'!$AF$4:$AF$153,0),"")</f>
        <v>53</v>
      </c>
      <c r="C49">
        <f>IF(B49="","",INDEX('①名簿入力'!$X$4:$X$153,B49))</f>
        <v>1</v>
      </c>
      <c r="D49">
        <f>IF(B49="","",(INDEX('①名簿入力'!$AD$4:$AD$153,B49)-'設定'!$C$37)/'設定'!$C$38)</f>
        <v>1.11361481881288</v>
      </c>
      <c r="E49" t="str">
        <f>IF(B49="","",INDEX('①名簿入力'!$B$4:$B$153,B49)&amp;"")</f>
        <v>2</v>
      </c>
      <c r="F49">
        <f>IF(B49="",0,INDEX('①名簿入力'!$Y$4:$Y$153,B49))</f>
        <v>0</v>
      </c>
      <c r="G49">
        <f>IF(B49="",0,INDEX('①名簿入力'!$Z$4:$Z$153,B49))</f>
        <v>0</v>
      </c>
      <c r="H49">
        <f>IF(B49="",0,INDEX('①名簿入力'!$AA$4:$AA$153,B49))</f>
        <v>0</v>
      </c>
      <c r="I49">
        <f>IF(B49="",0,INDEX('①名簿入力'!$AB$4:$AB$153,B49))</f>
        <v>0</v>
      </c>
      <c r="J49">
        <f>COUNTIF($Z$1:Z48,1)</f>
        <v>15</v>
      </c>
      <c r="K49">
        <f>COUNTIF($Z$1:Z48,2)</f>
        <v>16</v>
      </c>
      <c r="L49">
        <f>COUNTIF($Z$1:Z48,3)</f>
        <v>16</v>
      </c>
      <c r="M49">
        <f>COUNTIFS($Z$1:Z48,1,$C$1:C48,C49)</f>
        <v>7</v>
      </c>
      <c r="N49">
        <f>COUNTIFS($Z$1:Z48,2,$C$1:C48,C49)</f>
        <v>7</v>
      </c>
      <c r="O49">
        <f>COUNTIFS($Z$1:Z48,3,$C$1:C48,C49)</f>
        <v>8</v>
      </c>
      <c r="P49">
        <f>F49*COUNTIFS($Z$1:Z48,1,$F$1:F48,1)+G49*COUNTIFS($Z$1:Z48,1,$G$1:G48,1)+H49*COUNTIFS($Z$1:Z48,1,$H$1:H48,1)+I49*COUNTIFS($Z$1:Z48,1,$I$1:I48,1)</f>
        <v>0</v>
      </c>
      <c r="Q49">
        <f>F49*COUNTIFS($Z$1:Z48,2,$F$1:F48,1)+G49*COUNTIFS($Z$1:Z48,2,$G$1:G48,1)+H49*COUNTIFS($Z$1:Z48,2,$H$1:H48,1)+I49*COUNTIFS($Z$1:Z48,2,$I$1:I48,1)</f>
        <v>0</v>
      </c>
      <c r="R49">
        <f>F49*COUNTIFS($Z$1:Z48,3,$F$1:F48,1)+G49*COUNTIFS($Z$1:Z48,3,$G$1:G48,1)+H49*COUNTIFS($Z$1:Z48,3,$H$1:H48,1)+I49*COUNTIFS($Z$1:Z48,3,$I$1:I48,1)</f>
        <v>0</v>
      </c>
      <c r="S49">
        <f>IF(E49="",0,COUNTIFS($Z$1:Z48,1,$E$1:E48,E49))</f>
        <v>6</v>
      </c>
      <c r="T49">
        <f>IF(E49="",0,COUNTIFS($Z$1:Z48,2,$E$1:E48,E49))</f>
        <v>7</v>
      </c>
      <c r="U49">
        <f>IF(E49="",0,COUNTIFS($Z$1:Z48,3,$E$1:E48,E49))</f>
        <v>7</v>
      </c>
      <c r="V49">
        <f>SUMIF($Z$1:Z48,1,$D$1:D48)</f>
        <v>2.7694572132184</v>
      </c>
      <c r="W49">
        <f>SUMIF($Z$1:Z48,2,$D$1:D48)</f>
        <v>3.6441049997659</v>
      </c>
      <c r="X49">
        <f>SUMIF($Z$1:Z48,3,$D$1:D48)</f>
        <v>1.97133577390825</v>
      </c>
      <c r="Y49">
        <f>IF(B49="",0,INDEX('①名簿入力'!$AL$4:$AL$153,B49))</f>
        <v>0.476250908630418</v>
      </c>
      <c r="Z49">
        <f>IF(B49="","",MATCH(MIN(AA49:AC49),AA49:AC49,0))</f>
        <v>1</v>
      </c>
      <c r="AA49">
        <f>IF(B49="","",IF(J49&gt;=$AE$2,1E+15,M49*1E+10+P49*1E+8+ROUND(100*(D49*V49+$AF$5*Y49*AI49+$AF$4*S49),0)+1E+6))</f>
        <v>70001000489</v>
      </c>
      <c r="AB49">
        <f>IF(B49="","",IF(K49&gt;=$AF$2,1E+15,N49*1E+10+Q49*1E+8+ROUND(100*(D49*W49+$AF$5*Y49*AJ49+$AF$4*T49),0)+1E+6))</f>
        <v>70001000536</v>
      </c>
      <c r="AC49">
        <f>IF(B49="","",IF(L49&gt;=$AG$2,1E+15,O49*1E+10+R49*1E+8+ROUND(100*(D49*X49+$AF$5*Y49*AK49+$AF$4*U49),0)+1E+6))</f>
        <v>80001000344</v>
      </c>
      <c r="AI49">
        <f>SUMIFS($Y$1:Y48,$Z$1:Z48,1,$C$1:C48,C49)</f>
        <v>1.28545599232104</v>
      </c>
      <c r="AJ49">
        <f>SUMIFS($Y$1:Y48,$Z$1:Z48,2,$C$1:C48,C49)</f>
        <v>-1.90078902471078</v>
      </c>
      <c r="AK49">
        <f>SUMIFS($Y$1:Y48,$Z$1:Z48,3,$C$1:C48,C49)</f>
        <v>-2.10730490544432</v>
      </c>
    </row>
    <row r="50">
      <c r="A50" t="n">
        <v>49</v>
      </c>
      <c r="B50">
        <f>IFERROR(MATCH(A50,'①名簿入力'!$AF$4:$AF$153,0),"")</f>
        <v>100</v>
      </c>
      <c r="C50">
        <f>IF(B50="","",INDEX('①名簿入力'!$X$4:$X$153,B50))</f>
        <v>1</v>
      </c>
      <c r="D50">
        <f>IF(B50="","",(INDEX('①名簿入力'!$AD$4:$AD$153,B50)-'設定'!$C$37)/'設定'!$C$38)</f>
        <v>1.0986793792963</v>
      </c>
      <c r="E50" t="str">
        <f>IF(B50="","",INDEX('①名簿入力'!$B$4:$B$153,B50)&amp;"")</f>
        <v>3</v>
      </c>
      <c r="F50">
        <f>IF(B50="",0,INDEX('①名簿入力'!$Y$4:$Y$153,B50))</f>
        <v>0</v>
      </c>
      <c r="G50">
        <f>IF(B50="",0,INDEX('①名簿入力'!$Z$4:$Z$153,B50))</f>
        <v>0</v>
      </c>
      <c r="H50">
        <f>IF(B50="",0,INDEX('①名簿入力'!$AA$4:$AA$153,B50))</f>
        <v>0</v>
      </c>
      <c r="I50">
        <f>IF(B50="",0,INDEX('①名簿入力'!$AB$4:$AB$153,B50))</f>
        <v>0</v>
      </c>
      <c r="J50">
        <f>COUNTIF($Z$1:Z49,1)</f>
        <v>16</v>
      </c>
      <c r="K50">
        <f>COUNTIF($Z$1:Z49,2)</f>
        <v>16</v>
      </c>
      <c r="L50">
        <f>COUNTIF($Z$1:Z49,3)</f>
        <v>16</v>
      </c>
      <c r="M50">
        <f>COUNTIFS($Z$1:Z49,1,$C$1:C49,C50)</f>
        <v>8</v>
      </c>
      <c r="N50">
        <f>COUNTIFS($Z$1:Z49,2,$C$1:C49,C50)</f>
        <v>7</v>
      </c>
      <c r="O50">
        <f>COUNTIFS($Z$1:Z49,3,$C$1:C49,C50)</f>
        <v>8</v>
      </c>
      <c r="P50">
        <f>F50*COUNTIFS($Z$1:Z49,1,$F$1:F49,1)+G50*COUNTIFS($Z$1:Z49,1,$G$1:G49,1)+H50*COUNTIFS($Z$1:Z49,1,$H$1:H49,1)+I50*COUNTIFS($Z$1:Z49,1,$I$1:I49,1)</f>
        <v>0</v>
      </c>
      <c r="Q50">
        <f>F50*COUNTIFS($Z$1:Z49,2,$F$1:F49,1)+G50*COUNTIFS($Z$1:Z49,2,$G$1:G49,1)+H50*COUNTIFS($Z$1:Z49,2,$H$1:H49,1)+I50*COUNTIFS($Z$1:Z49,2,$I$1:I49,1)</f>
        <v>0</v>
      </c>
      <c r="R50">
        <f>F50*COUNTIFS($Z$1:Z49,3,$F$1:F49,1)+G50*COUNTIFS($Z$1:Z49,3,$G$1:G49,1)+H50*COUNTIFS($Z$1:Z49,3,$H$1:H49,1)+I50*COUNTIFS($Z$1:Z49,3,$I$1:I49,1)</f>
        <v>0</v>
      </c>
      <c r="S50">
        <f>IF(E50="",0,COUNTIFS($Z$1:Z49,1,$E$1:E49,E50))</f>
        <v>6</v>
      </c>
      <c r="T50">
        <f>IF(E50="",0,COUNTIFS($Z$1:Z49,2,$E$1:E49,E50))</f>
        <v>3</v>
      </c>
      <c r="U50">
        <f>IF(E50="",0,COUNTIFS($Z$1:Z49,3,$E$1:E49,E50))</f>
        <v>6</v>
      </c>
      <c r="V50">
        <f>SUMIF($Z$1:Z49,1,$D$1:D49)</f>
        <v>3.88307203203128</v>
      </c>
      <c r="W50">
        <f>SUMIF($Z$1:Z49,2,$D$1:D49)</f>
        <v>3.6441049997659</v>
      </c>
      <c r="X50">
        <f>SUMIF($Z$1:Z49,3,$D$1:D49)</f>
        <v>1.97133577390825</v>
      </c>
      <c r="Y50">
        <f>IF(B50="",0,INDEX('①名簿入力'!$AL$4:$AL$153,B50))</f>
        <v>-0.889282670097504</v>
      </c>
      <c r="Z50">
        <f>IF(B50="","",MATCH(MIN(AA50:AC50),AA50:AC50,0))</f>
        <v>2</v>
      </c>
      <c r="AA50">
        <f>IF(B50="","",IF(J50&gt;=$AE$2,1E+15,M50*1E+10+P50*1E+8+ROUND(100*(D50*V50+$AF$5*Y50*AI50+$AF$4*S50),0)+1E+6))</f>
        <v>80001000498</v>
      </c>
      <c r="AB50">
        <f>IF(B50="","",IF(K50&gt;=$AF$2,1E+15,N50*1E+10+Q50*1E+8+ROUND(100*(D50*W50+$AF$5*Y50*AJ50+$AF$4*T50),0)+1E+6))</f>
        <v>70001000560</v>
      </c>
      <c r="AC50">
        <f>IF(B50="","",IF(L50&gt;=$AG$2,1E+15,O50*1E+10+R50*1E+8+ROUND(100*(D50*X50+$AF$5*Y50*AK50+$AF$4*U50),0)+1E+6))</f>
        <v>80001000460</v>
      </c>
      <c r="AI50">
        <f>SUMIFS($Y$1:Y49,$Z$1:Z49,1,$C$1:C49,C50)</f>
        <v>1.76170690095146</v>
      </c>
      <c r="AJ50">
        <f>SUMIFS($Y$1:Y49,$Z$1:Z49,2,$C$1:C49,C50)</f>
        <v>-1.90078902471078</v>
      </c>
      <c r="AK50">
        <f>SUMIFS($Y$1:Y49,$Z$1:Z49,3,$C$1:C49,C50)</f>
        <v>-2.10730490544432</v>
      </c>
    </row>
    <row r="51">
      <c r="A51" t="n">
        <v>50</v>
      </c>
      <c r="B51">
        <f>IFERROR(MATCH(A51,'①名簿入力'!$AF$4:$AF$153,0),"")</f>
        <v>8</v>
      </c>
      <c r="C51">
        <f>IF(B51="","",INDEX('①名簿入力'!$X$4:$X$153,B51))</f>
        <v>1</v>
      </c>
      <c r="D51">
        <f>IF(B51="","",(INDEX('①名簿入力'!$AD$4:$AD$153,B51)-'設定'!$C$37)/'設定'!$C$38)</f>
        <v>-1.09683022964186</v>
      </c>
      <c r="E51" t="str">
        <f>IF(B51="","",INDEX('①名簿入力'!$B$4:$B$153,B51)&amp;"")</f>
        <v>1</v>
      </c>
      <c r="F51">
        <f>IF(B51="",0,INDEX('①名簿入力'!$Y$4:$Y$153,B51))</f>
        <v>0</v>
      </c>
      <c r="G51">
        <f>IF(B51="",0,INDEX('①名簿入力'!$Z$4:$Z$153,B51))</f>
        <v>0</v>
      </c>
      <c r="H51">
        <f>IF(B51="",0,INDEX('①名簿入力'!$AA$4:$AA$153,B51))</f>
        <v>0</v>
      </c>
      <c r="I51">
        <f>IF(B51="",0,INDEX('①名簿入力'!$AB$4:$AB$153,B51))</f>
        <v>0</v>
      </c>
      <c r="J51">
        <f>COUNTIF($Z$1:Z50,1)</f>
        <v>16</v>
      </c>
      <c r="K51">
        <f>COUNTIF($Z$1:Z50,2)</f>
        <v>17</v>
      </c>
      <c r="L51">
        <f>COUNTIF($Z$1:Z50,3)</f>
        <v>16</v>
      </c>
      <c r="M51">
        <f>COUNTIFS($Z$1:Z50,1,$C$1:C50,C51)</f>
        <v>8</v>
      </c>
      <c r="N51">
        <f>COUNTIFS($Z$1:Z50,2,$C$1:C50,C51)</f>
        <v>8</v>
      </c>
      <c r="O51">
        <f>COUNTIFS($Z$1:Z50,3,$C$1:C50,C51)</f>
        <v>8</v>
      </c>
      <c r="P51">
        <f>F51*COUNTIFS($Z$1:Z50,1,$F$1:F50,1)+G51*COUNTIFS($Z$1:Z50,1,$G$1:G50,1)+H51*COUNTIFS($Z$1:Z50,1,$H$1:H50,1)+I51*COUNTIFS($Z$1:Z50,1,$I$1:I50,1)</f>
        <v>0</v>
      </c>
      <c r="Q51">
        <f>F51*COUNTIFS($Z$1:Z50,2,$F$1:F50,1)+G51*COUNTIFS($Z$1:Z50,2,$G$1:G50,1)+H51*COUNTIFS($Z$1:Z50,2,$H$1:H50,1)+I51*COUNTIFS($Z$1:Z50,2,$I$1:I50,1)</f>
        <v>0</v>
      </c>
      <c r="R51">
        <f>F51*COUNTIFS($Z$1:Z50,3,$F$1:F50,1)+G51*COUNTIFS($Z$1:Z50,3,$G$1:G50,1)+H51*COUNTIFS($Z$1:Z50,3,$H$1:H50,1)+I51*COUNTIFS($Z$1:Z50,3,$I$1:I50,1)</f>
        <v>0</v>
      </c>
      <c r="S51">
        <f>IF(E51="",0,COUNTIFS($Z$1:Z50,1,$E$1:E50,E51))</f>
        <v>3</v>
      </c>
      <c r="T51">
        <f>IF(E51="",0,COUNTIFS($Z$1:Z50,2,$E$1:E50,E51))</f>
        <v>6</v>
      </c>
      <c r="U51">
        <f>IF(E51="",0,COUNTIFS($Z$1:Z50,3,$E$1:E50,E51))</f>
        <v>3</v>
      </c>
      <c r="V51">
        <f>SUMIF($Z$1:Z50,1,$D$1:D50)</f>
        <v>3.88307203203128</v>
      </c>
      <c r="W51">
        <f>SUMIF($Z$1:Z50,2,$D$1:D50)</f>
        <v>4.74278437906219</v>
      </c>
      <c r="X51">
        <f>SUMIF($Z$1:Z50,3,$D$1:D50)</f>
        <v>1.97133577390825</v>
      </c>
      <c r="Y51">
        <f>IF(B51="",0,INDEX('①名簿入力'!$AL$4:$AL$153,B51))</f>
        <v>-1.57204945946146</v>
      </c>
      <c r="Z51">
        <f>IF(B51="","",MATCH(MIN(AA51:AC51),AA51:AC51,0))</f>
        <v>1</v>
      </c>
      <c r="AA51">
        <f>IF(B51="","",IF(J51&gt;=$AE$2,1E+15,M51*1E+10+P51*1E+8+ROUND(100*(D51*V51+$AF$5*Y51*AI51+$AF$4*S51),0)+1E+6))</f>
        <v>80000999511</v>
      </c>
      <c r="AB51">
        <f>IF(B51="","",IF(K51&gt;=$AF$2,1E+15,N51*1E+10+Q51*1E+8+ROUND(100*(D51*W51+$AF$5*Y51*AJ51+$AF$4*T51),0)+1E+6))</f>
        <v>80000999849</v>
      </c>
      <c r="AC51">
        <f>IF(B51="","",IF(L51&gt;=$AG$2,1E+15,O51*1E+10+R51*1E+8+ROUND(100*(D51*X51+$AF$5*Y51*AK51+$AF$4*U51),0)+1E+6))</f>
        <v>80001000024</v>
      </c>
      <c r="AI51">
        <f>SUMIFS($Y$1:Y50,$Z$1:Z50,1,$C$1:C50,C51)</f>
        <v>1.76170690095146</v>
      </c>
      <c r="AJ51">
        <f>SUMIFS($Y$1:Y50,$Z$1:Z50,2,$C$1:C50,C51)</f>
        <v>-2.79007169480828</v>
      </c>
      <c r="AK51">
        <f>SUMIFS($Y$1:Y50,$Z$1:Z50,3,$C$1:C50,C51)</f>
        <v>-2.10730490544432</v>
      </c>
    </row>
    <row r="52">
      <c r="A52" t="n">
        <v>51</v>
      </c>
      <c r="B52">
        <f>IFERROR(MATCH(A52,'①名簿入力'!$AF$4:$AF$153,0),"")</f>
        <v>16</v>
      </c>
      <c r="C52">
        <f>IF(B52="","",INDEX('①名簿入力'!$X$4:$X$153,B52))</f>
        <v>1</v>
      </c>
      <c r="D52">
        <f>IF(B52="","",(INDEX('①名簿入力'!$AD$4:$AD$153,B52)-'設定'!$C$37)/'設定'!$C$38)</f>
        <v>-1.09683022964186</v>
      </c>
      <c r="E52" t="str">
        <f>IF(B52="","",INDEX('①名簿入力'!$B$4:$B$153,B52)&amp;"")</f>
        <v>1</v>
      </c>
      <c r="F52">
        <f>IF(B52="",0,INDEX('①名簿入力'!$Y$4:$Y$153,B52))</f>
        <v>0</v>
      </c>
      <c r="G52">
        <f>IF(B52="",0,INDEX('①名簿入力'!$Z$4:$Z$153,B52))</f>
        <v>0</v>
      </c>
      <c r="H52">
        <f>IF(B52="",0,INDEX('①名簿入力'!$AA$4:$AA$153,B52))</f>
        <v>0</v>
      </c>
      <c r="I52">
        <f>IF(B52="",0,INDEX('①名簿入力'!$AB$4:$AB$153,B52))</f>
        <v>0</v>
      </c>
      <c r="J52">
        <f>COUNTIF($Z$1:Z51,1)</f>
        <v>17</v>
      </c>
      <c r="K52">
        <f>COUNTIF($Z$1:Z51,2)</f>
        <v>17</v>
      </c>
      <c r="L52">
        <f>COUNTIF($Z$1:Z51,3)</f>
        <v>16</v>
      </c>
      <c r="M52">
        <f>COUNTIFS($Z$1:Z51,1,$C$1:C51,C52)</f>
        <v>9</v>
      </c>
      <c r="N52">
        <f>COUNTIFS($Z$1:Z51,2,$C$1:C51,C52)</f>
        <v>8</v>
      </c>
      <c r="O52">
        <f>COUNTIFS($Z$1:Z51,3,$C$1:C51,C52)</f>
        <v>8</v>
      </c>
      <c r="P52">
        <f>F52*COUNTIFS($Z$1:Z51,1,$F$1:F51,1)+G52*COUNTIFS($Z$1:Z51,1,$G$1:G51,1)+H52*COUNTIFS($Z$1:Z51,1,$H$1:H51,1)+I52*COUNTIFS($Z$1:Z51,1,$I$1:I51,1)</f>
        <v>0</v>
      </c>
      <c r="Q52">
        <f>F52*COUNTIFS($Z$1:Z51,2,$F$1:F51,1)+G52*COUNTIFS($Z$1:Z51,2,$G$1:G51,1)+H52*COUNTIFS($Z$1:Z51,2,$H$1:H51,1)+I52*COUNTIFS($Z$1:Z51,2,$I$1:I51,1)</f>
        <v>0</v>
      </c>
      <c r="R52">
        <f>F52*COUNTIFS($Z$1:Z51,3,$F$1:F51,1)+G52*COUNTIFS($Z$1:Z51,3,$G$1:G51,1)+H52*COUNTIFS($Z$1:Z51,3,$H$1:H51,1)+I52*COUNTIFS($Z$1:Z51,3,$I$1:I51,1)</f>
        <v>0</v>
      </c>
      <c r="S52">
        <f>IF(E52="",0,COUNTIFS($Z$1:Z51,1,$E$1:E51,E52))</f>
        <v>4</v>
      </c>
      <c r="T52">
        <f>IF(E52="",0,COUNTIFS($Z$1:Z51,2,$E$1:E51,E52))</f>
        <v>6</v>
      </c>
      <c r="U52">
        <f>IF(E52="",0,COUNTIFS($Z$1:Z51,3,$E$1:E51,E52))</f>
        <v>3</v>
      </c>
      <c r="V52">
        <f>SUMIF($Z$1:Z51,1,$D$1:D51)</f>
        <v>2.78624180238942</v>
      </c>
      <c r="W52">
        <f>SUMIF($Z$1:Z51,2,$D$1:D51)</f>
        <v>4.74278437906219</v>
      </c>
      <c r="X52">
        <f>SUMIF($Z$1:Z51,3,$D$1:D51)</f>
        <v>1.97133577390825</v>
      </c>
      <c r="Y52">
        <f>IF(B52="",0,INDEX('①名簿入力'!$AL$4:$AL$153,B52))</f>
        <v>0.476250908630418</v>
      </c>
      <c r="Z52">
        <f>IF(B52="","",MATCH(MIN(AA52:AC52),AA52:AC52,0))</f>
        <v>2</v>
      </c>
      <c r="AA52">
        <f>IF(B52="","",IF(J52&gt;=$AE$2,1E+15,M52*1E+10+P52*1E+8+ROUND(100*(D52*V52+$AF$5*Y52*AI52+$AF$4*S52),0)+1E+6))</f>
        <v>90000999799</v>
      </c>
      <c r="AB52">
        <f>IF(B52="","",IF(K52&gt;=$AF$2,1E+15,N52*1E+10+Q52*1E+8+ROUND(100*(D52*W52+$AF$5*Y52*AJ52+$AF$4*T52),0)+1E+6))</f>
        <v>80000999563</v>
      </c>
      <c r="AC52">
        <f>IF(B52="","",IF(L52&gt;=$AG$2,1E+15,O52*1E+10+R52*1E+8+ROUND(100*(D52*X52+$AF$5*Y52*AK52+$AF$4*U52),0)+1E+6))</f>
        <v>80000999809</v>
      </c>
      <c r="AI52">
        <f>SUMIFS($Y$1:Y51,$Z$1:Z51,1,$C$1:C51,C52)</f>
        <v>0.189657441489992</v>
      </c>
      <c r="AJ52">
        <f>SUMIFS($Y$1:Y51,$Z$1:Z51,2,$C$1:C51,C52)</f>
        <v>-2.79007169480828</v>
      </c>
      <c r="AK52">
        <f>SUMIFS($Y$1:Y51,$Z$1:Z51,3,$C$1:C51,C52)</f>
        <v>-2.10730490544432</v>
      </c>
    </row>
    <row r="53">
      <c r="A53" t="n">
        <v>52</v>
      </c>
      <c r="B53">
        <f>IFERROR(MATCH(A53,'①名簿入力'!$AF$4:$AF$153,0),"")</f>
        <v>27</v>
      </c>
      <c r="C53">
        <f>IF(B53="","",INDEX('①名簿入力'!$X$4:$X$153,B53))</f>
        <v>1</v>
      </c>
      <c r="D53">
        <f>IF(B53="","",(INDEX('①名簿入力'!$AD$4:$AD$153,B53)-'設定'!$C$37)/'設定'!$C$38)</f>
        <v>-1.09683022964186</v>
      </c>
      <c r="E53" t="str">
        <f>IF(B53="","",INDEX('①名簿入力'!$B$4:$B$153,B53)&amp;"")</f>
        <v>1</v>
      </c>
      <c r="F53">
        <f>IF(B53="",0,INDEX('①名簿入力'!$Y$4:$Y$153,B53))</f>
        <v>0</v>
      </c>
      <c r="G53">
        <f>IF(B53="",0,INDEX('①名簿入力'!$Z$4:$Z$153,B53))</f>
        <v>0</v>
      </c>
      <c r="H53">
        <f>IF(B53="",0,INDEX('①名簿入力'!$AA$4:$AA$153,B53))</f>
        <v>0</v>
      </c>
      <c r="I53">
        <f>IF(B53="",0,INDEX('①名簿入力'!$AB$4:$AB$153,B53))</f>
        <v>0</v>
      </c>
      <c r="J53">
        <f>COUNTIF($Z$1:Z52,1)</f>
        <v>17</v>
      </c>
      <c r="K53">
        <f>COUNTIF($Z$1:Z52,2)</f>
        <v>18</v>
      </c>
      <c r="L53">
        <f>COUNTIF($Z$1:Z52,3)</f>
        <v>16</v>
      </c>
      <c r="M53">
        <f>COUNTIFS($Z$1:Z52,1,$C$1:C52,C53)</f>
        <v>9</v>
      </c>
      <c r="N53">
        <f>COUNTIFS($Z$1:Z52,2,$C$1:C52,C53)</f>
        <v>9</v>
      </c>
      <c r="O53">
        <f>COUNTIFS($Z$1:Z52,3,$C$1:C52,C53)</f>
        <v>8</v>
      </c>
      <c r="P53">
        <f>F53*COUNTIFS($Z$1:Z52,1,$F$1:F52,1)+G53*COUNTIFS($Z$1:Z52,1,$G$1:G52,1)+H53*COUNTIFS($Z$1:Z52,1,$H$1:H52,1)+I53*COUNTIFS($Z$1:Z52,1,$I$1:I52,1)</f>
        <v>0</v>
      </c>
      <c r="Q53">
        <f>F53*COUNTIFS($Z$1:Z52,2,$F$1:F52,1)+G53*COUNTIFS($Z$1:Z52,2,$G$1:G52,1)+H53*COUNTIFS($Z$1:Z52,2,$H$1:H52,1)+I53*COUNTIFS($Z$1:Z52,2,$I$1:I52,1)</f>
        <v>0</v>
      </c>
      <c r="R53">
        <f>F53*COUNTIFS($Z$1:Z52,3,$F$1:F52,1)+G53*COUNTIFS($Z$1:Z52,3,$G$1:G52,1)+H53*COUNTIFS($Z$1:Z52,3,$H$1:H52,1)+I53*COUNTIFS($Z$1:Z52,3,$I$1:I52,1)</f>
        <v>0</v>
      </c>
      <c r="S53">
        <f>IF(E53="",0,COUNTIFS($Z$1:Z52,1,$E$1:E52,E53))</f>
        <v>4</v>
      </c>
      <c r="T53">
        <f>IF(E53="",0,COUNTIFS($Z$1:Z52,2,$E$1:E52,E53))</f>
        <v>7</v>
      </c>
      <c r="U53">
        <f>IF(E53="",0,COUNTIFS($Z$1:Z52,3,$E$1:E52,E53))</f>
        <v>3</v>
      </c>
      <c r="V53">
        <f>SUMIF($Z$1:Z52,1,$D$1:D52)</f>
        <v>2.78624180238942</v>
      </c>
      <c r="W53">
        <f>SUMIF($Z$1:Z52,2,$D$1:D52)</f>
        <v>3.64595414942033</v>
      </c>
      <c r="X53">
        <f>SUMIF($Z$1:Z52,3,$D$1:D52)</f>
        <v>1.97133577390825</v>
      </c>
      <c r="Y53">
        <f>IF(B53="",0,INDEX('①名簿入力'!$AL$4:$AL$153,B53))</f>
        <v>0.24866197884243</v>
      </c>
      <c r="Z53">
        <f>IF(B53="","",MATCH(MIN(AA53:AC53),AA53:AC53,0))</f>
        <v>3</v>
      </c>
      <c r="AA53">
        <f>IF(B53="","",IF(J53&gt;=$AE$2,1E+15,M53*1E+10+P53*1E+8+ROUND(100*(D53*V53+$AF$5*Y53*AI53+$AF$4*S53),0)+1E+6))</f>
        <v>90000999797</v>
      </c>
      <c r="AB53">
        <f>IF(B53="","",IF(K53&gt;=$AF$2,1E+15,N53*1E+10+Q53*1E+8+ROUND(100*(D53*W53+$AF$5*Y53*AJ53+$AF$4*T53),0)+1E+6))</f>
        <v>90000999746</v>
      </c>
      <c r="AC53">
        <f>IF(B53="","",IF(L53&gt;=$AG$2,1E+15,O53*1E+10+R53*1E+8+ROUND(100*(D53*X53+$AF$5*Y53*AK53+$AF$4*U53),0)+1E+6))</f>
        <v>80000999833</v>
      </c>
      <c r="AI53">
        <f>SUMIFS($Y$1:Y52,$Z$1:Z52,1,$C$1:C52,C53)</f>
        <v>0.189657441489992</v>
      </c>
      <c r="AJ53">
        <f>SUMIFS($Y$1:Y52,$Z$1:Z52,2,$C$1:C52,C53)</f>
        <v>-2.31382078617787</v>
      </c>
      <c r="AK53">
        <f>SUMIFS($Y$1:Y52,$Z$1:Z52,3,$C$1:C52,C53)</f>
        <v>-2.10730490544432</v>
      </c>
    </row>
    <row r="54">
      <c r="A54" t="n">
        <v>53</v>
      </c>
      <c r="B54">
        <f>IFERROR(MATCH(A54,'①名簿入力'!$AF$4:$AF$153,0),"")</f>
        <v>42</v>
      </c>
      <c r="C54">
        <f>IF(B54="","",INDEX('①名簿入力'!$X$4:$X$153,B54))</f>
        <v>2</v>
      </c>
      <c r="D54">
        <f>IF(B54="","",(INDEX('①名簿入力'!$AD$4:$AD$153,B54)-'設定'!$C$37)/'設定'!$C$38)</f>
        <v>-1.08189479012528</v>
      </c>
      <c r="E54" t="str">
        <f>IF(B54="","",INDEX('①名簿入力'!$B$4:$B$153,B54)&amp;"")</f>
        <v>2</v>
      </c>
      <c r="F54">
        <f>IF(B54="",0,INDEX('①名簿入力'!$Y$4:$Y$153,B54))</f>
        <v>0</v>
      </c>
      <c r="G54">
        <f>IF(B54="",0,INDEX('①名簿入力'!$Z$4:$Z$153,B54))</f>
        <v>0</v>
      </c>
      <c r="H54">
        <f>IF(B54="",0,INDEX('①名簿入力'!$AA$4:$AA$153,B54))</f>
        <v>0</v>
      </c>
      <c r="I54">
        <f>IF(B54="",0,INDEX('①名簿入力'!$AB$4:$AB$153,B54))</f>
        <v>0</v>
      </c>
      <c r="J54">
        <f>COUNTIF($Z$1:Z53,1)</f>
        <v>17</v>
      </c>
      <c r="K54">
        <f>COUNTIF($Z$1:Z53,2)</f>
        <v>18</v>
      </c>
      <c r="L54">
        <f>COUNTIF($Z$1:Z53,3)</f>
        <v>17</v>
      </c>
      <c r="M54">
        <f>COUNTIFS($Z$1:Z53,1,$C$1:C53,C54)</f>
        <v>8</v>
      </c>
      <c r="N54">
        <f>COUNTIFS($Z$1:Z53,2,$C$1:C53,C54)</f>
        <v>9</v>
      </c>
      <c r="O54">
        <f>COUNTIFS($Z$1:Z53,3,$C$1:C53,C54)</f>
        <v>8</v>
      </c>
      <c r="P54">
        <f>F54*COUNTIFS($Z$1:Z53,1,$F$1:F53,1)+G54*COUNTIFS($Z$1:Z53,1,$G$1:G53,1)+H54*COUNTIFS($Z$1:Z53,1,$H$1:H53,1)+I54*COUNTIFS($Z$1:Z53,1,$I$1:I53,1)</f>
        <v>0</v>
      </c>
      <c r="Q54">
        <f>F54*COUNTIFS($Z$1:Z53,2,$F$1:F53,1)+G54*COUNTIFS($Z$1:Z53,2,$G$1:G53,1)+H54*COUNTIFS($Z$1:Z53,2,$H$1:H53,1)+I54*COUNTIFS($Z$1:Z53,2,$I$1:I53,1)</f>
        <v>0</v>
      </c>
      <c r="R54">
        <f>F54*COUNTIFS($Z$1:Z53,3,$F$1:F53,1)+G54*COUNTIFS($Z$1:Z53,3,$G$1:G53,1)+H54*COUNTIFS($Z$1:Z53,3,$H$1:H53,1)+I54*COUNTIFS($Z$1:Z53,3,$I$1:I53,1)</f>
        <v>0</v>
      </c>
      <c r="S54">
        <f>IF(E54="",0,COUNTIFS($Z$1:Z53,1,$E$1:E53,E54))</f>
        <v>7</v>
      </c>
      <c r="T54">
        <f>IF(E54="",0,COUNTIFS($Z$1:Z53,2,$E$1:E53,E54))</f>
        <v>7</v>
      </c>
      <c r="U54">
        <f>IF(E54="",0,COUNTIFS($Z$1:Z53,3,$E$1:E53,E54))</f>
        <v>7</v>
      </c>
      <c r="V54">
        <f>SUMIF($Z$1:Z53,1,$D$1:D53)</f>
        <v>2.78624180238942</v>
      </c>
      <c r="W54">
        <f>SUMIF($Z$1:Z53,2,$D$1:D53)</f>
        <v>3.64595414942033</v>
      </c>
      <c r="X54">
        <f>SUMIF($Z$1:Z53,3,$D$1:D53)</f>
        <v>0.874505544266391</v>
      </c>
      <c r="Y54">
        <f>IF(B54="",0,INDEX('①名簿入力'!$AL$4:$AL$153,B54))</f>
        <v>-0.105965354117278</v>
      </c>
      <c r="Z54">
        <f>IF(B54="","",MATCH(MIN(AA54:AC54),AA54:AC54,0))</f>
        <v>1</v>
      </c>
      <c r="AA54">
        <f>IF(B54="","",IF(J54&gt;=$AE$2,1E+15,M54*1E+10+P54*1E+8+ROUND(100*(D54*V54+$AF$5*Y54*AI54+$AF$4*S54),0)+1E+6))</f>
        <v>80000999870</v>
      </c>
      <c r="AB54">
        <f>IF(B54="","",IF(K54&gt;=$AF$2,1E+15,N54*1E+10+Q54*1E+8+ROUND(100*(D54*W54+$AF$5*Y54*AJ54+$AF$4*T54),0)+1E+6))</f>
        <v>90000999784</v>
      </c>
      <c r="AC54">
        <f>IF(B54="","",IF(L54&gt;=$AG$2,1E+15,O54*1E+10+R54*1E+8+ROUND(100*(D54*X54+$AF$5*Y54*AK54+$AF$4*U54),0)+1E+6))</f>
        <v>80001000066</v>
      </c>
      <c r="AI54">
        <f>SUMIFS($Y$1:Y53,$Z$1:Z53,1,$C$1:C53,C54)</f>
        <v>0.626158910693001</v>
      </c>
      <c r="AJ54">
        <f>SUMIFS($Y$1:Y53,$Z$1:Z53,2,$C$1:C53,C54)</f>
        <v>-0.626158910693015</v>
      </c>
      <c r="AK54">
        <f>SUMIFS($Y$1:Y53,$Z$1:Z53,3,$C$1:C53,C54)</f>
        <v>2.75509920704924</v>
      </c>
    </row>
    <row r="55">
      <c r="A55" t="n">
        <v>54</v>
      </c>
      <c r="B55">
        <f>IFERROR(MATCH(A55,'①名簿入力'!$AF$4:$AF$153,0),"")</f>
        <v>12</v>
      </c>
      <c r="C55">
        <f>IF(B55="","",INDEX('①名簿入力'!$X$4:$X$153,B55))</f>
        <v>1</v>
      </c>
      <c r="D55">
        <f>IF(B55="","",(INDEX('①名簿入力'!$AD$4:$AD$153,B55)-'設定'!$C$37)/'設定'!$C$38)</f>
        <v>1.05387306074654</v>
      </c>
      <c r="E55" t="str">
        <f>IF(B55="","",INDEX('①名簿入力'!$B$4:$B$153,B55)&amp;"")</f>
        <v>1</v>
      </c>
      <c r="F55">
        <f>IF(B55="",0,INDEX('①名簿入力'!$Y$4:$Y$153,B55))</f>
        <v>0</v>
      </c>
      <c r="G55">
        <f>IF(B55="",0,INDEX('①名簿入力'!$Z$4:$Z$153,B55))</f>
        <v>0</v>
      </c>
      <c r="H55">
        <f>IF(B55="",0,INDEX('①名簿入力'!$AA$4:$AA$153,B55))</f>
        <v>0</v>
      </c>
      <c r="I55">
        <f>IF(B55="",0,INDEX('①名簿入力'!$AB$4:$AB$153,B55))</f>
        <v>0</v>
      </c>
      <c r="J55">
        <f>COUNTIF($Z$1:Z54,1)</f>
        <v>18</v>
      </c>
      <c r="K55">
        <f>COUNTIF($Z$1:Z54,2)</f>
        <v>18</v>
      </c>
      <c r="L55">
        <f>COUNTIF($Z$1:Z54,3)</f>
        <v>17</v>
      </c>
      <c r="M55">
        <f>COUNTIFS($Z$1:Z54,1,$C$1:C54,C55)</f>
        <v>9</v>
      </c>
      <c r="N55">
        <f>COUNTIFS($Z$1:Z54,2,$C$1:C54,C55)</f>
        <v>9</v>
      </c>
      <c r="O55">
        <f>COUNTIFS($Z$1:Z54,3,$C$1:C54,C55)</f>
        <v>9</v>
      </c>
      <c r="P55">
        <f>F55*COUNTIFS($Z$1:Z54,1,$F$1:F54,1)+G55*COUNTIFS($Z$1:Z54,1,$G$1:G54,1)+H55*COUNTIFS($Z$1:Z54,1,$H$1:H54,1)+I55*COUNTIFS($Z$1:Z54,1,$I$1:I54,1)</f>
        <v>0</v>
      </c>
      <c r="Q55">
        <f>F55*COUNTIFS($Z$1:Z54,2,$F$1:F54,1)+G55*COUNTIFS($Z$1:Z54,2,$G$1:G54,1)+H55*COUNTIFS($Z$1:Z54,2,$H$1:H54,1)+I55*COUNTIFS($Z$1:Z54,2,$I$1:I54,1)</f>
        <v>0</v>
      </c>
      <c r="R55">
        <f>F55*COUNTIFS($Z$1:Z54,3,$F$1:F54,1)+G55*COUNTIFS($Z$1:Z54,3,$G$1:G54,1)+H55*COUNTIFS($Z$1:Z54,3,$H$1:H54,1)+I55*COUNTIFS($Z$1:Z54,3,$I$1:I54,1)</f>
        <v>0</v>
      </c>
      <c r="S55">
        <f>IF(E55="",0,COUNTIFS($Z$1:Z54,1,$E$1:E54,E55))</f>
        <v>4</v>
      </c>
      <c r="T55">
        <f>IF(E55="",0,COUNTIFS($Z$1:Z54,2,$E$1:E54,E55))</f>
        <v>7</v>
      </c>
      <c r="U55">
        <f>IF(E55="",0,COUNTIFS($Z$1:Z54,3,$E$1:E54,E55))</f>
        <v>4</v>
      </c>
      <c r="V55">
        <f>SUMIF($Z$1:Z54,1,$D$1:D54)</f>
        <v>1.70434701226414</v>
      </c>
      <c r="W55">
        <f>SUMIF($Z$1:Z54,2,$D$1:D54)</f>
        <v>3.64595414942033</v>
      </c>
      <c r="X55">
        <f>SUMIF($Z$1:Z54,3,$D$1:D54)</f>
        <v>0.874505544266391</v>
      </c>
      <c r="Y55">
        <f>IF(B55="",0,INDEX('①名簿入力'!$AL$4:$AL$153,B55))</f>
        <v>-1.11687159988549</v>
      </c>
      <c r="Z55">
        <f>IF(B55="","",MATCH(MIN(AA55:AC55),AA55:AC55,0))</f>
        <v>1</v>
      </c>
      <c r="AA55">
        <f>IF(B55="","",IF(J55&gt;=$AE$2,1E+15,M55*1E+10+P55*1E+8+ROUND(100*(D55*V55+$AF$5*Y55*AI55+$AF$4*S55),0)+1E+6))</f>
        <v>90001000269</v>
      </c>
      <c r="AB55">
        <f>IF(B55="","",IF(K55&gt;=$AF$2,1E+15,N55*1E+10+Q55*1E+8+ROUND(100*(D55*W55+$AF$5*Y55*AJ55+$AF$4*T55),0)+1E+6))</f>
        <v>90001000688</v>
      </c>
      <c r="AC55">
        <f>IF(B55="","",IF(L55&gt;=$AG$2,1E+15,O55*1E+10+R55*1E+8+ROUND(100*(D55*X55+$AF$5*Y55*AK55+$AF$4*U55),0)+1E+6))</f>
        <v>90001000296</v>
      </c>
      <c r="AI55">
        <f>SUMIFS($Y$1:Y54,$Z$1:Z54,1,$C$1:C54,C55)</f>
        <v>0.189657441489992</v>
      </c>
      <c r="AJ55">
        <f>SUMIFS($Y$1:Y54,$Z$1:Z54,2,$C$1:C54,C55)</f>
        <v>-2.31382078617787</v>
      </c>
      <c r="AK55">
        <f>SUMIFS($Y$1:Y54,$Z$1:Z54,3,$C$1:C54,C55)</f>
        <v>-1.85864292660189</v>
      </c>
    </row>
    <row r="56">
      <c r="A56" t="n">
        <v>55</v>
      </c>
      <c r="B56">
        <f>IFERROR(MATCH(A56,'①名簿入力'!$AF$4:$AF$153,0),"")</f>
        <v>105</v>
      </c>
      <c r="C56">
        <f>IF(B56="","",INDEX('①名簿入力'!$X$4:$X$153,B56))</f>
        <v>1</v>
      </c>
      <c r="D56">
        <f>IF(B56="","",(INDEX('①名簿入力'!$AD$4:$AD$153,B56)-'設定'!$C$37)/'設定'!$C$38)</f>
        <v>1.05387306074654</v>
      </c>
      <c r="E56" t="str">
        <f>IF(B56="","",INDEX('①名簿入力'!$B$4:$B$153,B56)&amp;"")</f>
        <v>3</v>
      </c>
      <c r="F56">
        <f>IF(B56="",0,INDEX('①名簿入力'!$Y$4:$Y$153,B56))</f>
        <v>0</v>
      </c>
      <c r="G56">
        <f>IF(B56="",0,INDEX('①名簿入力'!$Z$4:$Z$153,B56))</f>
        <v>0</v>
      </c>
      <c r="H56">
        <f>IF(B56="",0,INDEX('①名簿入力'!$AA$4:$AA$153,B56))</f>
        <v>0</v>
      </c>
      <c r="I56">
        <f>IF(B56="",0,INDEX('①名簿入力'!$AB$4:$AB$153,B56))</f>
        <v>0</v>
      </c>
      <c r="J56">
        <f>COUNTIF($Z$1:Z55,1)</f>
        <v>19</v>
      </c>
      <c r="K56">
        <f>COUNTIF($Z$1:Z55,2)</f>
        <v>18</v>
      </c>
      <c r="L56">
        <f>COUNTIF($Z$1:Z55,3)</f>
        <v>17</v>
      </c>
      <c r="M56">
        <f>COUNTIFS($Z$1:Z55,1,$C$1:C55,C56)</f>
        <v>10</v>
      </c>
      <c r="N56">
        <f>COUNTIFS($Z$1:Z55,2,$C$1:C55,C56)</f>
        <v>9</v>
      </c>
      <c r="O56">
        <f>COUNTIFS($Z$1:Z55,3,$C$1:C55,C56)</f>
        <v>9</v>
      </c>
      <c r="P56">
        <f>F56*COUNTIFS($Z$1:Z55,1,$F$1:F55,1)+G56*COUNTIFS($Z$1:Z55,1,$G$1:G55,1)+H56*COUNTIFS($Z$1:Z55,1,$H$1:H55,1)+I56*COUNTIFS($Z$1:Z55,1,$I$1:I55,1)</f>
        <v>0</v>
      </c>
      <c r="Q56">
        <f>F56*COUNTIFS($Z$1:Z55,2,$F$1:F55,1)+G56*COUNTIFS($Z$1:Z55,2,$G$1:G55,1)+H56*COUNTIFS($Z$1:Z55,2,$H$1:H55,1)+I56*COUNTIFS($Z$1:Z55,2,$I$1:I55,1)</f>
        <v>0</v>
      </c>
      <c r="R56">
        <f>F56*COUNTIFS($Z$1:Z55,3,$F$1:F55,1)+G56*COUNTIFS($Z$1:Z55,3,$G$1:G55,1)+H56*COUNTIFS($Z$1:Z55,3,$H$1:H55,1)+I56*COUNTIFS($Z$1:Z55,3,$I$1:I55,1)</f>
        <v>0</v>
      </c>
      <c r="S56">
        <f>IF(E56="",0,COUNTIFS($Z$1:Z55,1,$E$1:E55,E56))</f>
        <v>6</v>
      </c>
      <c r="T56">
        <f>IF(E56="",0,COUNTIFS($Z$1:Z55,2,$E$1:E55,E56))</f>
        <v>4</v>
      </c>
      <c r="U56">
        <f>IF(E56="",0,COUNTIFS($Z$1:Z55,3,$E$1:E55,E56))</f>
        <v>6</v>
      </c>
      <c r="V56">
        <f>SUMIF($Z$1:Z55,1,$D$1:D55)</f>
        <v>2.75822007301068</v>
      </c>
      <c r="W56">
        <f>SUMIF($Z$1:Z55,2,$D$1:D55)</f>
        <v>3.64595414942033</v>
      </c>
      <c r="X56">
        <f>SUMIF($Z$1:Z55,3,$D$1:D55)</f>
        <v>0.874505544266391</v>
      </c>
      <c r="Y56">
        <f>IF(B56="",0,INDEX('①名簿入力'!$AL$4:$AL$153,B56))</f>
        <v>0.0210730490544438</v>
      </c>
      <c r="Z56">
        <f>IF(B56="","",MATCH(MIN(AA56:AC56),AA56:AC56,0))</f>
        <v>3</v>
      </c>
      <c r="AA56">
        <f>IF(B56="","",IF(J56&gt;=$AE$2,1E+15,M56*1E+10+P56*1E+8+ROUND(100*(D56*V56+$AF$5*Y56*AI56+$AF$4*S56),0)+1E+6))</f>
        <v>100001000440</v>
      </c>
      <c r="AB56">
        <f>IF(B56="","",IF(K56&gt;=$AF$2,1E+15,N56*1E+10+Q56*1E+8+ROUND(100*(D56*W56+$AF$5*Y56*AJ56+$AF$4*T56),0)+1E+6))</f>
        <v>90001000482</v>
      </c>
      <c r="AC56">
        <f>IF(B56="","",IF(L56&gt;=$AG$2,1E+15,O56*1E+10+R56*1E+8+ROUND(100*(D56*X56+$AF$5*Y56*AK56+$AF$4*U56),0)+1E+6))</f>
        <v>90001000240</v>
      </c>
      <c r="AI56">
        <f>SUMIFS($Y$1:Y55,$Z$1:Z55,1,$C$1:C55,C56)</f>
        <v>-0.927214158395498</v>
      </c>
      <c r="AJ56">
        <f>SUMIFS($Y$1:Y55,$Z$1:Z55,2,$C$1:C55,C56)</f>
        <v>-2.31382078617787</v>
      </c>
      <c r="AK56">
        <f>SUMIFS($Y$1:Y55,$Z$1:Z55,3,$C$1:C55,C56)</f>
        <v>-1.85864292660189</v>
      </c>
    </row>
    <row r="57">
      <c r="A57" t="n">
        <v>56</v>
      </c>
      <c r="B57">
        <f>IFERROR(MATCH(A57,'①名簿入力'!$AF$4:$AF$153,0),"")</f>
        <v>40</v>
      </c>
      <c r="C57">
        <f>IF(B57="","",INDEX('①名簿入力'!$X$4:$X$153,B57))</f>
        <v>2</v>
      </c>
      <c r="D57">
        <f>IF(B57="","",(INDEX('①名簿入力'!$AD$4:$AD$153,B57)-'設定'!$C$37)/'設定'!$C$38)</f>
        <v>1.02400218171337</v>
      </c>
      <c r="E57" t="str">
        <f>IF(B57="","",INDEX('①名簿入力'!$B$4:$B$153,B57)&amp;"")</f>
        <v>2</v>
      </c>
      <c r="F57">
        <f>IF(B57="",0,INDEX('①名簿入力'!$Y$4:$Y$153,B57))</f>
        <v>0</v>
      </c>
      <c r="G57">
        <f>IF(B57="",0,INDEX('①名簿入力'!$Z$4:$Z$153,B57))</f>
        <v>0</v>
      </c>
      <c r="H57">
        <f>IF(B57="",0,INDEX('①名簿入力'!$AA$4:$AA$153,B57))</f>
        <v>0</v>
      </c>
      <c r="I57">
        <f>IF(B57="",0,INDEX('①名簿入力'!$AB$4:$AB$153,B57))</f>
        <v>0</v>
      </c>
      <c r="J57">
        <f>COUNTIF($Z$1:Z56,1)</f>
        <v>19</v>
      </c>
      <c r="K57">
        <f>COUNTIF($Z$1:Z56,2)</f>
        <v>18</v>
      </c>
      <c r="L57">
        <f>COUNTIF($Z$1:Z56,3)</f>
        <v>18</v>
      </c>
      <c r="M57">
        <f>COUNTIFS($Z$1:Z56,1,$C$1:C56,C57)</f>
        <v>9</v>
      </c>
      <c r="N57">
        <f>COUNTIFS($Z$1:Z56,2,$C$1:C56,C57)</f>
        <v>9</v>
      </c>
      <c r="O57">
        <f>COUNTIFS($Z$1:Z56,3,$C$1:C56,C57)</f>
        <v>8</v>
      </c>
      <c r="P57">
        <f>F57*COUNTIFS($Z$1:Z56,1,$F$1:F56,1)+G57*COUNTIFS($Z$1:Z56,1,$G$1:G56,1)+H57*COUNTIFS($Z$1:Z56,1,$H$1:H56,1)+I57*COUNTIFS($Z$1:Z56,1,$I$1:I56,1)</f>
        <v>0</v>
      </c>
      <c r="Q57">
        <f>F57*COUNTIFS($Z$1:Z56,2,$F$1:F56,1)+G57*COUNTIFS($Z$1:Z56,2,$G$1:G56,1)+H57*COUNTIFS($Z$1:Z56,2,$H$1:H56,1)+I57*COUNTIFS($Z$1:Z56,2,$I$1:I56,1)</f>
        <v>0</v>
      </c>
      <c r="R57">
        <f>F57*COUNTIFS($Z$1:Z56,3,$F$1:F56,1)+G57*COUNTIFS($Z$1:Z56,3,$G$1:G56,1)+H57*COUNTIFS($Z$1:Z56,3,$H$1:H56,1)+I57*COUNTIFS($Z$1:Z56,3,$I$1:I56,1)</f>
        <v>0</v>
      </c>
      <c r="S57">
        <f>IF(E57="",0,COUNTIFS($Z$1:Z56,1,$E$1:E56,E57))</f>
        <v>8</v>
      </c>
      <c r="T57">
        <f>IF(E57="",0,COUNTIFS($Z$1:Z56,2,$E$1:E56,E57))</f>
        <v>7</v>
      </c>
      <c r="U57">
        <f>IF(E57="",0,COUNTIFS($Z$1:Z56,3,$E$1:E56,E57))</f>
        <v>7</v>
      </c>
      <c r="V57">
        <f>SUMIF($Z$1:Z56,1,$D$1:D56)</f>
        <v>2.75822007301068</v>
      </c>
      <c r="W57">
        <f>SUMIF($Z$1:Z56,2,$D$1:D56)</f>
        <v>3.64595414942033</v>
      </c>
      <c r="X57">
        <f>SUMIF($Z$1:Z56,3,$D$1:D56)</f>
        <v>1.92837860501293</v>
      </c>
      <c r="Y57">
        <f>IF(B57="",0,INDEX('①名簿入力'!$AL$4:$AL$153,B57))</f>
        <v>-1.74361173592977</v>
      </c>
      <c r="Z57">
        <f>IF(B57="","",MATCH(MIN(AA57:AC57),AA57:AC57,0))</f>
        <v>3</v>
      </c>
      <c r="AA57">
        <f>IF(B57="","",IF(J57&gt;=$AE$2,1E+15,M57*1E+10+P57*1E+8+ROUND(100*(D57*V57+$AF$5*Y57*AI57+$AF$4*S57),0)+1E+6))</f>
        <v>90001000437</v>
      </c>
      <c r="AB57">
        <f>IF(B57="","",IF(K57&gt;=$AF$2,1E+15,N57*1E+10+Q57*1E+8+ROUND(100*(D57*W57+$AF$5*Y57*AJ57+$AF$4*T57),0)+1E+6))</f>
        <v>90001000603</v>
      </c>
      <c r="AC57">
        <f>IF(B57="","",IF(L57&gt;=$AG$2,1E+15,O57*1E+10+R57*1E+8+ROUND(100*(D57*X57+$AF$5*Y57*AK57+$AF$4*U57),0)+1E+6))</f>
        <v>80001000132</v>
      </c>
      <c r="AI57">
        <f>SUMIFS($Y$1:Y56,$Z$1:Z56,1,$C$1:C56,C57)</f>
        <v>0.520193556575723</v>
      </c>
      <c r="AJ57">
        <f>SUMIFS($Y$1:Y56,$Z$1:Z56,2,$C$1:C56,C57)</f>
        <v>-0.626158910693015</v>
      </c>
      <c r="AK57">
        <f>SUMIFS($Y$1:Y56,$Z$1:Z56,3,$C$1:C56,C57)</f>
        <v>2.75509920704924</v>
      </c>
    </row>
    <row r="58">
      <c r="A58" t="n">
        <v>57</v>
      </c>
      <c r="B58">
        <f>IFERROR(MATCH(A58,'①名簿入力'!$AF$4:$AF$153,0),"")</f>
        <v>24</v>
      </c>
      <c r="C58">
        <f>IF(B58="","",INDEX('①名簿入力'!$X$4:$X$153,B58))</f>
        <v>1</v>
      </c>
      <c r="D58">
        <f>IF(B58="","",(INDEX('①名簿入力'!$AD$4:$AD$153,B58)-'設定'!$C$37)/'設定'!$C$38)</f>
        <v>0.979195863163607</v>
      </c>
      <c r="E58" t="str">
        <f>IF(B58="","",INDEX('①名簿入力'!$B$4:$B$153,B58)&amp;"")</f>
        <v>1</v>
      </c>
      <c r="F58">
        <f>IF(B58="",0,INDEX('①名簿入力'!$Y$4:$Y$153,B58))</f>
        <v>0</v>
      </c>
      <c r="G58">
        <f>IF(B58="",0,INDEX('①名簿入力'!$Z$4:$Z$153,B58))</f>
        <v>0</v>
      </c>
      <c r="H58">
        <f>IF(B58="",0,INDEX('①名簿入力'!$AA$4:$AA$153,B58))</f>
        <v>0</v>
      </c>
      <c r="I58">
        <f>IF(B58="",0,INDEX('①名簿入力'!$AB$4:$AB$153,B58))</f>
        <v>0</v>
      </c>
      <c r="J58">
        <f>COUNTIF($Z$1:Z57,1)</f>
        <v>19</v>
      </c>
      <c r="K58">
        <f>COUNTIF($Z$1:Z57,2)</f>
        <v>18</v>
      </c>
      <c r="L58">
        <f>COUNTIF($Z$1:Z57,3)</f>
        <v>19</v>
      </c>
      <c r="M58">
        <f>COUNTIFS($Z$1:Z57,1,$C$1:C57,C58)</f>
        <v>10</v>
      </c>
      <c r="N58">
        <f>COUNTIFS($Z$1:Z57,2,$C$1:C57,C58)</f>
        <v>9</v>
      </c>
      <c r="O58">
        <f>COUNTIFS($Z$1:Z57,3,$C$1:C57,C58)</f>
        <v>10</v>
      </c>
      <c r="P58">
        <f>F58*COUNTIFS($Z$1:Z57,1,$F$1:F57,1)+G58*COUNTIFS($Z$1:Z57,1,$G$1:G57,1)+H58*COUNTIFS($Z$1:Z57,1,$H$1:H57,1)+I58*COUNTIFS($Z$1:Z57,1,$I$1:I57,1)</f>
        <v>0</v>
      </c>
      <c r="Q58">
        <f>F58*COUNTIFS($Z$1:Z57,2,$F$1:F57,1)+G58*COUNTIFS($Z$1:Z57,2,$G$1:G57,1)+H58*COUNTIFS($Z$1:Z57,2,$H$1:H57,1)+I58*COUNTIFS($Z$1:Z57,2,$I$1:I57,1)</f>
        <v>0</v>
      </c>
      <c r="R58">
        <f>F58*COUNTIFS($Z$1:Z57,3,$F$1:F57,1)+G58*COUNTIFS($Z$1:Z57,3,$G$1:G57,1)+H58*COUNTIFS($Z$1:Z57,3,$H$1:H57,1)+I58*COUNTIFS($Z$1:Z57,3,$I$1:I57,1)</f>
        <v>0</v>
      </c>
      <c r="S58">
        <f>IF(E58="",0,COUNTIFS($Z$1:Z57,1,$E$1:E57,E58))</f>
        <v>5</v>
      </c>
      <c r="T58">
        <f>IF(E58="",0,COUNTIFS($Z$1:Z57,2,$E$1:E57,E58))</f>
        <v>7</v>
      </c>
      <c r="U58">
        <f>IF(E58="",0,COUNTIFS($Z$1:Z57,3,$E$1:E57,E58))</f>
        <v>4</v>
      </c>
      <c r="V58">
        <f>SUMIF($Z$1:Z57,1,$D$1:D57)</f>
        <v>2.75822007301068</v>
      </c>
      <c r="W58">
        <f>SUMIF($Z$1:Z57,2,$D$1:D57)</f>
        <v>3.64595414942033</v>
      </c>
      <c r="X58">
        <f>SUMIF($Z$1:Z57,3,$D$1:D57)</f>
        <v>2.95238078672629</v>
      </c>
      <c r="Y58">
        <f>IF(B58="",0,INDEX('①名簿入力'!$AL$4:$AL$153,B58))</f>
        <v>0.703839838418404</v>
      </c>
      <c r="Z58">
        <f>IF(B58="","",MATCH(MIN(AA58:AC58),AA58:AC58,0))</f>
        <v>2</v>
      </c>
      <c r="AA58">
        <f>IF(B58="","",IF(J58&gt;=$AE$2,1E+15,M58*1E+10+P58*1E+8+ROUND(100*(D58*V58+$AF$5*Y58*AI58+$AF$4*S58),0)+1E+6))</f>
        <v>100001000362</v>
      </c>
      <c r="AB58">
        <f>IF(B58="","",IF(K58&gt;=$AF$2,1E+15,N58*1E+10+Q58*1E+8+ROUND(100*(D58*W58+$AF$5*Y58*AJ58+$AF$4*T58),0)+1E+6))</f>
        <v>90001000451</v>
      </c>
      <c r="AC58">
        <f>IF(B58="","",IF(L58&gt;=$AG$2,1E+15,O58*1E+10+R58*1E+8+ROUND(100*(D58*X58+$AF$5*Y58*AK58+$AF$4*U58),0)+1E+6))</f>
        <v>100001000324</v>
      </c>
      <c r="AI58">
        <f>SUMIFS($Y$1:Y57,$Z$1:Z57,1,$C$1:C57,C58)</f>
        <v>-0.927214158395498</v>
      </c>
      <c r="AJ58">
        <f>SUMIFS($Y$1:Y57,$Z$1:Z57,2,$C$1:C57,C58)</f>
        <v>-2.31382078617787</v>
      </c>
      <c r="AK58">
        <f>SUMIFS($Y$1:Y57,$Z$1:Z57,3,$C$1:C57,C58)</f>
        <v>-1.83756987754745</v>
      </c>
    </row>
    <row r="59">
      <c r="A59" t="n">
        <v>58</v>
      </c>
      <c r="B59">
        <f>IFERROR(MATCH(A59,'①名簿入力'!$AF$4:$AF$153,0),"")</f>
        <v>33</v>
      </c>
      <c r="C59">
        <f>IF(B59="","",INDEX('①名簿入力'!$X$4:$X$153,B59))</f>
        <v>2</v>
      </c>
      <c r="D59">
        <f>IF(B59="","",(INDEX('①名簿入力'!$AD$4:$AD$153,B59)-'設定'!$C$37)/'設定'!$C$38)</f>
        <v>-0.977346713509173</v>
      </c>
      <c r="E59" t="str">
        <f>IF(B59="","",INDEX('①名簿入力'!$B$4:$B$153,B59)&amp;"")</f>
        <v>1</v>
      </c>
      <c r="F59">
        <f>IF(B59="",0,INDEX('①名簿入力'!$Y$4:$Y$153,B59))</f>
        <v>0</v>
      </c>
      <c r="G59">
        <f>IF(B59="",0,INDEX('①名簿入力'!$Z$4:$Z$153,B59))</f>
        <v>0</v>
      </c>
      <c r="H59">
        <f>IF(B59="",0,INDEX('①名簿入力'!$AA$4:$AA$153,B59))</f>
        <v>0</v>
      </c>
      <c r="I59">
        <f>IF(B59="",0,INDEX('①名簿入力'!$AB$4:$AB$153,B59))</f>
        <v>0</v>
      </c>
      <c r="J59">
        <f>COUNTIF($Z$1:Z58,1)</f>
        <v>19</v>
      </c>
      <c r="K59">
        <f>COUNTIF($Z$1:Z58,2)</f>
        <v>19</v>
      </c>
      <c r="L59">
        <f>COUNTIF($Z$1:Z58,3)</f>
        <v>19</v>
      </c>
      <c r="M59">
        <f>COUNTIFS($Z$1:Z58,1,$C$1:C58,C59)</f>
        <v>9</v>
      </c>
      <c r="N59">
        <f>COUNTIFS($Z$1:Z58,2,$C$1:C58,C59)</f>
        <v>9</v>
      </c>
      <c r="O59">
        <f>COUNTIFS($Z$1:Z58,3,$C$1:C58,C59)</f>
        <v>9</v>
      </c>
      <c r="P59">
        <f>F59*COUNTIFS($Z$1:Z58,1,$F$1:F58,1)+G59*COUNTIFS($Z$1:Z58,1,$G$1:G58,1)+H59*COUNTIFS($Z$1:Z58,1,$H$1:H58,1)+I59*COUNTIFS($Z$1:Z58,1,$I$1:I58,1)</f>
        <v>0</v>
      </c>
      <c r="Q59">
        <f>F59*COUNTIFS($Z$1:Z58,2,$F$1:F58,1)+G59*COUNTIFS($Z$1:Z58,2,$G$1:G58,1)+H59*COUNTIFS($Z$1:Z58,2,$H$1:H58,1)+I59*COUNTIFS($Z$1:Z58,2,$I$1:I58,1)</f>
        <v>0</v>
      </c>
      <c r="R59">
        <f>F59*COUNTIFS($Z$1:Z58,3,$F$1:F58,1)+G59*COUNTIFS($Z$1:Z58,3,$G$1:G58,1)+H59*COUNTIFS($Z$1:Z58,3,$H$1:H58,1)+I59*COUNTIFS($Z$1:Z58,3,$I$1:I58,1)</f>
        <v>0</v>
      </c>
      <c r="S59">
        <f>IF(E59="",0,COUNTIFS($Z$1:Z58,1,$E$1:E58,E59))</f>
        <v>5</v>
      </c>
      <c r="T59">
        <f>IF(E59="",0,COUNTIFS($Z$1:Z58,2,$E$1:E58,E59))</f>
        <v>8</v>
      </c>
      <c r="U59">
        <f>IF(E59="",0,COUNTIFS($Z$1:Z58,3,$E$1:E58,E59))</f>
        <v>4</v>
      </c>
      <c r="V59">
        <f>SUMIF($Z$1:Z58,1,$D$1:D58)</f>
        <v>2.75822007301068</v>
      </c>
      <c r="W59">
        <f>SUMIF($Z$1:Z58,2,$D$1:D58)</f>
        <v>4.62515001258394</v>
      </c>
      <c r="X59">
        <f>SUMIF($Z$1:Z58,3,$D$1:D58)</f>
        <v>2.95238078672629</v>
      </c>
      <c r="Y59">
        <f>IF(B59="",0,INDEX('①名簿入力'!$AL$4:$AL$153,B59))</f>
        <v>-0.269729992298529</v>
      </c>
      <c r="Z59">
        <f>IF(B59="","",MATCH(MIN(AA59:AC59),AA59:AC59,0))</f>
        <v>2</v>
      </c>
      <c r="AA59">
        <f>IF(B59="","",IF(J59&gt;=$AE$2,1E+15,M59*1E+10+P59*1E+8+ROUND(100*(D59*V59+$AF$5*Y59*AI59+$AF$4*S59),0)+1E+6))</f>
        <v>90000999848</v>
      </c>
      <c r="AB59">
        <f>IF(B59="","",IF(K59&gt;=$AF$2,1E+15,N59*1E+10+Q59*1E+8+ROUND(100*(D59*W59+$AF$5*Y59*AJ59+$AF$4*T59),0)+1E+6))</f>
        <v>90000999756</v>
      </c>
      <c r="AC59">
        <f>IF(B59="","",IF(L59&gt;=$AG$2,1E+15,O59*1E+10+R59*1E+8+ROUND(100*(D59*X59+$AF$5*Y59*AK59+$AF$4*U59),0)+1E+6))</f>
        <v>90000999798</v>
      </c>
      <c r="AI59">
        <f>SUMIFS($Y$1:Y58,$Z$1:Z58,1,$C$1:C58,C59)</f>
        <v>0.520193556575723</v>
      </c>
      <c r="AJ59">
        <f>SUMIFS($Y$1:Y58,$Z$1:Z58,2,$C$1:C58,C59)</f>
        <v>-0.626158910693015</v>
      </c>
      <c r="AK59">
        <f>SUMIFS($Y$1:Y58,$Z$1:Z58,3,$C$1:C58,C59)</f>
        <v>1.01148747111947</v>
      </c>
    </row>
    <row r="60">
      <c r="A60" t="n">
        <v>59</v>
      </c>
      <c r="B60">
        <f>IFERROR(MATCH(A60,'①名簿入力'!$AF$4:$AF$153,0),"")</f>
        <v>76</v>
      </c>
      <c r="C60">
        <f>IF(B60="","",INDEX('①名簿入力'!$X$4:$X$153,B60))</f>
        <v>1</v>
      </c>
      <c r="D60">
        <f>IF(B60="","",(INDEX('①名簿入力'!$AD$4:$AD$153,B60)-'設定'!$C$37)/'設定'!$C$38)</f>
        <v>0.964260423647021</v>
      </c>
      <c r="E60" t="str">
        <f>IF(B60="","",INDEX('①名簿入力'!$B$4:$B$153,B60)&amp;"")</f>
        <v>3</v>
      </c>
      <c r="F60">
        <f>IF(B60="",0,INDEX('①名簿入力'!$Y$4:$Y$153,B60))</f>
        <v>0</v>
      </c>
      <c r="G60">
        <f>IF(B60="",0,INDEX('①名簿入力'!$Z$4:$Z$153,B60))</f>
        <v>0</v>
      </c>
      <c r="H60">
        <f>IF(B60="",0,INDEX('①名簿入力'!$AA$4:$AA$153,B60))</f>
        <v>0</v>
      </c>
      <c r="I60">
        <f>IF(B60="",0,INDEX('①名簿入力'!$AB$4:$AB$153,B60))</f>
        <v>0</v>
      </c>
      <c r="J60">
        <f>COUNTIF($Z$1:Z59,1)</f>
        <v>19</v>
      </c>
      <c r="K60">
        <f>COUNTIF($Z$1:Z59,2)</f>
        <v>20</v>
      </c>
      <c r="L60">
        <f>COUNTIF($Z$1:Z59,3)</f>
        <v>19</v>
      </c>
      <c r="M60">
        <f>COUNTIFS($Z$1:Z59,1,$C$1:C59,C60)</f>
        <v>10</v>
      </c>
      <c r="N60">
        <f>COUNTIFS($Z$1:Z59,2,$C$1:C59,C60)</f>
        <v>10</v>
      </c>
      <c r="O60">
        <f>COUNTIFS($Z$1:Z59,3,$C$1:C59,C60)</f>
        <v>10</v>
      </c>
      <c r="P60">
        <f>F60*COUNTIFS($Z$1:Z59,1,$F$1:F59,1)+G60*COUNTIFS($Z$1:Z59,1,$G$1:G59,1)+H60*COUNTIFS($Z$1:Z59,1,$H$1:H59,1)+I60*COUNTIFS($Z$1:Z59,1,$I$1:I59,1)</f>
        <v>0</v>
      </c>
      <c r="Q60">
        <f>F60*COUNTIFS($Z$1:Z59,2,$F$1:F59,1)+G60*COUNTIFS($Z$1:Z59,2,$G$1:G59,1)+H60*COUNTIFS($Z$1:Z59,2,$H$1:H59,1)+I60*COUNTIFS($Z$1:Z59,2,$I$1:I59,1)</f>
        <v>0</v>
      </c>
      <c r="R60">
        <f>F60*COUNTIFS($Z$1:Z59,3,$F$1:F59,1)+G60*COUNTIFS($Z$1:Z59,3,$G$1:G59,1)+H60*COUNTIFS($Z$1:Z59,3,$H$1:H59,1)+I60*COUNTIFS($Z$1:Z59,3,$I$1:I59,1)</f>
        <v>0</v>
      </c>
      <c r="S60">
        <f>IF(E60="",0,COUNTIFS($Z$1:Z59,1,$E$1:E59,E60))</f>
        <v>6</v>
      </c>
      <c r="T60">
        <f>IF(E60="",0,COUNTIFS($Z$1:Z59,2,$E$1:E59,E60))</f>
        <v>4</v>
      </c>
      <c r="U60">
        <f>IF(E60="",0,COUNTIFS($Z$1:Z59,3,$E$1:E59,E60))</f>
        <v>7</v>
      </c>
      <c r="V60">
        <f>SUMIF($Z$1:Z59,1,$D$1:D59)</f>
        <v>2.75822007301068</v>
      </c>
      <c r="W60">
        <f>SUMIF($Z$1:Z59,2,$D$1:D59)</f>
        <v>3.64780329907476</v>
      </c>
      <c r="X60">
        <f>SUMIF($Z$1:Z59,3,$D$1:D59)</f>
        <v>2.95238078672629</v>
      </c>
      <c r="Y60">
        <f>IF(B60="",0,INDEX('①名簿入力'!$AL$4:$AL$153,B60))</f>
        <v>0.24866197884243</v>
      </c>
      <c r="Z60">
        <f>IF(B60="","",MATCH(MIN(AA60:AC60),AA60:AC60,0))</f>
        <v>1</v>
      </c>
      <c r="AA60">
        <f>IF(B60="","",IF(J60&gt;=$AE$2,1E+15,M60*1E+10+P60*1E+8+ROUND(100*(D60*V60+$AF$5*Y60*AI60+$AF$4*S60),0)+1E+6))</f>
        <v>100001000404</v>
      </c>
      <c r="AB60">
        <f>IF(B60="","",IF(K60&gt;=$AF$2,1E+15,N60*1E+10+Q60*1E+8+ROUND(100*(D60*W60+$AF$5*Y60*AJ60+$AF$4*T60),0)+1E+6))</f>
        <v>100001000432</v>
      </c>
      <c r="AC60">
        <f>IF(B60="","",IF(L60&gt;=$AG$2,1E+15,O60*1E+10+R60*1E+8+ROUND(100*(D60*X60+$AF$5*Y60*AK60+$AF$4*U60),0)+1E+6))</f>
        <v>100001000437</v>
      </c>
      <c r="AI60">
        <f>SUMIFS($Y$1:Y59,$Z$1:Z59,1,$C$1:C59,C60)</f>
        <v>-0.927214158395498</v>
      </c>
      <c r="AJ60">
        <f>SUMIFS($Y$1:Y59,$Z$1:Z59,2,$C$1:C59,C60)</f>
        <v>-1.60998094775946</v>
      </c>
      <c r="AK60">
        <f>SUMIFS($Y$1:Y59,$Z$1:Z59,3,$C$1:C59,C60)</f>
        <v>-1.83756987754745</v>
      </c>
    </row>
    <row r="61">
      <c r="A61" t="n">
        <v>60</v>
      </c>
      <c r="B61">
        <f>IFERROR(MATCH(A61,'①名簿入力'!$AF$4:$AF$153,0),"")</f>
        <v>52</v>
      </c>
      <c r="C61">
        <f>IF(B61="","",INDEX('①名簿入力'!$X$4:$X$153,B61))</f>
        <v>1</v>
      </c>
      <c r="D61">
        <f>IF(B61="","",(INDEX('①名簿入力'!$AD$4:$AD$153,B61)-'設定'!$C$37)/'設定'!$C$38)</f>
        <v>-0.947475834476001</v>
      </c>
      <c r="E61" t="str">
        <f>IF(B61="","",INDEX('①名簿入力'!$B$4:$B$153,B61)&amp;"")</f>
        <v>2</v>
      </c>
      <c r="F61">
        <f>IF(B61="",0,INDEX('①名簿入力'!$Y$4:$Y$153,B61))</f>
        <v>0</v>
      </c>
      <c r="G61">
        <f>IF(B61="",0,INDEX('①名簿入力'!$Z$4:$Z$153,B61))</f>
        <v>0</v>
      </c>
      <c r="H61">
        <f>IF(B61="",0,INDEX('①名簿入力'!$AA$4:$AA$153,B61))</f>
        <v>0</v>
      </c>
      <c r="I61">
        <f>IF(B61="",0,INDEX('①名簿入力'!$AB$4:$AB$153,B61))</f>
        <v>0</v>
      </c>
      <c r="J61">
        <f>COUNTIF($Z$1:Z60,1)</f>
        <v>20</v>
      </c>
      <c r="K61">
        <f>COUNTIF($Z$1:Z60,2)</f>
        <v>20</v>
      </c>
      <c r="L61">
        <f>COUNTIF($Z$1:Z60,3)</f>
        <v>19</v>
      </c>
      <c r="M61">
        <f>COUNTIFS($Z$1:Z60,1,$C$1:C60,C61)</f>
        <v>11</v>
      </c>
      <c r="N61">
        <f>COUNTIFS($Z$1:Z60,2,$C$1:C60,C61)</f>
        <v>10</v>
      </c>
      <c r="O61">
        <f>COUNTIFS($Z$1:Z60,3,$C$1:C60,C61)</f>
        <v>10</v>
      </c>
      <c r="P61">
        <f>F61*COUNTIFS($Z$1:Z60,1,$F$1:F60,1)+G61*COUNTIFS($Z$1:Z60,1,$G$1:G60,1)+H61*COUNTIFS($Z$1:Z60,1,$H$1:H60,1)+I61*COUNTIFS($Z$1:Z60,1,$I$1:I60,1)</f>
        <v>0</v>
      </c>
      <c r="Q61">
        <f>F61*COUNTIFS($Z$1:Z60,2,$F$1:F60,1)+G61*COUNTIFS($Z$1:Z60,2,$G$1:G60,1)+H61*COUNTIFS($Z$1:Z60,2,$H$1:H60,1)+I61*COUNTIFS($Z$1:Z60,2,$I$1:I60,1)</f>
        <v>0</v>
      </c>
      <c r="R61">
        <f>F61*COUNTIFS($Z$1:Z60,3,$F$1:F60,1)+G61*COUNTIFS($Z$1:Z60,3,$G$1:G60,1)+H61*COUNTIFS($Z$1:Z60,3,$H$1:H60,1)+I61*COUNTIFS($Z$1:Z60,3,$I$1:I60,1)</f>
        <v>0</v>
      </c>
      <c r="S61">
        <f>IF(E61="",0,COUNTIFS($Z$1:Z60,1,$E$1:E60,E61))</f>
        <v>8</v>
      </c>
      <c r="T61">
        <f>IF(E61="",0,COUNTIFS($Z$1:Z60,2,$E$1:E60,E61))</f>
        <v>7</v>
      </c>
      <c r="U61">
        <f>IF(E61="",0,COUNTIFS($Z$1:Z60,3,$E$1:E60,E61))</f>
        <v>8</v>
      </c>
      <c r="V61">
        <f>SUMIF($Z$1:Z60,1,$D$1:D60)</f>
        <v>3.7224804966577</v>
      </c>
      <c r="W61">
        <f>SUMIF($Z$1:Z60,2,$D$1:D60)</f>
        <v>3.64780329907476</v>
      </c>
      <c r="X61">
        <f>SUMIF($Z$1:Z60,3,$D$1:D60)</f>
        <v>2.95238078672629</v>
      </c>
      <c r="Y61">
        <f>IF(B61="",0,INDEX('①名簿入力'!$AL$4:$AL$153,B61))</f>
        <v>-0.206515880733544</v>
      </c>
      <c r="Z61">
        <f>IF(B61="","",MATCH(MIN(AA61:AC61),AA61:AC61,0))</f>
        <v>2</v>
      </c>
      <c r="AA61">
        <f>IF(B61="","",IF(J61&gt;=$AE$2,1E+15,M61*1E+10+P61*1E+8+ROUND(100*(D61*V61+$AF$5*Y61*AI61+$AF$4*S61),0)+1E+6))</f>
        <v>110000999854</v>
      </c>
      <c r="AB61">
        <f>IF(B61="","",IF(K61&gt;=$AF$2,1E+15,N61*1E+10+Q61*1E+8+ROUND(100*(D61*W61+$AF$5*Y61*AJ61+$AF$4*T61),0)+1E+6))</f>
        <v>100000999846</v>
      </c>
      <c r="AC61">
        <f>IF(B61="","",IF(L61&gt;=$AG$2,1E+15,O61*1E+10+R61*1E+8+ROUND(100*(D61*X61+$AF$5*Y61*AK61+$AF$4*U61),0)+1E+6))</f>
        <v>100000999939</v>
      </c>
      <c r="AI61">
        <f>SUMIFS($Y$1:Y60,$Z$1:Z60,1,$C$1:C60,C61)</f>
        <v>-0.678552179553068</v>
      </c>
      <c r="AJ61">
        <f>SUMIFS($Y$1:Y60,$Z$1:Z60,2,$C$1:C60,C61)</f>
        <v>-1.60998094775946</v>
      </c>
      <c r="AK61">
        <f>SUMIFS($Y$1:Y60,$Z$1:Z60,3,$C$1:C60,C61)</f>
        <v>-1.83756987754745</v>
      </c>
    </row>
    <row r="62">
      <c r="A62" t="n">
        <v>61</v>
      </c>
      <c r="B62">
        <f>IFERROR(MATCH(A62,'①名簿入力'!$AF$4:$AF$153,0),"")</f>
        <v>22</v>
      </c>
      <c r="C62">
        <f>IF(B62="","",INDEX('①名簿入力'!$X$4:$X$153,B62))</f>
        <v>2</v>
      </c>
      <c r="D62">
        <f>IF(B62="","",(INDEX('①名簿入力'!$AD$4:$AD$153,B62)-'設定'!$C$37)/'設定'!$C$38)</f>
        <v>-0.917604955442828</v>
      </c>
      <c r="E62" t="str">
        <f>IF(B62="","",INDEX('①名簿入力'!$B$4:$B$153,B62)&amp;"")</f>
        <v>1</v>
      </c>
      <c r="F62">
        <f>IF(B62="",0,INDEX('①名簿入力'!$Y$4:$Y$153,B62))</f>
        <v>0</v>
      </c>
      <c r="G62">
        <f>IF(B62="",0,INDEX('①名簿入力'!$Z$4:$Z$153,B62))</f>
        <v>0</v>
      </c>
      <c r="H62">
        <f>IF(B62="",0,INDEX('①名簿入力'!$AA$4:$AA$153,B62))</f>
        <v>0</v>
      </c>
      <c r="I62">
        <f>IF(B62="",0,INDEX('①名簿入力'!$AB$4:$AB$153,B62))</f>
        <v>0</v>
      </c>
      <c r="J62">
        <f>COUNTIF($Z$1:Z61,1)</f>
        <v>20</v>
      </c>
      <c r="K62">
        <f>COUNTIF($Z$1:Z61,2)</f>
        <v>21</v>
      </c>
      <c r="L62">
        <f>COUNTIF($Z$1:Z61,3)</f>
        <v>19</v>
      </c>
      <c r="M62">
        <f>COUNTIFS($Z$1:Z61,1,$C$1:C61,C62)</f>
        <v>9</v>
      </c>
      <c r="N62">
        <f>COUNTIFS($Z$1:Z61,2,$C$1:C61,C62)</f>
        <v>10</v>
      </c>
      <c r="O62">
        <f>COUNTIFS($Z$1:Z61,3,$C$1:C61,C62)</f>
        <v>9</v>
      </c>
      <c r="P62">
        <f>F62*COUNTIFS($Z$1:Z61,1,$F$1:F61,1)+G62*COUNTIFS($Z$1:Z61,1,$G$1:G61,1)+H62*COUNTIFS($Z$1:Z61,1,$H$1:H61,1)+I62*COUNTIFS($Z$1:Z61,1,$I$1:I61,1)</f>
        <v>0</v>
      </c>
      <c r="Q62">
        <f>F62*COUNTIFS($Z$1:Z61,2,$F$1:F61,1)+G62*COUNTIFS($Z$1:Z61,2,$G$1:G61,1)+H62*COUNTIFS($Z$1:Z61,2,$H$1:H61,1)+I62*COUNTIFS($Z$1:Z61,2,$I$1:I61,1)</f>
        <v>0</v>
      </c>
      <c r="R62">
        <f>F62*COUNTIFS($Z$1:Z61,3,$F$1:F61,1)+G62*COUNTIFS($Z$1:Z61,3,$G$1:G61,1)+H62*COUNTIFS($Z$1:Z61,3,$H$1:H61,1)+I62*COUNTIFS($Z$1:Z61,3,$I$1:I61,1)</f>
        <v>0</v>
      </c>
      <c r="S62">
        <f>IF(E62="",0,COUNTIFS($Z$1:Z61,1,$E$1:E61,E62))</f>
        <v>5</v>
      </c>
      <c r="T62">
        <f>IF(E62="",0,COUNTIFS($Z$1:Z61,2,$E$1:E61,E62))</f>
        <v>9</v>
      </c>
      <c r="U62">
        <f>IF(E62="",0,COUNTIFS($Z$1:Z61,3,$E$1:E61,E62))</f>
        <v>4</v>
      </c>
      <c r="V62">
        <f>SUMIF($Z$1:Z61,1,$D$1:D61)</f>
        <v>3.7224804966577</v>
      </c>
      <c r="W62">
        <f>SUMIF($Z$1:Z61,2,$D$1:D61)</f>
        <v>2.70032746459876</v>
      </c>
      <c r="X62">
        <f>SUMIF($Z$1:Z61,3,$D$1:D61)</f>
        <v>2.95238078672629</v>
      </c>
      <c r="Y62">
        <f>IF(B62="",0,INDEX('①名簿入力'!$AL$4:$AL$153,B62))</f>
        <v>0.712857836788965</v>
      </c>
      <c r="Z62">
        <f>IF(B62="","",MATCH(MIN(AA62:AC62),AA62:AC62,0))</f>
        <v>1</v>
      </c>
      <c r="AA62">
        <f>IF(B62="","",IF(J62&gt;=$AE$2,1E+15,M62*1E+10+P62*1E+8+ROUND(100*(D62*V62+$AF$5*Y62*AI62+$AF$4*S62),0)+1E+6))</f>
        <v>90000999802</v>
      </c>
      <c r="AB62">
        <f>IF(B62="","",IF(K62&gt;=$AF$2,1E+15,N62*1E+10+Q62*1E+8+ROUND(100*(D62*W62+$AF$5*Y62*AJ62+$AF$4*T62),0)+1E+6))</f>
        <v>100000999945</v>
      </c>
      <c r="AC62">
        <f>IF(B62="","",IF(L62&gt;=$AG$2,1E+15,O62*1E+10+R62*1E+8+ROUND(100*(D62*X62+$AF$5*Y62*AK62+$AF$4*U62),0)+1E+6))</f>
        <v>90000999865</v>
      </c>
      <c r="AI62">
        <f>SUMIFS($Y$1:Y61,$Z$1:Z61,1,$C$1:C61,C62)</f>
        <v>0.520193556575723</v>
      </c>
      <c r="AJ62">
        <f>SUMIFS($Y$1:Y61,$Z$1:Z61,2,$C$1:C61,C62)</f>
        <v>-0.895888902991544</v>
      </c>
      <c r="AK62">
        <f>SUMIFS($Y$1:Y61,$Z$1:Z61,3,$C$1:C61,C62)</f>
        <v>1.01148747111947</v>
      </c>
    </row>
    <row r="63">
      <c r="A63" t="n">
        <v>62</v>
      </c>
      <c r="B63">
        <f>IFERROR(MATCH(A63,'①名簿入力'!$AF$4:$AF$153,0),"")</f>
        <v>85</v>
      </c>
      <c r="C63">
        <f>IF(B63="","",INDEX('①名簿入力'!$X$4:$X$153,B63))</f>
        <v>1</v>
      </c>
      <c r="D63">
        <f>IF(B63="","",(INDEX('①名簿入力'!$AD$4:$AD$153,B63)-'設定'!$C$37)/'設定'!$C$38)</f>
        <v>0.904518665580676</v>
      </c>
      <c r="E63" t="str">
        <f>IF(B63="","",INDEX('①名簿入力'!$B$4:$B$153,B63)&amp;"")</f>
        <v>3</v>
      </c>
      <c r="F63">
        <f>IF(B63="",0,INDEX('①名簿入力'!$Y$4:$Y$153,B63))</f>
        <v>0</v>
      </c>
      <c r="G63">
        <f>IF(B63="",0,INDEX('①名簿入力'!$Z$4:$Z$153,B63))</f>
        <v>0</v>
      </c>
      <c r="H63">
        <f>IF(B63="",0,INDEX('①名簿入力'!$AA$4:$AA$153,B63))</f>
        <v>0</v>
      </c>
      <c r="I63">
        <f>IF(B63="",0,INDEX('①名簿入力'!$AB$4:$AB$153,B63))</f>
        <v>0</v>
      </c>
      <c r="J63">
        <f>COUNTIF($Z$1:Z62,1)</f>
        <v>21</v>
      </c>
      <c r="K63">
        <f>COUNTIF($Z$1:Z62,2)</f>
        <v>21</v>
      </c>
      <c r="L63">
        <f>COUNTIF($Z$1:Z62,3)</f>
        <v>19</v>
      </c>
      <c r="M63">
        <f>COUNTIFS($Z$1:Z62,1,$C$1:C62,C63)</f>
        <v>11</v>
      </c>
      <c r="N63">
        <f>COUNTIFS($Z$1:Z62,2,$C$1:C62,C63)</f>
        <v>11</v>
      </c>
      <c r="O63">
        <f>COUNTIFS($Z$1:Z62,3,$C$1:C62,C63)</f>
        <v>10</v>
      </c>
      <c r="P63">
        <f>F63*COUNTIFS($Z$1:Z62,1,$F$1:F62,1)+G63*COUNTIFS($Z$1:Z62,1,$G$1:G62,1)+H63*COUNTIFS($Z$1:Z62,1,$H$1:H62,1)+I63*COUNTIFS($Z$1:Z62,1,$I$1:I62,1)</f>
        <v>0</v>
      </c>
      <c r="Q63">
        <f>F63*COUNTIFS($Z$1:Z62,2,$F$1:F62,1)+G63*COUNTIFS($Z$1:Z62,2,$G$1:G62,1)+H63*COUNTIFS($Z$1:Z62,2,$H$1:H62,1)+I63*COUNTIFS($Z$1:Z62,2,$I$1:I62,1)</f>
        <v>0</v>
      </c>
      <c r="R63">
        <f>F63*COUNTIFS($Z$1:Z62,3,$F$1:F62,1)+G63*COUNTIFS($Z$1:Z62,3,$G$1:G62,1)+H63*COUNTIFS($Z$1:Z62,3,$H$1:H62,1)+I63*COUNTIFS($Z$1:Z62,3,$I$1:I62,1)</f>
        <v>0</v>
      </c>
      <c r="S63">
        <f>IF(E63="",0,COUNTIFS($Z$1:Z62,1,$E$1:E62,E63))</f>
        <v>7</v>
      </c>
      <c r="T63">
        <f>IF(E63="",0,COUNTIFS($Z$1:Z62,2,$E$1:E62,E63))</f>
        <v>4</v>
      </c>
      <c r="U63">
        <f>IF(E63="",0,COUNTIFS($Z$1:Z62,3,$E$1:E62,E63))</f>
        <v>7</v>
      </c>
      <c r="V63">
        <f>SUMIF($Z$1:Z62,1,$D$1:D62)</f>
        <v>2.80487554121487</v>
      </c>
      <c r="W63">
        <f>SUMIF($Z$1:Z62,2,$D$1:D62)</f>
        <v>2.70032746459876</v>
      </c>
      <c r="X63">
        <f>SUMIF($Z$1:Z62,3,$D$1:D62)</f>
        <v>2.95238078672629</v>
      </c>
      <c r="Y63">
        <f>IF(B63="",0,INDEX('①名簿入力'!$AL$4:$AL$153,B63))</f>
        <v>0.0210730490544438</v>
      </c>
      <c r="Z63">
        <f>IF(B63="","",MATCH(MIN(AA63:AC63),AA63:AC63,0))</f>
        <v>3</v>
      </c>
      <c r="AA63">
        <f>IF(B63="","",IF(J63&gt;=$AE$2,1E+15,M63*1E+10+P63*1E+8+ROUND(100*(D63*V63+$AF$5*Y63*AI63+$AF$4*S63),0)+1E+6))</f>
        <v>110001000428</v>
      </c>
      <c r="AB63">
        <f>IF(B63="","",IF(K63&gt;=$AF$2,1E+15,N63*1E+10+Q63*1E+8+ROUND(100*(D63*W63+$AF$5*Y63*AJ63+$AF$4*T63),0)+1E+6))</f>
        <v>110001000342</v>
      </c>
      <c r="AC63">
        <f>IF(B63="","",IF(L63&gt;=$AG$2,1E+15,O63*1E+10+R63*1E+8+ROUND(100*(D63*X63+$AF$5*Y63*AK63+$AF$4*U63),0)+1E+6))</f>
        <v>100001000440</v>
      </c>
      <c r="AI63">
        <f>SUMIFS($Y$1:Y62,$Z$1:Z62,1,$C$1:C62,C63)</f>
        <v>-0.678552179553068</v>
      </c>
      <c r="AJ63">
        <f>SUMIFS($Y$1:Y62,$Z$1:Z62,2,$C$1:C62,C63)</f>
        <v>-1.81649682849301</v>
      </c>
      <c r="AK63">
        <f>SUMIFS($Y$1:Y62,$Z$1:Z62,3,$C$1:C62,C63)</f>
        <v>-1.83756987754745</v>
      </c>
    </row>
    <row r="64">
      <c r="A64" t="n">
        <v>63</v>
      </c>
      <c r="B64">
        <f>IFERROR(MATCH(A64,'①名簿入力'!$AF$4:$AF$153,0),"")</f>
        <v>94</v>
      </c>
      <c r="C64">
        <f>IF(B64="","",INDEX('①名簿入力'!$X$4:$X$153,B64))</f>
        <v>2</v>
      </c>
      <c r="D64">
        <f>IF(B64="","",(INDEX('①名簿入力'!$AD$4:$AD$153,B64)-'設定'!$C$37)/'設定'!$C$38)</f>
        <v>-0.887734076409656</v>
      </c>
      <c r="E64" t="str">
        <f>IF(B64="","",INDEX('①名簿入力'!$B$4:$B$153,B64)&amp;"")</f>
        <v>3</v>
      </c>
      <c r="F64">
        <f>IF(B64="",0,INDEX('①名簿入力'!$Y$4:$Y$153,B64))</f>
        <v>0</v>
      </c>
      <c r="G64">
        <f>IF(B64="",0,INDEX('①名簿入力'!$Z$4:$Z$153,B64))</f>
        <v>0</v>
      </c>
      <c r="H64">
        <f>IF(B64="",0,INDEX('①名簿入力'!$AA$4:$AA$153,B64))</f>
        <v>0</v>
      </c>
      <c r="I64">
        <f>IF(B64="",0,INDEX('①名簿入力'!$AB$4:$AB$153,B64))</f>
        <v>0</v>
      </c>
      <c r="J64">
        <f>COUNTIF($Z$1:Z63,1)</f>
        <v>21</v>
      </c>
      <c r="K64">
        <f>COUNTIF($Z$1:Z63,2)</f>
        <v>21</v>
      </c>
      <c r="L64">
        <f>COUNTIF($Z$1:Z63,3)</f>
        <v>20</v>
      </c>
      <c r="M64">
        <f>COUNTIFS($Z$1:Z63,1,$C$1:C63,C64)</f>
        <v>10</v>
      </c>
      <c r="N64">
        <f>COUNTIFS($Z$1:Z63,2,$C$1:C63,C64)</f>
        <v>10</v>
      </c>
      <c r="O64">
        <f>COUNTIFS($Z$1:Z63,3,$C$1:C63,C64)</f>
        <v>9</v>
      </c>
      <c r="P64">
        <f>F64*COUNTIFS($Z$1:Z63,1,$F$1:F63,1)+G64*COUNTIFS($Z$1:Z63,1,$G$1:G63,1)+H64*COUNTIFS($Z$1:Z63,1,$H$1:H63,1)+I64*COUNTIFS($Z$1:Z63,1,$I$1:I63,1)</f>
        <v>0</v>
      </c>
      <c r="Q64">
        <f>F64*COUNTIFS($Z$1:Z63,2,$F$1:F63,1)+G64*COUNTIFS($Z$1:Z63,2,$G$1:G63,1)+H64*COUNTIFS($Z$1:Z63,2,$H$1:H63,1)+I64*COUNTIFS($Z$1:Z63,2,$I$1:I63,1)</f>
        <v>0</v>
      </c>
      <c r="R64">
        <f>F64*COUNTIFS($Z$1:Z63,3,$F$1:F63,1)+G64*COUNTIFS($Z$1:Z63,3,$G$1:G63,1)+H64*COUNTIFS($Z$1:Z63,3,$H$1:H63,1)+I64*COUNTIFS($Z$1:Z63,3,$I$1:I63,1)</f>
        <v>0</v>
      </c>
      <c r="S64">
        <f>IF(E64="",0,COUNTIFS($Z$1:Z63,1,$E$1:E63,E64))</f>
        <v>7</v>
      </c>
      <c r="T64">
        <f>IF(E64="",0,COUNTIFS($Z$1:Z63,2,$E$1:E63,E64))</f>
        <v>4</v>
      </c>
      <c r="U64">
        <f>IF(E64="",0,COUNTIFS($Z$1:Z63,3,$E$1:E63,E64))</f>
        <v>8</v>
      </c>
      <c r="V64">
        <f>SUMIF($Z$1:Z63,1,$D$1:D63)</f>
        <v>2.80487554121487</v>
      </c>
      <c r="W64">
        <f>SUMIF($Z$1:Z63,2,$D$1:D63)</f>
        <v>2.70032746459876</v>
      </c>
      <c r="X64">
        <f>SUMIF($Z$1:Z63,3,$D$1:D63)</f>
        <v>3.85689945230697</v>
      </c>
      <c r="Y64">
        <f>IF(B64="",0,INDEX('①名簿入力'!$AL$4:$AL$153,B64))</f>
        <v>-0.761023906842273</v>
      </c>
      <c r="Z64">
        <f>IF(B64="","",MATCH(MIN(AA64:AC64),AA64:AC64,0))</f>
        <v>3</v>
      </c>
      <c r="AA64">
        <f>IF(B64="","",IF(J64&gt;=$AE$2,1E+15,M64*1E+10+P64*1E+8+ROUND(100*(D64*V64+$AF$5*Y64*AI64+$AF$4*S64),0)+1E+6))</f>
        <v>100000999879</v>
      </c>
      <c r="AB64">
        <f>IF(B64="","",IF(K64&gt;=$AF$2,1E+15,N64*1E+10+Q64*1E+8+ROUND(100*(D64*W64+$AF$5*Y64*AJ64+$AF$4*T64),0)+1E+6))</f>
        <v>100000999894</v>
      </c>
      <c r="AC64">
        <f>IF(B64="","",IF(L64&gt;=$AG$2,1E+15,O64*1E+10+R64*1E+8+ROUND(100*(D64*X64+$AF$5*Y64*AK64+$AF$4*U64),0)+1E+6))</f>
        <v>90000999819</v>
      </c>
      <c r="AI64">
        <f>SUMIFS($Y$1:Y63,$Z$1:Z63,1,$C$1:C63,C64)</f>
        <v>1.23305139336469</v>
      </c>
      <c r="AJ64">
        <f>SUMIFS($Y$1:Y63,$Z$1:Z63,2,$C$1:C63,C64)</f>
        <v>-0.895888902991544</v>
      </c>
      <c r="AK64">
        <f>SUMIFS($Y$1:Y63,$Z$1:Z63,3,$C$1:C63,C64)</f>
        <v>1.01148747111947</v>
      </c>
    </row>
    <row r="65">
      <c r="A65" t="n">
        <v>64</v>
      </c>
      <c r="B65">
        <f>IFERROR(MATCH(A65,'①名簿入力'!$AF$4:$AF$153,0),"")</f>
        <v>47</v>
      </c>
      <c r="C65">
        <f>IF(B65="","",INDEX('①名簿入力'!$X$4:$X$153,B65))</f>
        <v>1</v>
      </c>
      <c r="D65">
        <f>IF(B65="","",(INDEX('①名簿入力'!$AD$4:$AD$153,B65)-'設定'!$C$37)/'設定'!$C$38)</f>
        <v>0.844776907514332</v>
      </c>
      <c r="E65" t="str">
        <f>IF(B65="","",INDEX('①名簿入力'!$B$4:$B$153,B65)&amp;"")</f>
        <v>2</v>
      </c>
      <c r="F65">
        <f>IF(B65="",0,INDEX('①名簿入力'!$Y$4:$Y$153,B65))</f>
        <v>0</v>
      </c>
      <c r="G65">
        <f>IF(B65="",0,INDEX('①名簿入力'!$Z$4:$Z$153,B65))</f>
        <v>0</v>
      </c>
      <c r="H65">
        <f>IF(B65="",0,INDEX('①名簿入力'!$AA$4:$AA$153,B65))</f>
        <v>0</v>
      </c>
      <c r="I65">
        <f>IF(B65="",0,INDEX('①名簿入力'!$AB$4:$AB$153,B65))</f>
        <v>0</v>
      </c>
      <c r="J65">
        <f>COUNTIF($Z$1:Z64,1)</f>
        <v>21</v>
      </c>
      <c r="K65">
        <f>COUNTIF($Z$1:Z64,2)</f>
        <v>21</v>
      </c>
      <c r="L65">
        <f>COUNTIF($Z$1:Z64,3)</f>
        <v>21</v>
      </c>
      <c r="M65">
        <f>COUNTIFS($Z$1:Z64,1,$C$1:C64,C65)</f>
        <v>11</v>
      </c>
      <c r="N65">
        <f>COUNTIFS($Z$1:Z64,2,$C$1:C64,C65)</f>
        <v>11</v>
      </c>
      <c r="O65">
        <f>COUNTIFS($Z$1:Z64,3,$C$1:C64,C65)</f>
        <v>11</v>
      </c>
      <c r="P65">
        <f>F65*COUNTIFS($Z$1:Z64,1,$F$1:F64,1)+G65*COUNTIFS($Z$1:Z64,1,$G$1:G64,1)+H65*COUNTIFS($Z$1:Z64,1,$H$1:H64,1)+I65*COUNTIFS($Z$1:Z64,1,$I$1:I64,1)</f>
        <v>0</v>
      </c>
      <c r="Q65">
        <f>F65*COUNTIFS($Z$1:Z64,2,$F$1:F64,1)+G65*COUNTIFS($Z$1:Z64,2,$G$1:G64,1)+H65*COUNTIFS($Z$1:Z64,2,$H$1:H64,1)+I65*COUNTIFS($Z$1:Z64,2,$I$1:I64,1)</f>
        <v>0</v>
      </c>
      <c r="R65">
        <f>F65*COUNTIFS($Z$1:Z64,3,$F$1:F64,1)+G65*COUNTIFS($Z$1:Z64,3,$G$1:G64,1)+H65*COUNTIFS($Z$1:Z64,3,$H$1:H64,1)+I65*COUNTIFS($Z$1:Z64,3,$I$1:I64,1)</f>
        <v>0</v>
      </c>
      <c r="S65">
        <f>IF(E65="",0,COUNTIFS($Z$1:Z64,1,$E$1:E64,E65))</f>
        <v>8</v>
      </c>
      <c r="T65">
        <f>IF(E65="",0,COUNTIFS($Z$1:Z64,2,$E$1:E64,E65))</f>
        <v>8</v>
      </c>
      <c r="U65">
        <f>IF(E65="",0,COUNTIFS($Z$1:Z64,3,$E$1:E64,E65))</f>
        <v>8</v>
      </c>
      <c r="V65">
        <f>SUMIF($Z$1:Z64,1,$D$1:D64)</f>
        <v>2.80487554121487</v>
      </c>
      <c r="W65">
        <f>SUMIF($Z$1:Z64,2,$D$1:D64)</f>
        <v>2.70032746459876</v>
      </c>
      <c r="X65">
        <f>SUMIF($Z$1:Z64,3,$D$1:D64)</f>
        <v>2.96916537589731</v>
      </c>
      <c r="Y65">
        <f>IF(B65="",0,INDEX('①名簿入力'!$AL$4:$AL$153,B65))</f>
        <v>0.24866197884243</v>
      </c>
      <c r="Z65">
        <f>IF(B65="","",MATCH(MIN(AA65:AC65),AA65:AC65,0))</f>
        <v>2</v>
      </c>
      <c r="AA65">
        <f>IF(B65="","",IF(J65&gt;=$AE$2,1E+15,M65*1E+10+P65*1E+8+ROUND(100*(D65*V65+$AF$5*Y65*AI65+$AF$4*S65),0)+1E+6))</f>
        <v>110001000429</v>
      </c>
      <c r="AB65">
        <f>IF(B65="","",IF(K65&gt;=$AF$2,1E+15,N65*1E+10+Q65*1E+8+ROUND(100*(D65*W65+$AF$5*Y65*AJ65+$AF$4*T65),0)+1E+6))</f>
        <v>110001000406</v>
      </c>
      <c r="AC65">
        <f>IF(B65="","",IF(L65&gt;=$AG$2,1E+15,O65*1E+10+R65*1E+8+ROUND(100*(D65*X65+$AF$5*Y65*AK65+$AF$4*U65),0)+1E+6))</f>
        <v>110001000428</v>
      </c>
      <c r="AI65">
        <f>SUMIFS($Y$1:Y64,$Z$1:Z64,1,$C$1:C64,C65)</f>
        <v>-0.678552179553068</v>
      </c>
      <c r="AJ65">
        <f>SUMIFS($Y$1:Y64,$Z$1:Z64,2,$C$1:C64,C65)</f>
        <v>-1.81649682849301</v>
      </c>
      <c r="AK65">
        <f>SUMIFS($Y$1:Y64,$Z$1:Z64,3,$C$1:C64,C65)</f>
        <v>-1.816496828493</v>
      </c>
    </row>
    <row r="66">
      <c r="A66" t="n">
        <v>65</v>
      </c>
      <c r="B66">
        <f>IFERROR(MATCH(A66,'①名簿入力'!$AF$4:$AF$153,0),"")</f>
        <v>77</v>
      </c>
      <c r="C66">
        <f>IF(B66="","",INDEX('①名簿入力'!$X$4:$X$153,B66))</f>
        <v>1</v>
      </c>
      <c r="D66">
        <f>IF(B66="","",(INDEX('①名簿入力'!$AD$4:$AD$153,B66)-'設定'!$C$37)/'設定'!$C$38)</f>
        <v>0.829841467997746</v>
      </c>
      <c r="E66" t="str">
        <f>IF(B66="","",INDEX('①名簿入力'!$B$4:$B$153,B66)&amp;"")</f>
        <v>3</v>
      </c>
      <c r="F66">
        <f>IF(B66="",0,INDEX('①名簿入力'!$Y$4:$Y$153,B66))</f>
        <v>0</v>
      </c>
      <c r="G66">
        <f>IF(B66="",0,INDEX('①名簿入力'!$Z$4:$Z$153,B66))</f>
        <v>0</v>
      </c>
      <c r="H66">
        <f>IF(B66="",0,INDEX('①名簿入力'!$AA$4:$AA$153,B66))</f>
        <v>0</v>
      </c>
      <c r="I66">
        <f>IF(B66="",0,INDEX('①名簿入力'!$AB$4:$AB$153,B66))</f>
        <v>0</v>
      </c>
      <c r="J66">
        <f>COUNTIF($Z$1:Z65,1)</f>
        <v>21</v>
      </c>
      <c r="K66">
        <f>COUNTIF($Z$1:Z65,2)</f>
        <v>22</v>
      </c>
      <c r="L66">
        <f>COUNTIF($Z$1:Z65,3)</f>
        <v>21</v>
      </c>
      <c r="M66">
        <f>COUNTIFS($Z$1:Z65,1,$C$1:C65,C66)</f>
        <v>11</v>
      </c>
      <c r="N66">
        <f>COUNTIFS($Z$1:Z65,2,$C$1:C65,C66)</f>
        <v>12</v>
      </c>
      <c r="O66">
        <f>COUNTIFS($Z$1:Z65,3,$C$1:C65,C66)</f>
        <v>11</v>
      </c>
      <c r="P66">
        <f>F66*COUNTIFS($Z$1:Z65,1,$F$1:F65,1)+G66*COUNTIFS($Z$1:Z65,1,$G$1:G65,1)+H66*COUNTIFS($Z$1:Z65,1,$H$1:H65,1)+I66*COUNTIFS($Z$1:Z65,1,$I$1:I65,1)</f>
        <v>0</v>
      </c>
      <c r="Q66">
        <f>F66*COUNTIFS($Z$1:Z65,2,$F$1:F65,1)+G66*COUNTIFS($Z$1:Z65,2,$G$1:G65,1)+H66*COUNTIFS($Z$1:Z65,2,$H$1:H65,1)+I66*COUNTIFS($Z$1:Z65,2,$I$1:I65,1)</f>
        <v>0</v>
      </c>
      <c r="R66">
        <f>F66*COUNTIFS($Z$1:Z65,3,$F$1:F65,1)+G66*COUNTIFS($Z$1:Z65,3,$G$1:G65,1)+H66*COUNTIFS($Z$1:Z65,3,$H$1:H65,1)+I66*COUNTIFS($Z$1:Z65,3,$I$1:I65,1)</f>
        <v>0</v>
      </c>
      <c r="S66">
        <f>IF(E66="",0,COUNTIFS($Z$1:Z65,1,$E$1:E65,E66))</f>
        <v>7</v>
      </c>
      <c r="T66">
        <f>IF(E66="",0,COUNTIFS($Z$1:Z65,2,$E$1:E65,E66))</f>
        <v>4</v>
      </c>
      <c r="U66">
        <f>IF(E66="",0,COUNTIFS($Z$1:Z65,3,$E$1:E65,E66))</f>
        <v>9</v>
      </c>
      <c r="V66">
        <f>SUMIF($Z$1:Z65,1,$D$1:D65)</f>
        <v>2.80487554121487</v>
      </c>
      <c r="W66">
        <f>SUMIF($Z$1:Z65,2,$D$1:D65)</f>
        <v>3.5451043721131</v>
      </c>
      <c r="X66">
        <f>SUMIF($Z$1:Z65,3,$D$1:D65)</f>
        <v>2.96916537589731</v>
      </c>
      <c r="Y66">
        <f>IF(B66="",0,INDEX('①名簿入力'!$AL$4:$AL$153,B66))</f>
        <v>0.24866197884243</v>
      </c>
      <c r="Z66">
        <f>IF(B66="","",MATCH(MIN(AA66:AC66),AA66:AC66,0))</f>
        <v>1</v>
      </c>
      <c r="AA66">
        <f>IF(B66="","",IF(J66&gt;=$AE$2,1E+15,M66*1E+10+P66*1E+8+ROUND(100*(D66*V66+$AF$5*Y66*AI66+$AF$4*S66),0)+1E+6))</f>
        <v>110001000399</v>
      </c>
      <c r="AB66">
        <f>IF(B66="","",IF(K66&gt;=$AF$2,1E+15,N66*1E+10+Q66*1E+8+ROUND(100*(D66*W66+$AF$5*Y66*AJ66+$AF$4*T66),0)+1E+6))</f>
        <v>120001000375</v>
      </c>
      <c r="AC66">
        <f>IF(B66="","",IF(L66&gt;=$AG$2,1E+15,O66*1E+10+R66*1E+8+ROUND(100*(D66*X66+$AF$5*Y66*AK66+$AF$4*U66),0)+1E+6))</f>
        <v>110001000449</v>
      </c>
      <c r="AI66">
        <f>SUMIFS($Y$1:Y65,$Z$1:Z65,1,$C$1:C65,C66)</f>
        <v>-0.678552179553068</v>
      </c>
      <c r="AJ66">
        <f>SUMIFS($Y$1:Y65,$Z$1:Z65,2,$C$1:C65,C66)</f>
        <v>-1.56783484965058</v>
      </c>
      <c r="AK66">
        <f>SUMIFS($Y$1:Y65,$Z$1:Z65,3,$C$1:C65,C66)</f>
        <v>-1.816496828493</v>
      </c>
    </row>
    <row r="67">
      <c r="A67" t="n">
        <v>66</v>
      </c>
      <c r="B67">
        <f>IFERROR(MATCH(A67,'①名簿入力'!$AF$4:$AF$153,0),"")</f>
        <v>86</v>
      </c>
      <c r="C67">
        <f>IF(B67="","",INDEX('①名簿入力'!$X$4:$X$153,B67))</f>
        <v>2</v>
      </c>
      <c r="D67">
        <f>IF(B67="","",(INDEX('①名簿入力'!$AD$4:$AD$153,B67)-'設定'!$C$37)/'設定'!$C$38)</f>
        <v>-0.827992318343312</v>
      </c>
      <c r="E67" t="str">
        <f>IF(B67="","",INDEX('①名簿入力'!$B$4:$B$153,B67)&amp;"")</f>
        <v>3</v>
      </c>
      <c r="F67">
        <f>IF(B67="",0,INDEX('①名簿入力'!$Y$4:$Y$153,B67))</f>
        <v>0</v>
      </c>
      <c r="G67">
        <f>IF(B67="",0,INDEX('①名簿入力'!$Z$4:$Z$153,B67))</f>
        <v>0</v>
      </c>
      <c r="H67">
        <f>IF(B67="",0,INDEX('①名簿入力'!$AA$4:$AA$153,B67))</f>
        <v>0</v>
      </c>
      <c r="I67">
        <f>IF(B67="",0,INDEX('①名簿入力'!$AB$4:$AB$153,B67))</f>
        <v>0</v>
      </c>
      <c r="J67">
        <f>COUNTIF($Z$1:Z66,1)</f>
        <v>22</v>
      </c>
      <c r="K67">
        <f>COUNTIF($Z$1:Z66,2)</f>
        <v>22</v>
      </c>
      <c r="L67">
        <f>COUNTIF($Z$1:Z66,3)</f>
        <v>21</v>
      </c>
      <c r="M67">
        <f>COUNTIFS($Z$1:Z66,1,$C$1:C66,C67)</f>
        <v>10</v>
      </c>
      <c r="N67">
        <f>COUNTIFS($Z$1:Z66,2,$C$1:C66,C67)</f>
        <v>10</v>
      </c>
      <c r="O67">
        <f>COUNTIFS($Z$1:Z66,3,$C$1:C66,C67)</f>
        <v>10</v>
      </c>
      <c r="P67">
        <f>F67*COUNTIFS($Z$1:Z66,1,$F$1:F66,1)+G67*COUNTIFS($Z$1:Z66,1,$G$1:G66,1)+H67*COUNTIFS($Z$1:Z66,1,$H$1:H66,1)+I67*COUNTIFS($Z$1:Z66,1,$I$1:I66,1)</f>
        <v>0</v>
      </c>
      <c r="Q67">
        <f>F67*COUNTIFS($Z$1:Z66,2,$F$1:F66,1)+G67*COUNTIFS($Z$1:Z66,2,$G$1:G66,1)+H67*COUNTIFS($Z$1:Z66,2,$H$1:H66,1)+I67*COUNTIFS($Z$1:Z66,2,$I$1:I66,1)</f>
        <v>0</v>
      </c>
      <c r="R67">
        <f>F67*COUNTIFS($Z$1:Z66,3,$F$1:F66,1)+G67*COUNTIFS($Z$1:Z66,3,$G$1:G66,1)+H67*COUNTIFS($Z$1:Z66,3,$H$1:H66,1)+I67*COUNTIFS($Z$1:Z66,3,$I$1:I66,1)</f>
        <v>0</v>
      </c>
      <c r="S67">
        <f>IF(E67="",0,COUNTIFS($Z$1:Z66,1,$E$1:E66,E67))</f>
        <v>8</v>
      </c>
      <c r="T67">
        <f>IF(E67="",0,COUNTIFS($Z$1:Z66,2,$E$1:E66,E67))</f>
        <v>4</v>
      </c>
      <c r="U67">
        <f>IF(E67="",0,COUNTIFS($Z$1:Z66,3,$E$1:E66,E67))</f>
        <v>9</v>
      </c>
      <c r="V67">
        <f>SUMIF($Z$1:Z66,1,$D$1:D66)</f>
        <v>3.63471700921262</v>
      </c>
      <c r="W67">
        <f>SUMIF($Z$1:Z66,2,$D$1:D66)</f>
        <v>3.5451043721131</v>
      </c>
      <c r="X67">
        <f>SUMIF($Z$1:Z66,3,$D$1:D66)</f>
        <v>2.96916537589731</v>
      </c>
      <c r="Y67">
        <f>IF(B67="",0,INDEX('①名簿入力'!$AL$4:$AL$153,B67))</f>
        <v>0.0577992840639699</v>
      </c>
      <c r="Z67">
        <f>IF(B67="","",MATCH(MIN(AA67:AC67),AA67:AC67,0))</f>
        <v>2</v>
      </c>
      <c r="AA67">
        <f>IF(B67="","",IF(J67&gt;=$AE$2,1E+15,M67*1E+10+P67*1E+8+ROUND(100*(D67*V67+$AF$5*Y67*AI67+$AF$4*S67),0)+1E+6))</f>
        <v>100000999903</v>
      </c>
      <c r="AB67">
        <f>IF(B67="","",IF(K67&gt;=$AF$2,1E+15,N67*1E+10+Q67*1E+8+ROUND(100*(D67*W67+$AF$5*Y67*AJ67+$AF$4*T67),0)+1E+6))</f>
        <v>100000999804</v>
      </c>
      <c r="AC67">
        <f>IF(B67="","",IF(L67&gt;=$AG$2,1E+15,O67*1E+10+R67*1E+8+ROUND(100*(D67*X67+$AF$5*Y67*AK67+$AF$4*U67),0)+1E+6))</f>
        <v>100000999980</v>
      </c>
      <c r="AI67">
        <f>SUMIFS($Y$1:Y66,$Z$1:Z66,1,$C$1:C66,C67)</f>
        <v>1.23305139336469</v>
      </c>
      <c r="AJ67">
        <f>SUMIFS($Y$1:Y66,$Z$1:Z66,2,$C$1:C66,C67)</f>
        <v>-0.895888902991544</v>
      </c>
      <c r="AK67">
        <f>SUMIFS($Y$1:Y66,$Z$1:Z66,3,$C$1:C66,C67)</f>
        <v>0.250463564277199</v>
      </c>
    </row>
    <row r="68">
      <c r="A68" t="n">
        <v>67</v>
      </c>
      <c r="B68">
        <f>IFERROR(MATCH(A68,'①名簿入力'!$AF$4:$AF$153,0),"")</f>
        <v>73</v>
      </c>
      <c r="C68">
        <f>IF(B68="","",INDEX('①名簿入力'!$X$4:$X$153,B68))</f>
        <v>1</v>
      </c>
      <c r="D68">
        <f>IF(B68="","",(INDEX('①名簿入力'!$AD$4:$AD$153,B68)-'設定'!$C$37)/'設定'!$C$38)</f>
        <v>-0.813056878826725</v>
      </c>
      <c r="E68" t="str">
        <f>IF(B68="","",INDEX('①名簿入力'!$B$4:$B$153,B68)&amp;"")</f>
        <v>3</v>
      </c>
      <c r="F68">
        <f>IF(B68="",0,INDEX('①名簿入力'!$Y$4:$Y$153,B68))</f>
        <v>0</v>
      </c>
      <c r="G68">
        <f>IF(B68="",0,INDEX('①名簿入力'!$Z$4:$Z$153,B68))</f>
        <v>0</v>
      </c>
      <c r="H68">
        <f>IF(B68="",0,INDEX('①名簿入力'!$AA$4:$AA$153,B68))</f>
        <v>0</v>
      </c>
      <c r="I68">
        <f>IF(B68="",0,INDEX('①名簿入力'!$AB$4:$AB$153,B68))</f>
        <v>0</v>
      </c>
      <c r="J68">
        <f>COUNTIF($Z$1:Z67,1)</f>
        <v>22</v>
      </c>
      <c r="K68">
        <f>COUNTIF($Z$1:Z67,2)</f>
        <v>23</v>
      </c>
      <c r="L68">
        <f>COUNTIF($Z$1:Z67,3)</f>
        <v>21</v>
      </c>
      <c r="M68">
        <f>COUNTIFS($Z$1:Z67,1,$C$1:C67,C68)</f>
        <v>12</v>
      </c>
      <c r="N68">
        <f>COUNTIFS($Z$1:Z67,2,$C$1:C67,C68)</f>
        <v>12</v>
      </c>
      <c r="O68">
        <f>COUNTIFS($Z$1:Z67,3,$C$1:C67,C68)</f>
        <v>11</v>
      </c>
      <c r="P68">
        <f>F68*COUNTIFS($Z$1:Z67,1,$F$1:F67,1)+G68*COUNTIFS($Z$1:Z67,1,$G$1:G67,1)+H68*COUNTIFS($Z$1:Z67,1,$H$1:H67,1)+I68*COUNTIFS($Z$1:Z67,1,$I$1:I67,1)</f>
        <v>0</v>
      </c>
      <c r="Q68">
        <f>F68*COUNTIFS($Z$1:Z67,2,$F$1:F67,1)+G68*COUNTIFS($Z$1:Z67,2,$G$1:G67,1)+H68*COUNTIFS($Z$1:Z67,2,$H$1:H67,1)+I68*COUNTIFS($Z$1:Z67,2,$I$1:I67,1)</f>
        <v>0</v>
      </c>
      <c r="R68">
        <f>F68*COUNTIFS($Z$1:Z67,3,$F$1:F67,1)+G68*COUNTIFS($Z$1:Z67,3,$G$1:G67,1)+H68*COUNTIFS($Z$1:Z67,3,$H$1:H67,1)+I68*COUNTIFS($Z$1:Z67,3,$I$1:I67,1)</f>
        <v>0</v>
      </c>
      <c r="S68">
        <f>IF(E68="",0,COUNTIFS($Z$1:Z67,1,$E$1:E67,E68))</f>
        <v>8</v>
      </c>
      <c r="T68">
        <f>IF(E68="",0,COUNTIFS($Z$1:Z67,2,$E$1:E67,E68))</f>
        <v>5</v>
      </c>
      <c r="U68">
        <f>IF(E68="",0,COUNTIFS($Z$1:Z67,3,$E$1:E67,E68))</f>
        <v>9</v>
      </c>
      <c r="V68">
        <f>SUMIF($Z$1:Z67,1,$D$1:D67)</f>
        <v>3.63471700921262</v>
      </c>
      <c r="W68">
        <f>SUMIF($Z$1:Z67,2,$D$1:D67)</f>
        <v>2.71711205376978</v>
      </c>
      <c r="X68">
        <f>SUMIF($Z$1:Z67,3,$D$1:D67)</f>
        <v>2.96916537589731</v>
      </c>
      <c r="Y68">
        <f>IF(B68="",0,INDEX('①名簿入力'!$AL$4:$AL$153,B68))</f>
        <v>0.703839838418404</v>
      </c>
      <c r="Z68">
        <f>IF(B68="","",MATCH(MIN(AA68:AC68),AA68:AC68,0))</f>
        <v>3</v>
      </c>
      <c r="AA68">
        <f>IF(B68="","",IF(J68&gt;=$AE$2,1E+15,M68*1E+10+P68*1E+8+ROUND(100*(D68*V68+$AF$5*Y68*AI68+$AF$4*S68),0)+1E+6))</f>
        <v>120000999889</v>
      </c>
      <c r="AB68">
        <f>IF(B68="","",IF(K68&gt;=$AF$2,1E+15,N68*1E+10+Q68*1E+8+ROUND(100*(D68*W68+$AF$5*Y68*AJ68+$AF$4*T68),0)+1E+6))</f>
        <v>120000999849</v>
      </c>
      <c r="AC68">
        <f>IF(B68="","",IF(L68&gt;=$AG$2,1E+15,O68*1E+10+R68*1E+8+ROUND(100*(D68*X68+$AF$5*Y68*AK68+$AF$4*U68),0)+1E+6))</f>
        <v>110000999920</v>
      </c>
      <c r="AI68">
        <f>SUMIFS($Y$1:Y67,$Z$1:Z67,1,$C$1:C67,C68)</f>
        <v>-0.429890200710638</v>
      </c>
      <c r="AJ68">
        <f>SUMIFS($Y$1:Y67,$Z$1:Z67,2,$C$1:C67,C68)</f>
        <v>-1.56783484965058</v>
      </c>
      <c r="AK68">
        <f>SUMIFS($Y$1:Y67,$Z$1:Z67,3,$C$1:C67,C68)</f>
        <v>-1.816496828493</v>
      </c>
    </row>
    <row r="69">
      <c r="A69" t="n">
        <v>68</v>
      </c>
      <c r="B69">
        <f>IFERROR(MATCH(A69,'①名簿入力'!$AF$4:$AF$153,0),"")</f>
        <v>54</v>
      </c>
      <c r="C69">
        <f>IF(B69="","",INDEX('①名簿入力'!$X$4:$X$153,B69))</f>
        <v>2</v>
      </c>
      <c r="D69">
        <f>IF(B69="","",(INDEX('①名簿入力'!$AD$4:$AD$153,B69)-'設定'!$C$37)/'設定'!$C$38)</f>
        <v>-0.79812143931014</v>
      </c>
      <c r="E69" t="str">
        <f>IF(B69="","",INDEX('①名簿入力'!$B$4:$B$153,B69)&amp;"")</f>
        <v>2</v>
      </c>
      <c r="F69">
        <f>IF(B69="",0,INDEX('①名簿入力'!$Y$4:$Y$153,B69))</f>
        <v>0</v>
      </c>
      <c r="G69">
        <f>IF(B69="",0,INDEX('①名簿入力'!$Z$4:$Z$153,B69))</f>
        <v>0</v>
      </c>
      <c r="H69">
        <f>IF(B69="",0,INDEX('①名簿入力'!$AA$4:$AA$153,B69))</f>
        <v>0</v>
      </c>
      <c r="I69">
        <f>IF(B69="",0,INDEX('①名簿入力'!$AB$4:$AB$153,B69))</f>
        <v>0</v>
      </c>
      <c r="J69">
        <f>COUNTIF($Z$1:Z68,1)</f>
        <v>22</v>
      </c>
      <c r="K69">
        <f>COUNTIF($Z$1:Z68,2)</f>
        <v>23</v>
      </c>
      <c r="L69">
        <f>COUNTIF($Z$1:Z68,3)</f>
        <v>22</v>
      </c>
      <c r="M69">
        <f>COUNTIFS($Z$1:Z68,1,$C$1:C68,C69)</f>
        <v>10</v>
      </c>
      <c r="N69">
        <f>COUNTIFS($Z$1:Z68,2,$C$1:C68,C69)</f>
        <v>11</v>
      </c>
      <c r="O69">
        <f>COUNTIFS($Z$1:Z68,3,$C$1:C68,C69)</f>
        <v>10</v>
      </c>
      <c r="P69">
        <f>F69*COUNTIFS($Z$1:Z68,1,$F$1:F68,1)+G69*COUNTIFS($Z$1:Z68,1,$G$1:G68,1)+H69*COUNTIFS($Z$1:Z68,1,$H$1:H68,1)+I69*COUNTIFS($Z$1:Z68,1,$I$1:I68,1)</f>
        <v>0</v>
      </c>
      <c r="Q69">
        <f>F69*COUNTIFS($Z$1:Z68,2,$F$1:F68,1)+G69*COUNTIFS($Z$1:Z68,2,$G$1:G68,1)+H69*COUNTIFS($Z$1:Z68,2,$H$1:H68,1)+I69*COUNTIFS($Z$1:Z68,2,$I$1:I68,1)</f>
        <v>0</v>
      </c>
      <c r="R69">
        <f>F69*COUNTIFS($Z$1:Z68,3,$F$1:F68,1)+G69*COUNTIFS($Z$1:Z68,3,$G$1:G68,1)+H69*COUNTIFS($Z$1:Z68,3,$H$1:H68,1)+I69*COUNTIFS($Z$1:Z68,3,$I$1:I68,1)</f>
        <v>0</v>
      </c>
      <c r="S69">
        <f>IF(E69="",0,COUNTIFS($Z$1:Z68,1,$E$1:E68,E69))</f>
        <v>8</v>
      </c>
      <c r="T69">
        <f>IF(E69="",0,COUNTIFS($Z$1:Z68,2,$E$1:E68,E69))</f>
        <v>9</v>
      </c>
      <c r="U69">
        <f>IF(E69="",0,COUNTIFS($Z$1:Z68,3,$E$1:E68,E69))</f>
        <v>8</v>
      </c>
      <c r="V69">
        <f>SUMIF($Z$1:Z68,1,$D$1:D68)</f>
        <v>3.63471700921262</v>
      </c>
      <c r="W69">
        <f>SUMIF($Z$1:Z68,2,$D$1:D68)</f>
        <v>2.71711205376978</v>
      </c>
      <c r="X69">
        <f>SUMIF($Z$1:Z68,3,$D$1:D68)</f>
        <v>2.15610849707059</v>
      </c>
      <c r="Y69">
        <f>IF(B69="",0,INDEX('①名簿入力'!$AL$4:$AL$153,B69))</f>
        <v>-1.25231782138602</v>
      </c>
      <c r="Z69">
        <f>IF(B69="","",MATCH(MIN(AA69:AC69),AA69:AC69,0))</f>
        <v>1</v>
      </c>
      <c r="AA69">
        <f>IF(B69="","",IF(J69&gt;=$AE$2,1E+15,M69*1E+10+P69*1E+8+ROUND(100*(D69*V69+$AF$5*Y69*AI69+$AF$4*S69),0)+1E+6))</f>
        <v>100000999833</v>
      </c>
      <c r="AB69">
        <f>IF(B69="","",IF(K69&gt;=$AF$2,1E+15,N69*1E+10+Q69*1E+8+ROUND(100*(D69*W69+$AF$5*Y69*AJ69+$AF$4*T69),0)+1E+6))</f>
        <v>110001000061</v>
      </c>
      <c r="AC69">
        <f>IF(B69="","",IF(L69&gt;=$AG$2,1E+15,O69*1E+10+R69*1E+8+ROUND(100*(D69*X69+$AF$5*Y69*AK69+$AF$4*U69),0)+1E+6))</f>
        <v>100001000012</v>
      </c>
      <c r="AI69">
        <f>SUMIFS($Y$1:Y68,$Z$1:Z68,1,$C$1:C68,C69)</f>
        <v>1.23305139336469</v>
      </c>
      <c r="AJ69">
        <f>SUMIFS($Y$1:Y68,$Z$1:Z68,2,$C$1:C68,C69)</f>
        <v>-0.838089618927575</v>
      </c>
      <c r="AK69">
        <f>SUMIFS($Y$1:Y68,$Z$1:Z68,3,$C$1:C68,C69)</f>
        <v>0.250463564277199</v>
      </c>
    </row>
    <row r="70">
      <c r="A70" t="n">
        <v>69</v>
      </c>
      <c r="B70">
        <f>IFERROR(MATCH(A70,'①名簿入力'!$AF$4:$AF$153,0),"")</f>
        <v>81</v>
      </c>
      <c r="C70">
        <f>IF(B70="","",INDEX('①名簿入力'!$X$4:$X$153,B70))</f>
        <v>1</v>
      </c>
      <c r="D70">
        <f>IF(B70="","",(INDEX('①名簿入力'!$AD$4:$AD$153,B70)-'設定'!$C$37)/'設定'!$C$38)</f>
        <v>-0.79812143931014</v>
      </c>
      <c r="E70" t="str">
        <f>IF(B70="","",INDEX('①名簿入力'!$B$4:$B$153,B70)&amp;"")</f>
        <v>3</v>
      </c>
      <c r="F70">
        <f>IF(B70="",0,INDEX('①名簿入力'!$Y$4:$Y$153,B70))</f>
        <v>0</v>
      </c>
      <c r="G70">
        <f>IF(B70="",0,INDEX('①名簿入力'!$Z$4:$Z$153,B70))</f>
        <v>0</v>
      </c>
      <c r="H70">
        <f>IF(B70="",0,INDEX('①名簿入力'!$AA$4:$AA$153,B70))</f>
        <v>0</v>
      </c>
      <c r="I70">
        <f>IF(B70="",0,INDEX('①名簿入力'!$AB$4:$AB$153,B70))</f>
        <v>0</v>
      </c>
      <c r="J70">
        <f>COUNTIF($Z$1:Z69,1)</f>
        <v>23</v>
      </c>
      <c r="K70">
        <f>COUNTIF($Z$1:Z69,2)</f>
        <v>23</v>
      </c>
      <c r="L70">
        <f>COUNTIF($Z$1:Z69,3)</f>
        <v>22</v>
      </c>
      <c r="M70">
        <f>COUNTIFS($Z$1:Z69,1,$C$1:C69,C70)</f>
        <v>12</v>
      </c>
      <c r="N70">
        <f>COUNTIFS($Z$1:Z69,2,$C$1:C69,C70)</f>
        <v>12</v>
      </c>
      <c r="O70">
        <f>COUNTIFS($Z$1:Z69,3,$C$1:C69,C70)</f>
        <v>12</v>
      </c>
      <c r="P70">
        <f>F70*COUNTIFS($Z$1:Z69,1,$F$1:F69,1)+G70*COUNTIFS($Z$1:Z69,1,$G$1:G69,1)+H70*COUNTIFS($Z$1:Z69,1,$H$1:H69,1)+I70*COUNTIFS($Z$1:Z69,1,$I$1:I69,1)</f>
        <v>0</v>
      </c>
      <c r="Q70">
        <f>F70*COUNTIFS($Z$1:Z69,2,$F$1:F69,1)+G70*COUNTIFS($Z$1:Z69,2,$G$1:G69,1)+H70*COUNTIFS($Z$1:Z69,2,$H$1:H69,1)+I70*COUNTIFS($Z$1:Z69,2,$I$1:I69,1)</f>
        <v>0</v>
      </c>
      <c r="R70">
        <f>F70*COUNTIFS($Z$1:Z69,3,$F$1:F69,1)+G70*COUNTIFS($Z$1:Z69,3,$G$1:G69,1)+H70*COUNTIFS($Z$1:Z69,3,$H$1:H69,1)+I70*COUNTIFS($Z$1:Z69,3,$I$1:I69,1)</f>
        <v>0</v>
      </c>
      <c r="S70">
        <f>IF(E70="",0,COUNTIFS($Z$1:Z69,1,$E$1:E69,E70))</f>
        <v>8</v>
      </c>
      <c r="T70">
        <f>IF(E70="",0,COUNTIFS($Z$1:Z69,2,$E$1:E69,E70))</f>
        <v>5</v>
      </c>
      <c r="U70">
        <f>IF(E70="",0,COUNTIFS($Z$1:Z69,3,$E$1:E69,E70))</f>
        <v>10</v>
      </c>
      <c r="V70">
        <f>SUMIF($Z$1:Z69,1,$D$1:D69)</f>
        <v>2.83659556990248</v>
      </c>
      <c r="W70">
        <f>SUMIF($Z$1:Z69,2,$D$1:D69)</f>
        <v>2.71711205376978</v>
      </c>
      <c r="X70">
        <f>SUMIF($Z$1:Z69,3,$D$1:D69)</f>
        <v>2.15610849707059</v>
      </c>
      <c r="Y70">
        <f>IF(B70="",0,INDEX('①名簿入力'!$AL$4:$AL$153,B70))</f>
        <v>2.06937341714632</v>
      </c>
      <c r="Z70">
        <f>IF(B70="","",MATCH(MIN(AA70:AC70),AA70:AC70,0))</f>
        <v>2</v>
      </c>
      <c r="AA70">
        <f>IF(B70="","",IF(J70&gt;=$AE$2,1E+15,M70*1E+10+P70*1E+8+ROUND(100*(D70*V70+$AF$5*Y70*AI70+$AF$4*S70),0)+1E+6))</f>
        <v>120000999929</v>
      </c>
      <c r="AB70">
        <f>IF(B70="","",IF(K70&gt;=$AF$2,1E+15,N70*1E+10+Q70*1E+8+ROUND(100*(D70*W70+$AF$5*Y70*AJ70+$AF$4*T70),0)+1E+6))</f>
        <v>120000999746</v>
      </c>
      <c r="AC70">
        <f>IF(B70="","",IF(L70&gt;=$AG$2,1E+15,O70*1E+10+R70*1E+8+ROUND(100*(D70*X70+$AF$5*Y70*AK70+$AF$4*U70),0)+1E+6))</f>
        <v>120000999963</v>
      </c>
      <c r="AI70">
        <f>SUMIFS($Y$1:Y69,$Z$1:Z69,1,$C$1:C69,C70)</f>
        <v>-0.429890200710638</v>
      </c>
      <c r="AJ70">
        <f>SUMIFS($Y$1:Y69,$Z$1:Z69,2,$C$1:C69,C70)</f>
        <v>-1.56783484965058</v>
      </c>
      <c r="AK70">
        <f>SUMIFS($Y$1:Y69,$Z$1:Z69,3,$C$1:C69,C70)</f>
        <v>-1.1126569900746</v>
      </c>
    </row>
    <row r="71">
      <c r="A71" t="n">
        <v>70</v>
      </c>
      <c r="B71">
        <f>IFERROR(MATCH(A71,'①名簿入力'!$AF$4:$AF$153,0),"")</f>
        <v>68</v>
      </c>
      <c r="C71">
        <f>IF(B71="","",INDEX('①名簿入力'!$X$4:$X$153,B71))</f>
        <v>2</v>
      </c>
      <c r="D71">
        <f>IF(B71="","",(INDEX('①名簿入力'!$AD$4:$AD$153,B71)-'設定'!$C$37)/'設定'!$C$38)</f>
        <v>-0.783185999793553</v>
      </c>
      <c r="E71" t="str">
        <f>IF(B71="","",INDEX('①名簿入力'!$B$4:$B$153,B71)&amp;"")</f>
        <v>2</v>
      </c>
      <c r="F71">
        <f>IF(B71="",0,INDEX('①名簿入力'!$Y$4:$Y$153,B71))</f>
        <v>0</v>
      </c>
      <c r="G71">
        <f>IF(B71="",0,INDEX('①名簿入力'!$Z$4:$Z$153,B71))</f>
        <v>0</v>
      </c>
      <c r="H71">
        <f>IF(B71="",0,INDEX('①名簿入力'!$AA$4:$AA$153,B71))</f>
        <v>0</v>
      </c>
      <c r="I71">
        <f>IF(B71="",0,INDEX('①名簿入力'!$AB$4:$AB$153,B71))</f>
        <v>0</v>
      </c>
      <c r="J71">
        <f>COUNTIF($Z$1:Z70,1)</f>
        <v>23</v>
      </c>
      <c r="K71">
        <f>COUNTIF($Z$1:Z70,2)</f>
        <v>24</v>
      </c>
      <c r="L71">
        <f>COUNTIF($Z$1:Z70,3)</f>
        <v>22</v>
      </c>
      <c r="M71">
        <f>COUNTIFS($Z$1:Z70,1,$C$1:C70,C71)</f>
        <v>11</v>
      </c>
      <c r="N71">
        <f>COUNTIFS($Z$1:Z70,2,$C$1:C70,C71)</f>
        <v>11</v>
      </c>
      <c r="O71">
        <f>COUNTIFS($Z$1:Z70,3,$C$1:C70,C71)</f>
        <v>10</v>
      </c>
      <c r="P71">
        <f>F71*COUNTIFS($Z$1:Z70,1,$F$1:F70,1)+G71*COUNTIFS($Z$1:Z70,1,$G$1:G70,1)+H71*COUNTIFS($Z$1:Z70,1,$H$1:H70,1)+I71*COUNTIFS($Z$1:Z70,1,$I$1:I70,1)</f>
        <v>0</v>
      </c>
      <c r="Q71">
        <f>F71*COUNTIFS($Z$1:Z70,2,$F$1:F70,1)+G71*COUNTIFS($Z$1:Z70,2,$G$1:G70,1)+H71*COUNTIFS($Z$1:Z70,2,$H$1:H70,1)+I71*COUNTIFS($Z$1:Z70,2,$I$1:I70,1)</f>
        <v>0</v>
      </c>
      <c r="R71">
        <f>F71*COUNTIFS($Z$1:Z70,3,$F$1:F70,1)+G71*COUNTIFS($Z$1:Z70,3,$G$1:G70,1)+H71*COUNTIFS($Z$1:Z70,3,$H$1:H70,1)+I71*COUNTIFS($Z$1:Z70,3,$I$1:I70,1)</f>
        <v>0</v>
      </c>
      <c r="S71">
        <f>IF(E71="",0,COUNTIFS($Z$1:Z70,1,$E$1:E70,E71))</f>
        <v>9</v>
      </c>
      <c r="T71">
        <f>IF(E71="",0,COUNTIFS($Z$1:Z70,2,$E$1:E70,E71))</f>
        <v>9</v>
      </c>
      <c r="U71">
        <f>IF(E71="",0,COUNTIFS($Z$1:Z70,3,$E$1:E70,E71))</f>
        <v>8</v>
      </c>
      <c r="V71">
        <f>SUMIF($Z$1:Z70,1,$D$1:D70)</f>
        <v>2.83659556990248</v>
      </c>
      <c r="W71">
        <f>SUMIF($Z$1:Z70,2,$D$1:D70)</f>
        <v>1.91899061445964</v>
      </c>
      <c r="X71">
        <f>SUMIF($Z$1:Z70,3,$D$1:D70)</f>
        <v>2.15610849707059</v>
      </c>
      <c r="Y71">
        <f>IF(B71="",0,INDEX('①名簿入力'!$AL$4:$AL$153,B71))</f>
        <v>1.20415175133271</v>
      </c>
      <c r="Z71">
        <f>IF(B71="","",MATCH(MIN(AA71:AC71),AA71:AC71,0))</f>
        <v>3</v>
      </c>
      <c r="AA71">
        <f>IF(B71="","",IF(J71&gt;=$AE$2,1E+15,M71*1E+10+P71*1E+8+ROUND(100*(D71*V71+$AF$5*Y71*AI71+$AF$4*S71),0)+1E+6))</f>
        <v>110001000002</v>
      </c>
      <c r="AB71">
        <f>IF(B71="","",IF(K71&gt;=$AF$2,1E+15,N71*1E+10+Q71*1E+8+ROUND(100*(D71*W71+$AF$5*Y71*AJ71+$AF$4*T71),0)+1E+6))</f>
        <v>110001000024</v>
      </c>
      <c r="AC71">
        <f>IF(B71="","",IF(L71&gt;=$AG$2,1E+15,O71*1E+10+R71*1E+8+ROUND(100*(D71*X71+$AF$5*Y71*AK71+$AF$4*U71),0)+1E+6))</f>
        <v>100001000046</v>
      </c>
      <c r="AI71">
        <f>SUMIFS($Y$1:Y70,$Z$1:Z70,1,$C$1:C70,C71)</f>
        <v>-0.0192664280213317</v>
      </c>
      <c r="AJ71">
        <f>SUMIFS($Y$1:Y70,$Z$1:Z70,2,$C$1:C70,C71)</f>
        <v>-0.838089618927575</v>
      </c>
      <c r="AK71">
        <f>SUMIFS($Y$1:Y70,$Z$1:Z70,3,$C$1:C70,C71)</f>
        <v>0.250463564277199</v>
      </c>
    </row>
    <row r="72">
      <c r="A72" t="n">
        <v>71</v>
      </c>
      <c r="B72">
        <f>IFERROR(MATCH(A72,'①名簿入力'!$AF$4:$AF$153,0),"")</f>
        <v>35</v>
      </c>
      <c r="C72">
        <f>IF(B72="","",INDEX('①名簿入力'!$X$4:$X$153,B72))</f>
        <v>1</v>
      </c>
      <c r="D72">
        <f>IF(B72="","",(INDEX('①名簿入力'!$AD$4:$AD$153,B72)-'設定'!$C$37)/'設定'!$C$38)</f>
        <v>-0.768250560276967</v>
      </c>
      <c r="E72" t="str">
        <f>IF(B72="","",INDEX('①名簿入力'!$B$4:$B$153,B72)&amp;"")</f>
        <v>1</v>
      </c>
      <c r="F72">
        <f>IF(B72="",0,INDEX('①名簿入力'!$Y$4:$Y$153,B72))</f>
        <v>0</v>
      </c>
      <c r="G72">
        <f>IF(B72="",0,INDEX('①名簿入力'!$Z$4:$Z$153,B72))</f>
        <v>0</v>
      </c>
      <c r="H72">
        <f>IF(B72="",0,INDEX('①名簿入力'!$AA$4:$AA$153,B72))</f>
        <v>0</v>
      </c>
      <c r="I72">
        <f>IF(B72="",0,INDEX('①名簿入力'!$AB$4:$AB$153,B72))</f>
        <v>0</v>
      </c>
      <c r="J72">
        <f>COUNTIF($Z$1:Z71,1)</f>
        <v>23</v>
      </c>
      <c r="K72">
        <f>COUNTIF($Z$1:Z71,2)</f>
        <v>24</v>
      </c>
      <c r="L72">
        <f>COUNTIF($Z$1:Z71,3)</f>
        <v>23</v>
      </c>
      <c r="M72">
        <f>COUNTIFS($Z$1:Z71,1,$C$1:C71,C72)</f>
        <v>12</v>
      </c>
      <c r="N72">
        <f>COUNTIFS($Z$1:Z71,2,$C$1:C71,C72)</f>
        <v>13</v>
      </c>
      <c r="O72">
        <f>COUNTIFS($Z$1:Z71,3,$C$1:C71,C72)</f>
        <v>12</v>
      </c>
      <c r="P72">
        <f>F72*COUNTIFS($Z$1:Z71,1,$F$1:F71,1)+G72*COUNTIFS($Z$1:Z71,1,$G$1:G71,1)+H72*COUNTIFS($Z$1:Z71,1,$H$1:H71,1)+I72*COUNTIFS($Z$1:Z71,1,$I$1:I71,1)</f>
        <v>0</v>
      </c>
      <c r="Q72">
        <f>F72*COUNTIFS($Z$1:Z71,2,$F$1:F71,1)+G72*COUNTIFS($Z$1:Z71,2,$G$1:G71,1)+H72*COUNTIFS($Z$1:Z71,2,$H$1:H71,1)+I72*COUNTIFS($Z$1:Z71,2,$I$1:I71,1)</f>
        <v>0</v>
      </c>
      <c r="R72">
        <f>F72*COUNTIFS($Z$1:Z71,3,$F$1:F71,1)+G72*COUNTIFS($Z$1:Z71,3,$G$1:G71,1)+H72*COUNTIFS($Z$1:Z71,3,$H$1:H71,1)+I72*COUNTIFS($Z$1:Z71,3,$I$1:I71,1)</f>
        <v>0</v>
      </c>
      <c r="S72">
        <f>IF(E72="",0,COUNTIFS($Z$1:Z71,1,$E$1:E71,E72))</f>
        <v>6</v>
      </c>
      <c r="T72">
        <f>IF(E72="",0,COUNTIFS($Z$1:Z71,2,$E$1:E71,E72))</f>
        <v>9</v>
      </c>
      <c r="U72">
        <f>IF(E72="",0,COUNTIFS($Z$1:Z71,3,$E$1:E71,E72))</f>
        <v>4</v>
      </c>
      <c r="V72">
        <f>SUMIF($Z$1:Z71,1,$D$1:D71)</f>
        <v>2.83659556990248</v>
      </c>
      <c r="W72">
        <f>SUMIF($Z$1:Z71,2,$D$1:D71)</f>
        <v>1.91899061445964</v>
      </c>
      <c r="X72">
        <f>SUMIF($Z$1:Z71,3,$D$1:D71)</f>
        <v>1.37292249727704</v>
      </c>
      <c r="Y72">
        <f>IF(B72="",0,INDEX('①名簿入力'!$AL$4:$AL$153,B72))</f>
        <v>-2.02722731903744</v>
      </c>
      <c r="Z72">
        <f>IF(B72="","",MATCH(MIN(AA72:AC72),AA72:AC72,0))</f>
        <v>1</v>
      </c>
      <c r="AA72">
        <f>IF(B72="","",IF(J72&gt;=$AE$2,1E+15,M72*1E+10+P72*1E+8+ROUND(100*(D72*V72+$AF$5*Y72*AI72+$AF$4*S72),0)+1E+6))</f>
        <v>120000999976</v>
      </c>
      <c r="AB72">
        <f>IF(B72="","",IF(K72&gt;=$AF$2,1E+15,N72*1E+10+Q72*1E+8+ROUND(100*(D72*W72+$AF$5*Y72*AJ72+$AF$4*T72),0)+1E+6))</f>
        <v>130001000027</v>
      </c>
      <c r="AC72">
        <f>IF(B72="","",IF(L72&gt;=$AG$2,1E+15,O72*1E+10+R72*1E+8+ROUND(100*(D72*X72+$AF$5*Y72*AK72+$AF$4*U72),0)+1E+6))</f>
        <v>120001000107</v>
      </c>
      <c r="AI72">
        <f>SUMIFS($Y$1:Y71,$Z$1:Z71,1,$C$1:C71,C72)</f>
        <v>-0.429890200710638</v>
      </c>
      <c r="AJ72">
        <f>SUMIFS($Y$1:Y71,$Z$1:Z71,2,$C$1:C71,C72)</f>
        <v>0.501538567495748</v>
      </c>
      <c r="AK72">
        <f>SUMIFS($Y$1:Y71,$Z$1:Z71,3,$C$1:C71,C72)</f>
        <v>-1.1126569900746</v>
      </c>
    </row>
    <row r="73">
      <c r="A73" t="n">
        <v>72</v>
      </c>
      <c r="B73">
        <f>IFERROR(MATCH(A73,'①名簿入力'!$AF$4:$AF$153,0),"")</f>
        <v>28</v>
      </c>
      <c r="C73">
        <f>IF(B73="","",INDEX('①名簿入力'!$X$4:$X$153,B73))</f>
        <v>1</v>
      </c>
      <c r="D73">
        <f>IF(B73="","",(INDEX('①名簿入力'!$AD$4:$AD$153,B73)-'設定'!$C$37)/'設定'!$C$38)</f>
        <v>-0.738379681243795</v>
      </c>
      <c r="E73" t="str">
        <f>IF(B73="","",INDEX('①名簿入力'!$B$4:$B$153,B73)&amp;"")</f>
        <v>1</v>
      </c>
      <c r="F73">
        <f>IF(B73="",0,INDEX('①名簿入力'!$Y$4:$Y$153,B73))</f>
        <v>0</v>
      </c>
      <c r="G73">
        <f>IF(B73="",0,INDEX('①名簿入力'!$Z$4:$Z$153,B73))</f>
        <v>0</v>
      </c>
      <c r="H73">
        <f>IF(B73="",0,INDEX('①名簿入力'!$AA$4:$AA$153,B73))</f>
        <v>0</v>
      </c>
      <c r="I73">
        <f>IF(B73="",0,INDEX('①名簿入力'!$AB$4:$AB$153,B73))</f>
        <v>0</v>
      </c>
      <c r="J73">
        <f>COUNTIF($Z$1:Z72,1)</f>
        <v>24</v>
      </c>
      <c r="K73">
        <f>COUNTIF($Z$1:Z72,2)</f>
        <v>24</v>
      </c>
      <c r="L73">
        <f>COUNTIF($Z$1:Z72,3)</f>
        <v>23</v>
      </c>
      <c r="M73">
        <f>COUNTIFS($Z$1:Z72,1,$C$1:C72,C73)</f>
        <v>13</v>
      </c>
      <c r="N73">
        <f>COUNTIFS($Z$1:Z72,2,$C$1:C72,C73)</f>
        <v>13</v>
      </c>
      <c r="O73">
        <f>COUNTIFS($Z$1:Z72,3,$C$1:C72,C73)</f>
        <v>12</v>
      </c>
      <c r="P73">
        <f>F73*COUNTIFS($Z$1:Z72,1,$F$1:F72,1)+G73*COUNTIFS($Z$1:Z72,1,$G$1:G72,1)+H73*COUNTIFS($Z$1:Z72,1,$H$1:H72,1)+I73*COUNTIFS($Z$1:Z72,1,$I$1:I72,1)</f>
        <v>0</v>
      </c>
      <c r="Q73">
        <f>F73*COUNTIFS($Z$1:Z72,2,$F$1:F72,1)+G73*COUNTIFS($Z$1:Z72,2,$G$1:G72,1)+H73*COUNTIFS($Z$1:Z72,2,$H$1:H72,1)+I73*COUNTIFS($Z$1:Z72,2,$I$1:I72,1)</f>
        <v>0</v>
      </c>
      <c r="R73">
        <f>F73*COUNTIFS($Z$1:Z72,3,$F$1:F72,1)+G73*COUNTIFS($Z$1:Z72,3,$G$1:G72,1)+H73*COUNTIFS($Z$1:Z72,3,$H$1:H72,1)+I73*COUNTIFS($Z$1:Z72,3,$I$1:I72,1)</f>
        <v>0</v>
      </c>
      <c r="S73">
        <f>IF(E73="",0,COUNTIFS($Z$1:Z72,1,$E$1:E72,E73))</f>
        <v>7</v>
      </c>
      <c r="T73">
        <f>IF(E73="",0,COUNTIFS($Z$1:Z72,2,$E$1:E72,E73))</f>
        <v>9</v>
      </c>
      <c r="U73">
        <f>IF(E73="",0,COUNTIFS($Z$1:Z72,3,$E$1:E72,E73))</f>
        <v>4</v>
      </c>
      <c r="V73">
        <f>SUMIF($Z$1:Z72,1,$D$1:D72)</f>
        <v>2.06834500962551</v>
      </c>
      <c r="W73">
        <f>SUMIF($Z$1:Z72,2,$D$1:D72)</f>
        <v>1.91899061445964</v>
      </c>
      <c r="X73">
        <f>SUMIF($Z$1:Z72,3,$D$1:D72)</f>
        <v>1.37292249727704</v>
      </c>
      <c r="Y73">
        <f>IF(B73="",0,INDEX('①名簿入力'!$AL$4:$AL$153,B73))</f>
        <v>0.476250908630418</v>
      </c>
      <c r="Z73">
        <f>IF(B73="","",MATCH(MIN(AA73:AC73),AA73:AC73,0))</f>
        <v>3</v>
      </c>
      <c r="AA73">
        <f>IF(B73="","",IF(J73&gt;=$AE$2,1E+15,M73*1E+10+P73*1E+8+ROUND(100*(D73*V73+$AF$5*Y73*AI73+$AF$4*S73),0)+1E+6))</f>
        <v>130000999964</v>
      </c>
      <c r="AB73">
        <f>IF(B73="","",IF(K73&gt;=$AF$2,1E+15,N73*1E+10+Q73*1E+8+ROUND(100*(D73*W73+$AF$5*Y73*AJ73+$AF$4*T73),0)+1E+6))</f>
        <v>130001000095</v>
      </c>
      <c r="AC73">
        <f>IF(B73="","",IF(L73&gt;=$AG$2,1E+15,O73*1E+10+R73*1E+8+ROUND(100*(D73*X73+$AF$5*Y73*AK73+$AF$4*U73),0)+1E+6))</f>
        <v>120000999972</v>
      </c>
      <c r="AI73">
        <f>SUMIFS($Y$1:Y72,$Z$1:Z72,1,$C$1:C72,C73)</f>
        <v>-2.45711751974808</v>
      </c>
      <c r="AJ73">
        <f>SUMIFS($Y$1:Y72,$Z$1:Z72,2,$C$1:C72,C73)</f>
        <v>0.501538567495748</v>
      </c>
      <c r="AK73">
        <f>SUMIFS($Y$1:Y72,$Z$1:Z72,3,$C$1:C72,C73)</f>
        <v>-1.1126569900746</v>
      </c>
    </row>
    <row r="74">
      <c r="A74" t="n">
        <v>73</v>
      </c>
      <c r="B74">
        <f>IFERROR(MATCH(A74,'①名簿入力'!$AF$4:$AF$153,0),"")</f>
        <v>29</v>
      </c>
      <c r="C74">
        <f>IF(B74="","",INDEX('①名簿入力'!$X$4:$X$153,B74))</f>
        <v>1</v>
      </c>
      <c r="D74">
        <f>IF(B74="","",(INDEX('①名簿入力'!$AD$4:$AD$153,B74)-'設定'!$C$37)/'設定'!$C$38)</f>
        <v>-0.723444241727209</v>
      </c>
      <c r="E74" t="str">
        <f>IF(B74="","",INDEX('①名簿入力'!$B$4:$B$153,B74)&amp;"")</f>
        <v>1</v>
      </c>
      <c r="F74">
        <f>IF(B74="",0,INDEX('①名簿入力'!$Y$4:$Y$153,B74))</f>
        <v>0</v>
      </c>
      <c r="G74">
        <f>IF(B74="",0,INDEX('①名簿入力'!$Z$4:$Z$153,B74))</f>
        <v>0</v>
      </c>
      <c r="H74">
        <f>IF(B74="",0,INDEX('①名簿入力'!$AA$4:$AA$153,B74))</f>
        <v>0</v>
      </c>
      <c r="I74">
        <f>IF(B74="",0,INDEX('①名簿入力'!$AB$4:$AB$153,B74))</f>
        <v>0</v>
      </c>
      <c r="J74">
        <f>COUNTIF($Z$1:Z73,1)</f>
        <v>24</v>
      </c>
      <c r="K74">
        <f>COUNTIF($Z$1:Z73,2)</f>
        <v>24</v>
      </c>
      <c r="L74">
        <f>COUNTIF($Z$1:Z73,3)</f>
        <v>24</v>
      </c>
      <c r="M74">
        <f>COUNTIFS($Z$1:Z73,1,$C$1:C73,C74)</f>
        <v>13</v>
      </c>
      <c r="N74">
        <f>COUNTIFS($Z$1:Z73,2,$C$1:C73,C74)</f>
        <v>13</v>
      </c>
      <c r="O74">
        <f>COUNTIFS($Z$1:Z73,3,$C$1:C73,C74)</f>
        <v>13</v>
      </c>
      <c r="P74">
        <f>F74*COUNTIFS($Z$1:Z73,1,$F$1:F73,1)+G74*COUNTIFS($Z$1:Z73,1,$G$1:G73,1)+H74*COUNTIFS($Z$1:Z73,1,$H$1:H73,1)+I74*COUNTIFS($Z$1:Z73,1,$I$1:I73,1)</f>
        <v>0</v>
      </c>
      <c r="Q74">
        <f>F74*COUNTIFS($Z$1:Z73,2,$F$1:F73,1)+G74*COUNTIFS($Z$1:Z73,2,$G$1:G73,1)+H74*COUNTIFS($Z$1:Z73,2,$H$1:H73,1)+I74*COUNTIFS($Z$1:Z73,2,$I$1:I73,1)</f>
        <v>0</v>
      </c>
      <c r="R74">
        <f>F74*COUNTIFS($Z$1:Z73,3,$F$1:F73,1)+G74*COUNTIFS($Z$1:Z73,3,$G$1:G73,1)+H74*COUNTIFS($Z$1:Z73,3,$H$1:H73,1)+I74*COUNTIFS($Z$1:Z73,3,$I$1:I73,1)</f>
        <v>0</v>
      </c>
      <c r="S74">
        <f>IF(E74="",0,COUNTIFS($Z$1:Z73,1,$E$1:E73,E74))</f>
        <v>7</v>
      </c>
      <c r="T74">
        <f>IF(E74="",0,COUNTIFS($Z$1:Z73,2,$E$1:E73,E74))</f>
        <v>9</v>
      </c>
      <c r="U74">
        <f>IF(E74="",0,COUNTIFS($Z$1:Z73,3,$E$1:E73,E74))</f>
        <v>5</v>
      </c>
      <c r="V74">
        <f>SUMIF($Z$1:Z73,1,$D$1:D73)</f>
        <v>2.06834500962551</v>
      </c>
      <c r="W74">
        <f>SUMIF($Z$1:Z73,2,$D$1:D73)</f>
        <v>1.91899061445964</v>
      </c>
      <c r="X74">
        <f>SUMIF($Z$1:Z73,3,$D$1:D73)</f>
        <v>0.634542816033241</v>
      </c>
      <c r="Y74">
        <f>IF(B74="",0,INDEX('①名簿入力'!$AL$4:$AL$153,B74))</f>
        <v>-0.43410481052153</v>
      </c>
      <c r="Z74">
        <f>IF(B74="","",MATCH(MIN(AA74:AC74),AA74:AC74,0))</f>
        <v>2</v>
      </c>
      <c r="AA74">
        <f>IF(B74="","",IF(J74&gt;=$AE$2,1E+15,M74*1E+10+P74*1E+8+ROUND(100*(D74*V74+$AF$5*Y74*AI74+$AF$4*S74),0)+1E+6))</f>
        <v>130001000079</v>
      </c>
      <c r="AB74">
        <f>IF(B74="","",IF(K74&gt;=$AF$2,1E+15,N74*1E+10+Q74*1E+8+ROUND(100*(D74*W74+$AF$5*Y74*AJ74+$AF$4*T74),0)+1E+6))</f>
        <v>130001000075</v>
      </c>
      <c r="AC74">
        <f>IF(B74="","",IF(L74&gt;=$AG$2,1E+15,O74*1E+10+R74*1E+8+ROUND(100*(D74*X74+$AF$5*Y74*AK74+$AF$4*U74),0)+1E+6))</f>
        <v>130001000093</v>
      </c>
      <c r="AI74">
        <f>SUMIFS($Y$1:Y73,$Z$1:Z73,1,$C$1:C73,C74)</f>
        <v>-2.45711751974808</v>
      </c>
      <c r="AJ74">
        <f>SUMIFS($Y$1:Y73,$Z$1:Z73,2,$C$1:C73,C74)</f>
        <v>0.501538567495748</v>
      </c>
      <c r="AK74">
        <f>SUMIFS($Y$1:Y73,$Z$1:Z73,3,$C$1:C73,C74)</f>
        <v>-0.636406081444182</v>
      </c>
    </row>
    <row r="75">
      <c r="A75" t="n">
        <v>74</v>
      </c>
      <c r="B75">
        <f>IFERROR(MATCH(A75,'①名簿入力'!$AF$4:$AF$153,0),"")</f>
        <v>19</v>
      </c>
      <c r="C75">
        <f>IF(B75="","",INDEX('①名簿入力'!$X$4:$X$153,B75))</f>
        <v>2</v>
      </c>
      <c r="D75">
        <f>IF(B75="","",(INDEX('①名簿入力'!$AD$4:$AD$153,B75)-'設定'!$C$37)/'設定'!$C$38)</f>
        <v>-0.693573362694037</v>
      </c>
      <c r="E75" t="str">
        <f>IF(B75="","",INDEX('①名簿入力'!$B$4:$B$153,B75)&amp;"")</f>
        <v>1</v>
      </c>
      <c r="F75">
        <f>IF(B75="",0,INDEX('①名簿入力'!$Y$4:$Y$153,B75))</f>
        <v>0</v>
      </c>
      <c r="G75">
        <f>IF(B75="",0,INDEX('①名簿入力'!$Z$4:$Z$153,B75))</f>
        <v>0</v>
      </c>
      <c r="H75">
        <f>IF(B75="",0,INDEX('①名簿入力'!$AA$4:$AA$153,B75))</f>
        <v>0</v>
      </c>
      <c r="I75">
        <f>IF(B75="",0,INDEX('①名簿入力'!$AB$4:$AB$153,B75))</f>
        <v>0</v>
      </c>
      <c r="J75">
        <f>COUNTIF($Z$1:Z74,1)</f>
        <v>24</v>
      </c>
      <c r="K75">
        <f>COUNTIF($Z$1:Z74,2)</f>
        <v>25</v>
      </c>
      <c r="L75">
        <f>COUNTIF($Z$1:Z74,3)</f>
        <v>24</v>
      </c>
      <c r="M75">
        <f>COUNTIFS($Z$1:Z74,1,$C$1:C74,C75)</f>
        <v>11</v>
      </c>
      <c r="N75">
        <f>COUNTIFS($Z$1:Z74,2,$C$1:C74,C75)</f>
        <v>11</v>
      </c>
      <c r="O75">
        <f>COUNTIFS($Z$1:Z74,3,$C$1:C74,C75)</f>
        <v>11</v>
      </c>
      <c r="P75">
        <f>F75*COUNTIFS($Z$1:Z74,1,$F$1:F74,1)+G75*COUNTIFS($Z$1:Z74,1,$G$1:G74,1)+H75*COUNTIFS($Z$1:Z74,1,$H$1:H74,1)+I75*COUNTIFS($Z$1:Z74,1,$I$1:I74,1)</f>
        <v>0</v>
      </c>
      <c r="Q75">
        <f>F75*COUNTIFS($Z$1:Z74,2,$F$1:F74,1)+G75*COUNTIFS($Z$1:Z74,2,$G$1:G74,1)+H75*COUNTIFS($Z$1:Z74,2,$H$1:H74,1)+I75*COUNTIFS($Z$1:Z74,2,$I$1:I74,1)</f>
        <v>0</v>
      </c>
      <c r="R75">
        <f>F75*COUNTIFS($Z$1:Z74,3,$F$1:F74,1)+G75*COUNTIFS($Z$1:Z74,3,$G$1:G74,1)+H75*COUNTIFS($Z$1:Z74,3,$H$1:H74,1)+I75*COUNTIFS($Z$1:Z74,3,$I$1:I74,1)</f>
        <v>0</v>
      </c>
      <c r="S75">
        <f>IF(E75="",0,COUNTIFS($Z$1:Z74,1,$E$1:E74,E75))</f>
        <v>7</v>
      </c>
      <c r="T75">
        <f>IF(E75="",0,COUNTIFS($Z$1:Z74,2,$E$1:E74,E75))</f>
        <v>10</v>
      </c>
      <c r="U75">
        <f>IF(E75="",0,COUNTIFS($Z$1:Z74,3,$E$1:E74,E75))</f>
        <v>5</v>
      </c>
      <c r="V75">
        <f>SUMIF($Z$1:Z74,1,$D$1:D74)</f>
        <v>2.06834500962551</v>
      </c>
      <c r="W75">
        <f>SUMIF($Z$1:Z74,2,$D$1:D74)</f>
        <v>1.19554637273244</v>
      </c>
      <c r="X75">
        <f>SUMIF($Z$1:Z74,3,$D$1:D74)</f>
        <v>0.634542816033241</v>
      </c>
      <c r="Y75">
        <f>IF(B75="",0,INDEX('①名簿入力'!$AL$4:$AL$153,B75))</f>
        <v>1.04038711315146</v>
      </c>
      <c r="Z75">
        <f>IF(B75="","",MATCH(MIN(AA75:AC75),AA75:AC75,0))</f>
        <v>1</v>
      </c>
      <c r="AA75">
        <f>IF(B75="","",IF(J75&gt;=$AE$2,1E+15,M75*1E+10+P75*1E+8+ROUND(100*(D75*V75+$AF$5*Y75*AI75+$AF$4*S75),0)+1E+6))</f>
        <v>110001000031</v>
      </c>
      <c r="AB75">
        <f>IF(B75="","",IF(K75&gt;=$AF$2,1E+15,N75*1E+10+Q75*1E+8+ROUND(100*(D75*W75+$AF$5*Y75*AJ75+$AF$4*T75),0)+1E+6))</f>
        <v>110001000123</v>
      </c>
      <c r="AC75">
        <f>IF(B75="","",IF(L75&gt;=$AG$2,1E+15,O75*1E+10+R75*1E+8+ROUND(100*(D75*X75+$AF$5*Y75*AK75+$AF$4*U75),0)+1E+6))</f>
        <v>110001000157</v>
      </c>
      <c r="AI75">
        <f>SUMIFS($Y$1:Y74,$Z$1:Z74,1,$C$1:C74,C75)</f>
        <v>-0.0192664280213317</v>
      </c>
      <c r="AJ75">
        <f>SUMIFS($Y$1:Y74,$Z$1:Z74,2,$C$1:C74,C75)</f>
        <v>-0.838089618927575</v>
      </c>
      <c r="AK75">
        <f>SUMIFS($Y$1:Y74,$Z$1:Z74,3,$C$1:C74,C75)</f>
        <v>1.45461531560991</v>
      </c>
    </row>
    <row r="76">
      <c r="A76" t="n">
        <v>75</v>
      </c>
      <c r="B76">
        <f>IFERROR(MATCH(A76,'①名簿入力'!$AF$4:$AF$153,0),"")</f>
        <v>96</v>
      </c>
      <c r="C76">
        <f>IF(B76="","",INDEX('①名簿入力'!$X$4:$X$153,B76))</f>
        <v>2</v>
      </c>
      <c r="D76">
        <f>IF(B76="","",(INDEX('①名簿入力'!$AD$4:$AD$153,B76)-'設定'!$C$37)/'設定'!$C$38)</f>
        <v>-0.693573362694037</v>
      </c>
      <c r="E76" t="str">
        <f>IF(B76="","",INDEX('①名簿入力'!$B$4:$B$153,B76)&amp;"")</f>
        <v>3</v>
      </c>
      <c r="F76">
        <f>IF(B76="",0,INDEX('①名簿入力'!$Y$4:$Y$153,B76))</f>
        <v>0</v>
      </c>
      <c r="G76">
        <f>IF(B76="",0,INDEX('①名簿入力'!$Z$4:$Z$153,B76))</f>
        <v>0</v>
      </c>
      <c r="H76">
        <f>IF(B76="",0,INDEX('①名簿入力'!$AA$4:$AA$153,B76))</f>
        <v>0</v>
      </c>
      <c r="I76">
        <f>IF(B76="",0,INDEX('①名簿入力'!$AB$4:$AB$153,B76))</f>
        <v>0</v>
      </c>
      <c r="J76">
        <f>COUNTIF($Z$1:Z75,1)</f>
        <v>25</v>
      </c>
      <c r="K76">
        <f>COUNTIF($Z$1:Z75,2)</f>
        <v>25</v>
      </c>
      <c r="L76">
        <f>COUNTIF($Z$1:Z75,3)</f>
        <v>24</v>
      </c>
      <c r="M76">
        <f>COUNTIFS($Z$1:Z75,1,$C$1:C75,C76)</f>
        <v>12</v>
      </c>
      <c r="N76">
        <f>COUNTIFS($Z$1:Z75,2,$C$1:C75,C76)</f>
        <v>11</v>
      </c>
      <c r="O76">
        <f>COUNTIFS($Z$1:Z75,3,$C$1:C75,C76)</f>
        <v>11</v>
      </c>
      <c r="P76">
        <f>F76*COUNTIFS($Z$1:Z75,1,$F$1:F75,1)+G76*COUNTIFS($Z$1:Z75,1,$G$1:G75,1)+H76*COUNTIFS($Z$1:Z75,1,$H$1:H75,1)+I76*COUNTIFS($Z$1:Z75,1,$I$1:I75,1)</f>
        <v>0</v>
      </c>
      <c r="Q76">
        <f>F76*COUNTIFS($Z$1:Z75,2,$F$1:F75,1)+G76*COUNTIFS($Z$1:Z75,2,$G$1:G75,1)+H76*COUNTIFS($Z$1:Z75,2,$H$1:H75,1)+I76*COUNTIFS($Z$1:Z75,2,$I$1:I75,1)</f>
        <v>0</v>
      </c>
      <c r="R76">
        <f>F76*COUNTIFS($Z$1:Z75,3,$F$1:F75,1)+G76*COUNTIFS($Z$1:Z75,3,$G$1:G75,1)+H76*COUNTIFS($Z$1:Z75,3,$H$1:H75,1)+I76*COUNTIFS($Z$1:Z75,3,$I$1:I75,1)</f>
        <v>0</v>
      </c>
      <c r="S76">
        <f>IF(E76="",0,COUNTIFS($Z$1:Z75,1,$E$1:E75,E76))</f>
        <v>8</v>
      </c>
      <c r="T76">
        <f>IF(E76="",0,COUNTIFS($Z$1:Z75,2,$E$1:E75,E76))</f>
        <v>6</v>
      </c>
      <c r="U76">
        <f>IF(E76="",0,COUNTIFS($Z$1:Z75,3,$E$1:E75,E76))</f>
        <v>10</v>
      </c>
      <c r="V76">
        <f>SUMIF($Z$1:Z75,1,$D$1:D75)</f>
        <v>1.37477164693147</v>
      </c>
      <c r="W76">
        <f>SUMIF($Z$1:Z75,2,$D$1:D75)</f>
        <v>1.19554637273244</v>
      </c>
      <c r="X76">
        <f>SUMIF($Z$1:Z75,3,$D$1:D75)</f>
        <v>0.634542816033241</v>
      </c>
      <c r="Y76">
        <f>IF(B76="",0,INDEX('①名簿入力'!$AL$4:$AL$153,B76))</f>
        <v>-1.57984709774852</v>
      </c>
      <c r="Z76">
        <f>IF(B76="","",MATCH(MIN(AA76:AC76),AA76:AC76,0))</f>
        <v>3</v>
      </c>
      <c r="AA76">
        <f>IF(B76="","",IF(J76&gt;=$AE$2,1E+15,M76*1E+10+P76*1E+8+ROUND(100*(D76*V76+$AF$5*Y76*AI76+$AF$4*S76),0)+1E+6))</f>
        <v>120001000024</v>
      </c>
      <c r="AB76">
        <f>IF(B76="","",IF(K76&gt;=$AF$2,1E+15,N76*1E+10+Q76*1E+8+ROUND(100*(D76*W76+$AF$5*Y76*AJ76+$AF$4*T76),0)+1E+6))</f>
        <v>110001000133</v>
      </c>
      <c r="AC76">
        <f>IF(B76="","",IF(L76&gt;=$AG$2,1E+15,O76*1E+10+R76*1E+8+ROUND(100*(D76*X76+$AF$5*Y76*AK76+$AF$4*U76),0)+1E+6))</f>
        <v>110001000091</v>
      </c>
      <c r="AI76">
        <f>SUMIFS($Y$1:Y75,$Z$1:Z75,1,$C$1:C75,C76)</f>
        <v>1.02112068513013</v>
      </c>
      <c r="AJ76">
        <f>SUMIFS($Y$1:Y75,$Z$1:Z75,2,$C$1:C75,C76)</f>
        <v>-0.838089618927575</v>
      </c>
      <c r="AK76">
        <f>SUMIFS($Y$1:Y75,$Z$1:Z75,3,$C$1:C75,C76)</f>
        <v>1.45461531560991</v>
      </c>
    </row>
    <row r="77">
      <c r="A77" t="n">
        <v>76</v>
      </c>
      <c r="B77">
        <f>IFERROR(MATCH(A77,'①名簿入力'!$AF$4:$AF$153,0),"")</f>
        <v>55</v>
      </c>
      <c r="C77">
        <f>IF(B77="","",INDEX('①名簿入力'!$X$4:$X$153,B77))</f>
        <v>1</v>
      </c>
      <c r="D77">
        <f>IF(B77="","",(INDEX('①名簿入力'!$AD$4:$AD$153,B77)-'設定'!$C$37)/'設定'!$C$38)</f>
        <v>-0.60396072559452</v>
      </c>
      <c r="E77" t="str">
        <f>IF(B77="","",INDEX('①名簿入力'!$B$4:$B$153,B77)&amp;"")</f>
        <v>2</v>
      </c>
      <c r="F77">
        <f>IF(B77="",0,INDEX('①名簿入力'!$Y$4:$Y$153,B77))</f>
        <v>0</v>
      </c>
      <c r="G77">
        <f>IF(B77="",0,INDEX('①名簿入力'!$Z$4:$Z$153,B77))</f>
        <v>0</v>
      </c>
      <c r="H77">
        <f>IF(B77="",0,INDEX('①名簿入力'!$AA$4:$AA$153,B77))</f>
        <v>0</v>
      </c>
      <c r="I77">
        <f>IF(B77="",0,INDEX('①名簿入力'!$AB$4:$AB$153,B77))</f>
        <v>0</v>
      </c>
      <c r="J77">
        <f>COUNTIF($Z$1:Z76,1)</f>
        <v>25</v>
      </c>
      <c r="K77">
        <f>COUNTIF($Z$1:Z76,2)</f>
        <v>25</v>
      </c>
      <c r="L77">
        <f>COUNTIF($Z$1:Z76,3)</f>
        <v>25</v>
      </c>
      <c r="M77">
        <f>COUNTIFS($Z$1:Z76,1,$C$1:C76,C77)</f>
        <v>13</v>
      </c>
      <c r="N77">
        <f>COUNTIFS($Z$1:Z76,2,$C$1:C76,C77)</f>
        <v>14</v>
      </c>
      <c r="O77">
        <f>COUNTIFS($Z$1:Z76,3,$C$1:C76,C77)</f>
        <v>13</v>
      </c>
      <c r="P77">
        <f>F77*COUNTIFS($Z$1:Z76,1,$F$1:F76,1)+G77*COUNTIFS($Z$1:Z76,1,$G$1:G76,1)+H77*COUNTIFS($Z$1:Z76,1,$H$1:H76,1)+I77*COUNTIFS($Z$1:Z76,1,$I$1:I76,1)</f>
        <v>0</v>
      </c>
      <c r="Q77">
        <f>F77*COUNTIFS($Z$1:Z76,2,$F$1:F76,1)+G77*COUNTIFS($Z$1:Z76,2,$G$1:G76,1)+H77*COUNTIFS($Z$1:Z76,2,$H$1:H76,1)+I77*COUNTIFS($Z$1:Z76,2,$I$1:I76,1)</f>
        <v>0</v>
      </c>
      <c r="R77">
        <f>F77*COUNTIFS($Z$1:Z76,3,$F$1:F76,1)+G77*COUNTIFS($Z$1:Z76,3,$G$1:G76,1)+H77*COUNTIFS($Z$1:Z76,3,$H$1:H76,1)+I77*COUNTIFS($Z$1:Z76,3,$I$1:I76,1)</f>
        <v>0</v>
      </c>
      <c r="S77">
        <f>IF(E77="",0,COUNTIFS($Z$1:Z76,1,$E$1:E76,E77))</f>
        <v>9</v>
      </c>
      <c r="T77">
        <f>IF(E77="",0,COUNTIFS($Z$1:Z76,2,$E$1:E76,E77))</f>
        <v>9</v>
      </c>
      <c r="U77">
        <f>IF(E77="",0,COUNTIFS($Z$1:Z76,3,$E$1:E76,E77))</f>
        <v>9</v>
      </c>
      <c r="V77">
        <f>SUMIF($Z$1:Z76,1,$D$1:D76)</f>
        <v>1.37477164693147</v>
      </c>
      <c r="W77">
        <f>SUMIF($Z$1:Z76,2,$D$1:D76)</f>
        <v>1.19554637273244</v>
      </c>
      <c r="X77">
        <f>SUMIF($Z$1:Z76,3,$D$1:D76)</f>
        <v>-0.059030546660796</v>
      </c>
      <c r="Y77">
        <f>IF(B77="",0,INDEX('①名簿入力'!$AL$4:$AL$153,B77))</f>
        <v>0.703839838418404</v>
      </c>
      <c r="Z77">
        <f>IF(B77="","",MATCH(MIN(AA77:AC77),AA77:AC77,0))</f>
        <v>1</v>
      </c>
      <c r="AA77">
        <f>IF(B77="","",IF(J77&gt;=$AE$2,1E+15,M77*1E+10+P77*1E+8+ROUND(100*(D77*V77+$AF$5*Y77*AI77+$AF$4*S77),0)+1E+6))</f>
        <v>130001000055</v>
      </c>
      <c r="AB77">
        <f>IF(B77="","",IF(K77&gt;=$AF$2,1E+15,N77*1E+10+Q77*1E+8+ROUND(100*(D77*W77+$AF$5*Y77*AJ77+$AF$4*T77),0)+1E+6))</f>
        <v>140001000155</v>
      </c>
      <c r="AC77">
        <f>IF(B77="","",IF(L77&gt;=$AG$2,1E+15,O77*1E+10+R77*1E+8+ROUND(100*(D77*X77+$AF$5*Y77*AK77+$AF$4*U77),0)+1E+6))</f>
        <v>130001000206</v>
      </c>
      <c r="AI77">
        <f>SUMIFS($Y$1:Y76,$Z$1:Z76,1,$C$1:C76,C77)</f>
        <v>-2.45711751974808</v>
      </c>
      <c r="AJ77">
        <f>SUMIFS($Y$1:Y76,$Z$1:Z76,2,$C$1:C76,C77)</f>
        <v>0.0674337569742174</v>
      </c>
      <c r="AK77">
        <f>SUMIFS($Y$1:Y76,$Z$1:Z76,3,$C$1:C76,C77)</f>
        <v>-0.636406081444182</v>
      </c>
    </row>
    <row r="78">
      <c r="A78" t="n">
        <v>77</v>
      </c>
      <c r="B78">
        <f>IFERROR(MATCH(A78,'①名簿入力'!$AF$4:$AF$153,0),"")</f>
        <v>78</v>
      </c>
      <c r="C78">
        <f>IF(B78="","",INDEX('①名簿入力'!$X$4:$X$153,B78))</f>
        <v>1</v>
      </c>
      <c r="D78">
        <f>IF(B78="","",(INDEX('①名簿入力'!$AD$4:$AD$153,B78)-'設定'!$C$37)/'設定'!$C$38)</f>
        <v>-0.60396072559452</v>
      </c>
      <c r="E78" t="str">
        <f>IF(B78="","",INDEX('①名簿入力'!$B$4:$B$153,B78)&amp;"")</f>
        <v>3</v>
      </c>
      <c r="F78">
        <f>IF(B78="",0,INDEX('①名簿入力'!$Y$4:$Y$153,B78))</f>
        <v>0</v>
      </c>
      <c r="G78">
        <f>IF(B78="",0,INDEX('①名簿入力'!$Z$4:$Z$153,B78))</f>
        <v>0</v>
      </c>
      <c r="H78">
        <f>IF(B78="",0,INDEX('①名簿入力'!$AA$4:$AA$153,B78))</f>
        <v>0</v>
      </c>
      <c r="I78">
        <f>IF(B78="",0,INDEX('①名簿入力'!$AB$4:$AB$153,B78))</f>
        <v>0</v>
      </c>
      <c r="J78">
        <f>COUNTIF($Z$1:Z77,1)</f>
        <v>26</v>
      </c>
      <c r="K78">
        <f>COUNTIF($Z$1:Z77,2)</f>
        <v>25</v>
      </c>
      <c r="L78">
        <f>COUNTIF($Z$1:Z77,3)</f>
        <v>25</v>
      </c>
      <c r="M78">
        <f>COUNTIFS($Z$1:Z77,1,$C$1:C77,C78)</f>
        <v>14</v>
      </c>
      <c r="N78">
        <f>COUNTIFS($Z$1:Z77,2,$C$1:C77,C78)</f>
        <v>14</v>
      </c>
      <c r="O78">
        <f>COUNTIFS($Z$1:Z77,3,$C$1:C77,C78)</f>
        <v>13</v>
      </c>
      <c r="P78">
        <f>F78*COUNTIFS($Z$1:Z77,1,$F$1:F77,1)+G78*COUNTIFS($Z$1:Z77,1,$G$1:G77,1)+H78*COUNTIFS($Z$1:Z77,1,$H$1:H77,1)+I78*COUNTIFS($Z$1:Z77,1,$I$1:I77,1)</f>
        <v>0</v>
      </c>
      <c r="Q78">
        <f>F78*COUNTIFS($Z$1:Z77,2,$F$1:F77,1)+G78*COUNTIFS($Z$1:Z77,2,$G$1:G77,1)+H78*COUNTIFS($Z$1:Z77,2,$H$1:H77,1)+I78*COUNTIFS($Z$1:Z77,2,$I$1:I77,1)</f>
        <v>0</v>
      </c>
      <c r="R78">
        <f>F78*COUNTIFS($Z$1:Z77,3,$F$1:F77,1)+G78*COUNTIFS($Z$1:Z77,3,$G$1:G77,1)+H78*COUNTIFS($Z$1:Z77,3,$H$1:H77,1)+I78*COUNTIFS($Z$1:Z77,3,$I$1:I77,1)</f>
        <v>0</v>
      </c>
      <c r="S78">
        <f>IF(E78="",0,COUNTIFS($Z$1:Z77,1,$E$1:E77,E78))</f>
        <v>8</v>
      </c>
      <c r="T78">
        <f>IF(E78="",0,COUNTIFS($Z$1:Z77,2,$E$1:E77,E78))</f>
        <v>6</v>
      </c>
      <c r="U78">
        <f>IF(E78="",0,COUNTIFS($Z$1:Z77,3,$E$1:E77,E78))</f>
        <v>11</v>
      </c>
      <c r="V78">
        <f>SUMIF($Z$1:Z77,1,$D$1:D77)</f>
        <v>0.770810921336953</v>
      </c>
      <c r="W78">
        <f>SUMIF($Z$1:Z77,2,$D$1:D77)</f>
        <v>1.19554637273244</v>
      </c>
      <c r="X78">
        <f>SUMIF($Z$1:Z77,3,$D$1:D77)</f>
        <v>-0.059030546660796</v>
      </c>
      <c r="Y78">
        <f>IF(B78="",0,INDEX('①名簿入力'!$AL$4:$AL$153,B78))</f>
        <v>0.93142876820639</v>
      </c>
      <c r="Z78">
        <f>IF(B78="","",MATCH(MIN(AA78:AC78),AA78:AC78,0))</f>
        <v>3</v>
      </c>
      <c r="AA78">
        <f>IF(B78="","",IF(J78&gt;=$AE$2,1E+15,M78*1E+10+P78*1E+8+ROUND(100*(D78*V78+$AF$5*Y78*AI78+$AF$4*S78),0)+1E+6))</f>
        <v>140001000072</v>
      </c>
      <c r="AB78">
        <f>IF(B78="","",IF(K78&gt;=$AF$2,1E+15,N78*1E+10+Q78*1E+8+ROUND(100*(D78*W78+$AF$5*Y78*AJ78+$AF$4*T78),0)+1E+6))</f>
        <v>140001000081</v>
      </c>
      <c r="AC78">
        <f>IF(B78="","",IF(L78&gt;=$AG$2,1E+15,O78*1E+10+R78*1E+8+ROUND(100*(D78*X78+$AF$5*Y78*AK78+$AF$4*U78),0)+1E+6))</f>
        <v>130001000249</v>
      </c>
      <c r="AI78">
        <f>SUMIFS($Y$1:Y77,$Z$1:Z77,1,$C$1:C77,C78)</f>
        <v>-1.75327768132967</v>
      </c>
      <c r="AJ78">
        <f>SUMIFS($Y$1:Y77,$Z$1:Z77,2,$C$1:C77,C78)</f>
        <v>0.0674337569742174</v>
      </c>
      <c r="AK78">
        <f>SUMIFS($Y$1:Y77,$Z$1:Z77,3,$C$1:C77,C78)</f>
        <v>-0.636406081444182</v>
      </c>
    </row>
    <row r="79">
      <c r="A79" t="n">
        <v>78</v>
      </c>
      <c r="B79">
        <f>IFERROR(MATCH(A79,'①名簿入力'!$AF$4:$AF$153,0),"")</f>
        <v>36</v>
      </c>
      <c r="C79">
        <f>IF(B79="","",INDEX('①名簿入力'!$X$4:$X$153,B79))</f>
        <v>2</v>
      </c>
      <c r="D79">
        <f>IF(B79="","",(INDEX('①名簿入力'!$AD$4:$AD$153,B79)-'設定'!$C$37)/'設定'!$C$38)</f>
        <v>-0.589025286077934</v>
      </c>
      <c r="E79" t="str">
        <f>IF(B79="","",INDEX('①名簿入力'!$B$4:$B$153,B79)&amp;"")</f>
        <v>2</v>
      </c>
      <c r="F79">
        <f>IF(B79="",0,INDEX('①名簿入力'!$Y$4:$Y$153,B79))</f>
        <v>0</v>
      </c>
      <c r="G79">
        <f>IF(B79="",0,INDEX('①名簿入力'!$Z$4:$Z$153,B79))</f>
        <v>0</v>
      </c>
      <c r="H79">
        <f>IF(B79="",0,INDEX('①名簿入力'!$AA$4:$AA$153,B79))</f>
        <v>0</v>
      </c>
      <c r="I79">
        <f>IF(B79="",0,INDEX('①名簿入力'!$AB$4:$AB$153,B79))</f>
        <v>0</v>
      </c>
      <c r="J79">
        <f>COUNTIF($Z$1:Z78,1)</f>
        <v>26</v>
      </c>
      <c r="K79">
        <f>COUNTIF($Z$1:Z78,2)</f>
        <v>25</v>
      </c>
      <c r="L79">
        <f>COUNTIF($Z$1:Z78,3)</f>
        <v>26</v>
      </c>
      <c r="M79">
        <f>COUNTIFS($Z$1:Z78,1,$C$1:C78,C79)</f>
        <v>12</v>
      </c>
      <c r="N79">
        <f>COUNTIFS($Z$1:Z78,2,$C$1:C78,C79)</f>
        <v>11</v>
      </c>
      <c r="O79">
        <f>COUNTIFS($Z$1:Z78,3,$C$1:C78,C79)</f>
        <v>12</v>
      </c>
      <c r="P79">
        <f>F79*COUNTIFS($Z$1:Z78,1,$F$1:F78,1)+G79*COUNTIFS($Z$1:Z78,1,$G$1:G78,1)+H79*COUNTIFS($Z$1:Z78,1,$H$1:H78,1)+I79*COUNTIFS($Z$1:Z78,1,$I$1:I78,1)</f>
        <v>0</v>
      </c>
      <c r="Q79">
        <f>F79*COUNTIFS($Z$1:Z78,2,$F$1:F78,1)+G79*COUNTIFS($Z$1:Z78,2,$G$1:G78,1)+H79*COUNTIFS($Z$1:Z78,2,$H$1:H78,1)+I79*COUNTIFS($Z$1:Z78,2,$I$1:I78,1)</f>
        <v>0</v>
      </c>
      <c r="R79">
        <f>F79*COUNTIFS($Z$1:Z78,3,$F$1:F78,1)+G79*COUNTIFS($Z$1:Z78,3,$G$1:G78,1)+H79*COUNTIFS($Z$1:Z78,3,$H$1:H78,1)+I79*COUNTIFS($Z$1:Z78,3,$I$1:I78,1)</f>
        <v>0</v>
      </c>
      <c r="S79">
        <f>IF(E79="",0,COUNTIFS($Z$1:Z78,1,$E$1:E78,E79))</f>
        <v>10</v>
      </c>
      <c r="T79">
        <f>IF(E79="",0,COUNTIFS($Z$1:Z78,2,$E$1:E78,E79))</f>
        <v>9</v>
      </c>
      <c r="U79">
        <f>IF(E79="",0,COUNTIFS($Z$1:Z78,3,$E$1:E78,E79))</f>
        <v>9</v>
      </c>
      <c r="V79">
        <f>SUMIF($Z$1:Z78,1,$D$1:D78)</f>
        <v>0.770810921336953</v>
      </c>
      <c r="W79">
        <f>SUMIF($Z$1:Z78,2,$D$1:D78)</f>
        <v>1.19554637273244</v>
      </c>
      <c r="X79">
        <f>SUMIF($Z$1:Z78,3,$D$1:D78)</f>
        <v>-0.662991272255316</v>
      </c>
      <c r="Y79">
        <f>IF(B79="",0,INDEX('①名簿入力'!$AL$4:$AL$153,B79))</f>
        <v>-0.597259268661025</v>
      </c>
      <c r="Z79">
        <f>IF(B79="","",MATCH(MIN(AA79:AC79),AA79:AC79,0))</f>
        <v>2</v>
      </c>
      <c r="AA79">
        <f>IF(B79="","",IF(J79&gt;=$AE$2,1E+15,M79*1E+10+P79*1E+8+ROUND(100*(D79*V79+$AF$5*Y79*AI79+$AF$4*S79),0)+1E+6))</f>
        <v>120001000174</v>
      </c>
      <c r="AB79">
        <f>IF(B79="","",IF(K79&gt;=$AF$2,1E+15,N79*1E+10+Q79*1E+8+ROUND(100*(D79*W79+$AF$5*Y79*AJ79+$AF$4*T79),0)+1E+6))</f>
        <v>110001000180</v>
      </c>
      <c r="AC79">
        <f>IF(B79="","",IF(L79&gt;=$AG$2,1E+15,O79*1E+10+R79*1E+8+ROUND(100*(D79*X79+$AF$5*Y79*AK79+$AF$4*U79),0)+1E+6))</f>
        <v>120001000268</v>
      </c>
      <c r="AI79">
        <f>SUMIFS($Y$1:Y78,$Z$1:Z78,1,$C$1:C78,C79)</f>
        <v>1.02112068513013</v>
      </c>
      <c r="AJ79">
        <f>SUMIFS($Y$1:Y78,$Z$1:Z78,2,$C$1:C78,C79)</f>
        <v>-0.838089618927575</v>
      </c>
      <c r="AK79">
        <f>SUMIFS($Y$1:Y78,$Z$1:Z78,3,$C$1:C78,C79)</f>
        <v>-0.125231782138608</v>
      </c>
    </row>
    <row r="80">
      <c r="A80" t="n">
        <v>79</v>
      </c>
      <c r="B80">
        <f>IFERROR(MATCH(A80,'①名簿入力'!$AF$4:$AF$153,0),"")</f>
        <v>1</v>
      </c>
      <c r="C80">
        <f>IF(B80="","",INDEX('①名簿入力'!$X$4:$X$153,B80))</f>
        <v>2</v>
      </c>
      <c r="D80">
        <f>IF(B80="","",(INDEX('①名簿入力'!$AD$4:$AD$153,B80)-'設定'!$C$37)/'設定'!$C$38)</f>
        <v>-0.559154407044762</v>
      </c>
      <c r="E80" t="str">
        <f>IF(B80="","",INDEX('①名簿入力'!$B$4:$B$153,B80)&amp;"")</f>
        <v>1</v>
      </c>
      <c r="F80">
        <f>IF(B80="",0,INDEX('①名簿入力'!$Y$4:$Y$153,B80))</f>
        <v>0</v>
      </c>
      <c r="G80">
        <f>IF(B80="",0,INDEX('①名簿入力'!$Z$4:$Z$153,B80))</f>
        <v>0</v>
      </c>
      <c r="H80">
        <f>IF(B80="",0,INDEX('①名簿入力'!$AA$4:$AA$153,B80))</f>
        <v>0</v>
      </c>
      <c r="I80">
        <f>IF(B80="",0,INDEX('①名簿入力'!$AB$4:$AB$153,B80))</f>
        <v>0</v>
      </c>
      <c r="J80">
        <f>COUNTIF($Z$1:Z79,1)</f>
        <v>26</v>
      </c>
      <c r="K80">
        <f>COUNTIF($Z$1:Z79,2)</f>
        <v>26</v>
      </c>
      <c r="L80">
        <f>COUNTIF($Z$1:Z79,3)</f>
        <v>26</v>
      </c>
      <c r="M80">
        <f>COUNTIFS($Z$1:Z79,1,$C$1:C79,C80)</f>
        <v>12</v>
      </c>
      <c r="N80">
        <f>COUNTIFS($Z$1:Z79,2,$C$1:C79,C80)</f>
        <v>12</v>
      </c>
      <c r="O80">
        <f>COUNTIFS($Z$1:Z79,3,$C$1:C79,C80)</f>
        <v>12</v>
      </c>
      <c r="P80">
        <f>F80*COUNTIFS($Z$1:Z79,1,$F$1:F79,1)+G80*COUNTIFS($Z$1:Z79,1,$G$1:G79,1)+H80*COUNTIFS($Z$1:Z79,1,$H$1:H79,1)+I80*COUNTIFS($Z$1:Z79,1,$I$1:I79,1)</f>
        <v>0</v>
      </c>
      <c r="Q80">
        <f>F80*COUNTIFS($Z$1:Z79,2,$F$1:F79,1)+G80*COUNTIFS($Z$1:Z79,2,$G$1:G79,1)+H80*COUNTIFS($Z$1:Z79,2,$H$1:H79,1)+I80*COUNTIFS($Z$1:Z79,2,$I$1:I79,1)</f>
        <v>0</v>
      </c>
      <c r="R80">
        <f>F80*COUNTIFS($Z$1:Z79,3,$F$1:F79,1)+G80*COUNTIFS($Z$1:Z79,3,$G$1:G79,1)+H80*COUNTIFS($Z$1:Z79,3,$H$1:H79,1)+I80*COUNTIFS($Z$1:Z79,3,$I$1:I79,1)</f>
        <v>0</v>
      </c>
      <c r="S80">
        <f>IF(E80="",0,COUNTIFS($Z$1:Z79,1,$E$1:E79,E80))</f>
        <v>8</v>
      </c>
      <c r="T80">
        <f>IF(E80="",0,COUNTIFS($Z$1:Z79,2,$E$1:E79,E80))</f>
        <v>10</v>
      </c>
      <c r="U80">
        <f>IF(E80="",0,COUNTIFS($Z$1:Z79,3,$E$1:E79,E80))</f>
        <v>5</v>
      </c>
      <c r="V80">
        <f>SUMIF($Z$1:Z79,1,$D$1:D79)</f>
        <v>0.770810921336953</v>
      </c>
      <c r="W80">
        <f>SUMIF($Z$1:Z79,2,$D$1:D79)</f>
        <v>0.606521086654501</v>
      </c>
      <c r="X80">
        <f>SUMIF($Z$1:Z79,3,$D$1:D79)</f>
        <v>-0.662991272255316</v>
      </c>
      <c r="Y80">
        <f>IF(B80="",0,INDEX('①名簿入力'!$AL$4:$AL$153,B80))</f>
        <v>0.0577992840639699</v>
      </c>
      <c r="Z80">
        <f>IF(B80="","",MATCH(MIN(AA80:AC80),AA80:AC80,0))</f>
        <v>1</v>
      </c>
      <c r="AA80">
        <f>IF(B80="","",IF(J80&gt;=$AE$2,1E+15,M80*1E+10+P80*1E+8+ROUND(100*(D80*V80+$AF$5*Y80*AI80+$AF$4*S80),0)+1E+6))</f>
        <v>120001000160</v>
      </c>
      <c r="AB80">
        <f>IF(B80="","",IF(K80&gt;=$AF$2,1E+15,N80*1E+10+Q80*1E+8+ROUND(100*(D80*W80+$AF$5*Y80*AJ80+$AF$4*T80),0)+1E+6))</f>
        <v>120001000212</v>
      </c>
      <c r="AC80">
        <f>IF(B80="","",IF(L80&gt;=$AG$2,1E+15,O80*1E+10+R80*1E+8+ROUND(100*(D80*X80+$AF$5*Y80*AK80+$AF$4*U80),0)+1E+6))</f>
        <v>120001000162</v>
      </c>
      <c r="AI80">
        <f>SUMIFS($Y$1:Y79,$Z$1:Z79,1,$C$1:C79,C80)</f>
        <v>1.02112068513013</v>
      </c>
      <c r="AJ80">
        <f>SUMIFS($Y$1:Y79,$Z$1:Z79,2,$C$1:C79,C80)</f>
        <v>-1.4353488875886</v>
      </c>
      <c r="AK80">
        <f>SUMIFS($Y$1:Y79,$Z$1:Z79,3,$C$1:C79,C80)</f>
        <v>-0.125231782138608</v>
      </c>
    </row>
    <row r="81">
      <c r="A81" t="n">
        <v>80</v>
      </c>
      <c r="B81">
        <f>IFERROR(MATCH(A81,'①名簿入力'!$AF$4:$AF$153,0),"")</f>
        <v>69</v>
      </c>
      <c r="C81">
        <f>IF(B81="","",INDEX('①名簿入力'!$X$4:$X$153,B81))</f>
        <v>1</v>
      </c>
      <c r="D81">
        <f>IF(B81="","",(INDEX('①名簿入力'!$AD$4:$AD$153,B81)-'設定'!$C$37)/'設定'!$C$38)</f>
        <v>-0.559154407044762</v>
      </c>
      <c r="E81" t="str">
        <f>IF(B81="","",INDEX('①名簿入力'!$B$4:$B$153,B81)&amp;"")</f>
        <v>2</v>
      </c>
      <c r="F81">
        <f>IF(B81="",0,INDEX('①名簿入力'!$Y$4:$Y$153,B81))</f>
        <v>0</v>
      </c>
      <c r="G81">
        <f>IF(B81="",0,INDEX('①名簿入力'!$Z$4:$Z$153,B81))</f>
        <v>0</v>
      </c>
      <c r="H81">
        <f>IF(B81="",0,INDEX('①名簿入力'!$AA$4:$AA$153,B81))</f>
        <v>0</v>
      </c>
      <c r="I81">
        <f>IF(B81="",0,INDEX('①名簿入力'!$AB$4:$AB$153,B81))</f>
        <v>0</v>
      </c>
      <c r="J81">
        <f>COUNTIF($Z$1:Z80,1)</f>
        <v>27</v>
      </c>
      <c r="K81">
        <f>COUNTIF($Z$1:Z80,2)</f>
        <v>26</v>
      </c>
      <c r="L81">
        <f>COUNTIF($Z$1:Z80,3)</f>
        <v>26</v>
      </c>
      <c r="M81">
        <f>COUNTIFS($Z$1:Z80,1,$C$1:C80,C81)</f>
        <v>14</v>
      </c>
      <c r="N81">
        <f>COUNTIFS($Z$1:Z80,2,$C$1:C80,C81)</f>
        <v>14</v>
      </c>
      <c r="O81">
        <f>COUNTIFS($Z$1:Z80,3,$C$1:C80,C81)</f>
        <v>14</v>
      </c>
      <c r="P81">
        <f>F81*COUNTIFS($Z$1:Z80,1,$F$1:F80,1)+G81*COUNTIFS($Z$1:Z80,1,$G$1:G80,1)+H81*COUNTIFS($Z$1:Z80,1,$H$1:H80,1)+I81*COUNTIFS($Z$1:Z80,1,$I$1:I80,1)</f>
        <v>0</v>
      </c>
      <c r="Q81">
        <f>F81*COUNTIFS($Z$1:Z80,2,$F$1:F80,1)+G81*COUNTIFS($Z$1:Z80,2,$G$1:G80,1)+H81*COUNTIFS($Z$1:Z80,2,$H$1:H80,1)+I81*COUNTIFS($Z$1:Z80,2,$I$1:I80,1)</f>
        <v>0</v>
      </c>
      <c r="R81">
        <f>F81*COUNTIFS($Z$1:Z80,3,$F$1:F80,1)+G81*COUNTIFS($Z$1:Z80,3,$G$1:G80,1)+H81*COUNTIFS($Z$1:Z80,3,$H$1:H80,1)+I81*COUNTIFS($Z$1:Z80,3,$I$1:I80,1)</f>
        <v>0</v>
      </c>
      <c r="S81">
        <f>IF(E81="",0,COUNTIFS($Z$1:Z80,1,$E$1:E80,E81))</f>
        <v>10</v>
      </c>
      <c r="T81">
        <f>IF(E81="",0,COUNTIFS($Z$1:Z80,2,$E$1:E80,E81))</f>
        <v>10</v>
      </c>
      <c r="U81">
        <f>IF(E81="",0,COUNTIFS($Z$1:Z80,3,$E$1:E80,E81))</f>
        <v>9</v>
      </c>
      <c r="V81">
        <f>SUMIF($Z$1:Z80,1,$D$1:D80)</f>
        <v>0.211656514292191</v>
      </c>
      <c r="W81">
        <f>SUMIF($Z$1:Z80,2,$D$1:D80)</f>
        <v>0.606521086654501</v>
      </c>
      <c r="X81">
        <f>SUMIF($Z$1:Z80,3,$D$1:D80)</f>
        <v>-0.662991272255316</v>
      </c>
      <c r="Y81">
        <f>IF(B81="",0,INDEX('①名簿入力'!$AL$4:$AL$153,B81))</f>
        <v>0.476250908630418</v>
      </c>
      <c r="Z81">
        <f>IF(B81="","",MATCH(MIN(AA81:AC81),AA81:AC81,0))</f>
        <v>1</v>
      </c>
      <c r="AA81">
        <f>IF(B81="","",IF(J81&gt;=$AE$2,1E+15,M81*1E+10+P81*1E+8+ROUND(100*(D81*V81+$AF$5*Y81*AI81+$AF$4*S81),0)+1E+6))</f>
        <v>140001000196</v>
      </c>
      <c r="AB81">
        <f>IF(B81="","",IF(K81&gt;=$AF$2,1E+15,N81*1E+10+Q81*1E+8+ROUND(100*(D81*W81+$AF$5*Y81*AJ81+$AF$4*T81),0)+1E+6))</f>
        <v>140001000218</v>
      </c>
      <c r="AC81">
        <f>IF(B81="","",IF(L81&gt;=$AG$2,1E+15,O81*1E+10+R81*1E+8+ROUND(100*(D81*X81+$AF$5*Y81*AK81+$AF$4*U81),0)+1E+6))</f>
        <v>140001000269</v>
      </c>
      <c r="AI81">
        <f>SUMIFS($Y$1:Y80,$Z$1:Z80,1,$C$1:C80,C81)</f>
        <v>-1.75327768132967</v>
      </c>
      <c r="AJ81">
        <f>SUMIFS($Y$1:Y80,$Z$1:Z80,2,$C$1:C80,C81)</f>
        <v>0.0674337569742174</v>
      </c>
      <c r="AK81">
        <f>SUMIFS($Y$1:Y80,$Z$1:Z80,3,$C$1:C80,C81)</f>
        <v>0.295022686762207</v>
      </c>
    </row>
    <row r="82">
      <c r="A82" t="n">
        <v>81</v>
      </c>
      <c r="B82">
        <f>IFERROR(MATCH(A82,'①名簿入力'!$AF$4:$AF$153,0),"")</f>
        <v>44</v>
      </c>
      <c r="C82">
        <f>IF(B82="","",INDEX('①名簿入力'!$X$4:$X$153,B82))</f>
        <v>2</v>
      </c>
      <c r="D82">
        <f>IF(B82="","",(INDEX('①名簿入力'!$AD$4:$AD$153,B82)-'設定'!$C$37)/'設定'!$C$38)</f>
        <v>0.531132677666024</v>
      </c>
      <c r="E82" t="str">
        <f>IF(B82="","",INDEX('①名簿入力'!$B$4:$B$153,B82)&amp;"")</f>
        <v>2</v>
      </c>
      <c r="F82">
        <f>IF(B82="",0,INDEX('①名簿入力'!$Y$4:$Y$153,B82))</f>
        <v>0</v>
      </c>
      <c r="G82">
        <f>IF(B82="",0,INDEX('①名簿入力'!$Z$4:$Z$153,B82))</f>
        <v>0</v>
      </c>
      <c r="H82">
        <f>IF(B82="",0,INDEX('①名簿入力'!$AA$4:$AA$153,B82))</f>
        <v>0</v>
      </c>
      <c r="I82">
        <f>IF(B82="",0,INDEX('①名簿入力'!$AB$4:$AB$153,B82))</f>
        <v>0</v>
      </c>
      <c r="J82">
        <f>COUNTIF($Z$1:Z81,1)</f>
        <v>28</v>
      </c>
      <c r="K82">
        <f>COUNTIF($Z$1:Z81,2)</f>
        <v>26</v>
      </c>
      <c r="L82">
        <f>COUNTIF($Z$1:Z81,3)</f>
        <v>26</v>
      </c>
      <c r="M82">
        <f>COUNTIFS($Z$1:Z81,1,$C$1:C81,C82)</f>
        <v>13</v>
      </c>
      <c r="N82">
        <f>COUNTIFS($Z$1:Z81,2,$C$1:C81,C82)</f>
        <v>12</v>
      </c>
      <c r="O82">
        <f>COUNTIFS($Z$1:Z81,3,$C$1:C81,C82)</f>
        <v>12</v>
      </c>
      <c r="P82">
        <f>F82*COUNTIFS($Z$1:Z81,1,$F$1:F81,1)+G82*COUNTIFS($Z$1:Z81,1,$G$1:G81,1)+H82*COUNTIFS($Z$1:Z81,1,$H$1:H81,1)+I82*COUNTIFS($Z$1:Z81,1,$I$1:I81,1)</f>
        <v>0</v>
      </c>
      <c r="Q82">
        <f>F82*COUNTIFS($Z$1:Z81,2,$F$1:F81,1)+G82*COUNTIFS($Z$1:Z81,2,$G$1:G81,1)+H82*COUNTIFS($Z$1:Z81,2,$H$1:H81,1)+I82*COUNTIFS($Z$1:Z81,2,$I$1:I81,1)</f>
        <v>0</v>
      </c>
      <c r="R82">
        <f>F82*COUNTIFS($Z$1:Z81,3,$F$1:F81,1)+G82*COUNTIFS($Z$1:Z81,3,$G$1:G81,1)+H82*COUNTIFS($Z$1:Z81,3,$H$1:H81,1)+I82*COUNTIFS($Z$1:Z81,3,$I$1:I81,1)</f>
        <v>0</v>
      </c>
      <c r="S82">
        <f>IF(E82="",0,COUNTIFS($Z$1:Z81,1,$E$1:E81,E82))</f>
        <v>11</v>
      </c>
      <c r="T82">
        <f>IF(E82="",0,COUNTIFS($Z$1:Z81,2,$E$1:E81,E82))</f>
        <v>10</v>
      </c>
      <c r="U82">
        <f>IF(E82="",0,COUNTIFS($Z$1:Z81,3,$E$1:E81,E82))</f>
        <v>9</v>
      </c>
      <c r="V82">
        <f>SUMIF($Z$1:Z81,1,$D$1:D81)</f>
        <v>-0.347497892752571</v>
      </c>
      <c r="W82">
        <f>SUMIF($Z$1:Z81,2,$D$1:D81)</f>
        <v>0.606521086654501</v>
      </c>
      <c r="X82">
        <f>SUMIF($Z$1:Z81,3,$D$1:D81)</f>
        <v>-0.662991272255316</v>
      </c>
      <c r="Y82">
        <f>IF(B82="",0,INDEX('①名簿入力'!$AL$4:$AL$153,B82))</f>
        <v>-0.269729992298529</v>
      </c>
      <c r="Z82">
        <f>IF(B82="","",MATCH(MIN(AA82:AC82),AA82:AC82,0))</f>
        <v>3</v>
      </c>
      <c r="AA82">
        <f>IF(B82="","",IF(J82&gt;=$AE$2,1E+15,M82*1E+10+P82*1E+8+ROUND(100*(D82*V82+$AF$5*Y82*AI82+$AF$4*S82),0)+1E+6))</f>
        <v>130001000242</v>
      </c>
      <c r="AB82">
        <f>IF(B82="","",IF(K82&gt;=$AF$2,1E+15,N82*1E+10+Q82*1E+8+ROUND(100*(D82*W82+$AF$5*Y82*AJ82+$AF$4*T82),0)+1E+6))</f>
        <v>120001000302</v>
      </c>
      <c r="AC82">
        <f>IF(B82="","",IF(L82&gt;=$AG$2,1E+15,O82*1E+10+R82*1E+8+ROUND(100*(D82*X82+$AF$5*Y82*AK82+$AF$4*U82),0)+1E+6))</f>
        <v>120001000191</v>
      </c>
      <c r="AI82">
        <f>SUMIFS($Y$1:Y81,$Z$1:Z81,1,$C$1:C81,C82)</f>
        <v>1.0789199691941</v>
      </c>
      <c r="AJ82">
        <f>SUMIFS($Y$1:Y81,$Z$1:Z81,2,$C$1:C81,C82)</f>
        <v>-1.4353488875886</v>
      </c>
      <c r="AK82">
        <f>SUMIFS($Y$1:Y81,$Z$1:Z81,3,$C$1:C81,C82)</f>
        <v>-0.125231782138608</v>
      </c>
    </row>
    <row r="83">
      <c r="A83" t="n">
        <v>82</v>
      </c>
      <c r="B83">
        <f>IFERROR(MATCH(A83,'①名簿入力'!$AF$4:$AF$153,0),"")</f>
        <v>83</v>
      </c>
      <c r="C83">
        <f>IF(B83="","",INDEX('①名簿入力'!$X$4:$X$153,B83))</f>
        <v>1</v>
      </c>
      <c r="D83">
        <f>IF(B83="","",(INDEX('①名簿入力'!$AD$4:$AD$153,B83)-'設定'!$C$37)/'設定'!$C$38)</f>
        <v>-0.514348088495003</v>
      </c>
      <c r="E83" t="str">
        <f>IF(B83="","",INDEX('①名簿入力'!$B$4:$B$153,B83)&amp;"")</f>
        <v>3</v>
      </c>
      <c r="F83">
        <f>IF(B83="",0,INDEX('①名簿入力'!$Y$4:$Y$153,B83))</f>
        <v>0</v>
      </c>
      <c r="G83">
        <f>IF(B83="",0,INDEX('①名簿入力'!$Z$4:$Z$153,B83))</f>
        <v>0</v>
      </c>
      <c r="H83">
        <f>IF(B83="",0,INDEX('①名簿入力'!$AA$4:$AA$153,B83))</f>
        <v>0</v>
      </c>
      <c r="I83">
        <f>IF(B83="",0,INDEX('①名簿入力'!$AB$4:$AB$153,B83))</f>
        <v>0</v>
      </c>
      <c r="J83">
        <f>COUNTIF($Z$1:Z82,1)</f>
        <v>28</v>
      </c>
      <c r="K83">
        <f>COUNTIF($Z$1:Z82,2)</f>
        <v>26</v>
      </c>
      <c r="L83">
        <f>COUNTIF($Z$1:Z82,3)</f>
        <v>27</v>
      </c>
      <c r="M83">
        <f>COUNTIFS($Z$1:Z82,1,$C$1:C82,C83)</f>
        <v>15</v>
      </c>
      <c r="N83">
        <f>COUNTIFS($Z$1:Z82,2,$C$1:C82,C83)</f>
        <v>14</v>
      </c>
      <c r="O83">
        <f>COUNTIFS($Z$1:Z82,3,$C$1:C82,C83)</f>
        <v>14</v>
      </c>
      <c r="P83">
        <f>F83*COUNTIFS($Z$1:Z82,1,$F$1:F82,1)+G83*COUNTIFS($Z$1:Z82,1,$G$1:G82,1)+H83*COUNTIFS($Z$1:Z82,1,$H$1:H82,1)+I83*COUNTIFS($Z$1:Z82,1,$I$1:I82,1)</f>
        <v>0</v>
      </c>
      <c r="Q83">
        <f>F83*COUNTIFS($Z$1:Z82,2,$F$1:F82,1)+G83*COUNTIFS($Z$1:Z82,2,$G$1:G82,1)+H83*COUNTIFS($Z$1:Z82,2,$H$1:H82,1)+I83*COUNTIFS($Z$1:Z82,2,$I$1:I82,1)</f>
        <v>0</v>
      </c>
      <c r="R83">
        <f>F83*COUNTIFS($Z$1:Z82,3,$F$1:F82,1)+G83*COUNTIFS($Z$1:Z82,3,$G$1:G82,1)+H83*COUNTIFS($Z$1:Z82,3,$H$1:H82,1)+I83*COUNTIFS($Z$1:Z82,3,$I$1:I82,1)</f>
        <v>0</v>
      </c>
      <c r="S83">
        <f>IF(E83="",0,COUNTIFS($Z$1:Z82,1,$E$1:E82,E83))</f>
        <v>8</v>
      </c>
      <c r="T83">
        <f>IF(E83="",0,COUNTIFS($Z$1:Z82,2,$E$1:E82,E83))</f>
        <v>6</v>
      </c>
      <c r="U83">
        <f>IF(E83="",0,COUNTIFS($Z$1:Z82,3,$E$1:E82,E83))</f>
        <v>12</v>
      </c>
      <c r="V83">
        <f>SUMIF($Z$1:Z82,1,$D$1:D82)</f>
        <v>-0.347497892752571</v>
      </c>
      <c r="W83">
        <f>SUMIF($Z$1:Z82,2,$D$1:D82)</f>
        <v>0.606521086654501</v>
      </c>
      <c r="X83">
        <f>SUMIF($Z$1:Z82,3,$D$1:D82)</f>
        <v>-0.131858594589293</v>
      </c>
      <c r="Y83">
        <f>IF(B83="",0,INDEX('①名簿入力'!$AL$4:$AL$153,B83))</f>
        <v>-1.11687159988549</v>
      </c>
      <c r="Z83">
        <f>IF(B83="","",MATCH(MIN(AA83:AC83),AA83:AC83,0))</f>
        <v>2</v>
      </c>
      <c r="AA83">
        <f>IF(B83="","",IF(J83&gt;=$AE$2,1E+15,M83*1E+10+P83*1E+8+ROUND(100*(D83*V83+$AF$5*Y83*AI83+$AF$4*S83),0)+1E+6))</f>
        <v>150001000289</v>
      </c>
      <c r="AB83">
        <f>IF(B83="","",IF(K83&gt;=$AF$2,1E+15,N83*1E+10+Q83*1E+8+ROUND(100*(D83*W83+$AF$5*Y83*AJ83+$AF$4*T83),0)+1E+6))</f>
        <v>140001000115</v>
      </c>
      <c r="AC83">
        <f>IF(B83="","",IF(L83&gt;=$AG$2,1E+15,O83*1E+10+R83*1E+8+ROUND(100*(D83*X83+$AF$5*Y83*AK83+$AF$4*U83),0)+1E+6))</f>
        <v>140001000290</v>
      </c>
      <c r="AI83">
        <f>SUMIFS($Y$1:Y82,$Z$1:Z82,1,$C$1:C82,C83)</f>
        <v>-1.27702677269925</v>
      </c>
      <c r="AJ83">
        <f>SUMIFS($Y$1:Y82,$Z$1:Z82,2,$C$1:C82,C83)</f>
        <v>0.0674337569742174</v>
      </c>
      <c r="AK83">
        <f>SUMIFS($Y$1:Y82,$Z$1:Z82,3,$C$1:C82,C83)</f>
        <v>0.295022686762207</v>
      </c>
    </row>
    <row r="84">
      <c r="A84" t="n">
        <v>83</v>
      </c>
      <c r="B84">
        <f>IFERROR(MATCH(A84,'①名簿入力'!$AF$4:$AF$153,0),"")</f>
        <v>99</v>
      </c>
      <c r="C84">
        <f>IF(B84="","",INDEX('①名簿入力'!$X$4:$X$153,B84))</f>
        <v>2</v>
      </c>
      <c r="D84">
        <f>IF(B84="","",(INDEX('①名簿入力'!$AD$4:$AD$153,B84)-'設定'!$C$37)/'設定'!$C$38)</f>
        <v>0.486326359116266</v>
      </c>
      <c r="E84" t="str">
        <f>IF(B84="","",INDEX('①名簿入力'!$B$4:$B$153,B84)&amp;"")</f>
        <v>3</v>
      </c>
      <c r="F84">
        <f>IF(B84="",0,INDEX('①名簿入力'!$Y$4:$Y$153,B84))</f>
        <v>0</v>
      </c>
      <c r="G84">
        <f>IF(B84="",0,INDEX('①名簿入力'!$Z$4:$Z$153,B84))</f>
        <v>0</v>
      </c>
      <c r="H84">
        <f>IF(B84="",0,INDEX('①名簿入力'!$AA$4:$AA$153,B84))</f>
        <v>0</v>
      </c>
      <c r="I84">
        <f>IF(B84="",0,INDEX('①名簿入力'!$AB$4:$AB$153,B84))</f>
        <v>0</v>
      </c>
      <c r="J84">
        <f>COUNTIF($Z$1:Z83,1)</f>
        <v>28</v>
      </c>
      <c r="K84">
        <f>COUNTIF($Z$1:Z83,2)</f>
        <v>27</v>
      </c>
      <c r="L84">
        <f>COUNTIF($Z$1:Z83,3)</f>
        <v>27</v>
      </c>
      <c r="M84">
        <f>COUNTIFS($Z$1:Z83,1,$C$1:C83,C84)</f>
        <v>13</v>
      </c>
      <c r="N84">
        <f>COUNTIFS($Z$1:Z83,2,$C$1:C83,C84)</f>
        <v>12</v>
      </c>
      <c r="O84">
        <f>COUNTIFS($Z$1:Z83,3,$C$1:C83,C84)</f>
        <v>13</v>
      </c>
      <c r="P84">
        <f>F84*COUNTIFS($Z$1:Z83,1,$F$1:F83,1)+G84*COUNTIFS($Z$1:Z83,1,$G$1:G83,1)+H84*COUNTIFS($Z$1:Z83,1,$H$1:H83,1)+I84*COUNTIFS($Z$1:Z83,1,$I$1:I83,1)</f>
        <v>0</v>
      </c>
      <c r="Q84">
        <f>F84*COUNTIFS($Z$1:Z83,2,$F$1:F83,1)+G84*COUNTIFS($Z$1:Z83,2,$G$1:G83,1)+H84*COUNTIFS($Z$1:Z83,2,$H$1:H83,1)+I84*COUNTIFS($Z$1:Z83,2,$I$1:I83,1)</f>
        <v>0</v>
      </c>
      <c r="R84">
        <f>F84*COUNTIFS($Z$1:Z83,3,$F$1:F83,1)+G84*COUNTIFS($Z$1:Z83,3,$G$1:G83,1)+H84*COUNTIFS($Z$1:Z83,3,$H$1:H83,1)+I84*COUNTIFS($Z$1:Z83,3,$I$1:I83,1)</f>
        <v>0</v>
      </c>
      <c r="S84">
        <f>IF(E84="",0,COUNTIFS($Z$1:Z83,1,$E$1:E83,E84))</f>
        <v>8</v>
      </c>
      <c r="T84">
        <f>IF(E84="",0,COUNTIFS($Z$1:Z83,2,$E$1:E83,E84))</f>
        <v>7</v>
      </c>
      <c r="U84">
        <f>IF(E84="",0,COUNTIFS($Z$1:Z83,3,$E$1:E83,E84))</f>
        <v>12</v>
      </c>
      <c r="V84">
        <f>SUMIF($Z$1:Z83,1,$D$1:D83)</f>
        <v>-0.347497892752571</v>
      </c>
      <c r="W84">
        <f>SUMIF($Z$1:Z83,2,$D$1:D83)</f>
        <v>0.092172998159498</v>
      </c>
      <c r="X84">
        <f>SUMIF($Z$1:Z83,3,$D$1:D83)</f>
        <v>-0.131858594589293</v>
      </c>
      <c r="Y84">
        <f>IF(B84="",0,INDEX('①名簿入力'!$AL$4:$AL$153,B84))</f>
        <v>-1.57984709774852</v>
      </c>
      <c r="Z84">
        <f>IF(B84="","",MATCH(MIN(AA84:AC84),AA84:AC84,0))</f>
        <v>2</v>
      </c>
      <c r="AA84">
        <f>IF(B84="","",IF(J84&gt;=$AE$2,1E+15,M84*1E+10+P84*1E+8+ROUND(100*(D84*V84+$AF$5*Y84*AI84+$AF$4*S84),0)+1E+6))</f>
        <v>130001000098</v>
      </c>
      <c r="AB84">
        <f>IF(B84="","",IF(K84&gt;=$AF$2,1E+15,N84*1E+10+Q84*1E+8+ROUND(100*(D84*W84+$AF$5*Y84*AJ84+$AF$4*T84),0)+1E+6))</f>
        <v>120001000293</v>
      </c>
      <c r="AC84">
        <f>IF(B84="","",IF(L84&gt;=$AG$2,1E+15,O84*1E+10+R84*1E+8+ROUND(100*(D84*X84+$AF$5*Y84*AK84+$AF$4*U84),0)+1E+6))</f>
        <v>130001000325</v>
      </c>
      <c r="AI84">
        <f>SUMIFS($Y$1:Y83,$Z$1:Z83,1,$C$1:C83,C84)</f>
        <v>1.0789199691941</v>
      </c>
      <c r="AJ84">
        <f>SUMIFS($Y$1:Y83,$Z$1:Z83,2,$C$1:C83,C84)</f>
        <v>-1.4353488875886</v>
      </c>
      <c r="AK84">
        <f>SUMIFS($Y$1:Y83,$Z$1:Z83,3,$C$1:C83,C84)</f>
        <v>-0.394961774437137</v>
      </c>
    </row>
    <row r="85">
      <c r="A85" t="n">
        <v>84</v>
      </c>
      <c r="B85">
        <f>IFERROR(MATCH(A85,'①名簿入力'!$AF$4:$AF$153,0),"")</f>
        <v>11</v>
      </c>
      <c r="C85">
        <f>IF(B85="","",INDEX('①名簿入力'!$X$4:$X$153,B85))</f>
        <v>1</v>
      </c>
      <c r="D85">
        <f>IF(B85="","",(INDEX('①名簿入力'!$AD$4:$AD$153,B85)-'設定'!$C$37)/'設定'!$C$38)</f>
        <v>0.441520040566508</v>
      </c>
      <c r="E85" t="str">
        <f>IF(B85="","",INDEX('①名簿入力'!$B$4:$B$153,B85)&amp;"")</f>
        <v>1</v>
      </c>
      <c r="F85">
        <f>IF(B85="",0,INDEX('①名簿入力'!$Y$4:$Y$153,B85))</f>
        <v>0</v>
      </c>
      <c r="G85">
        <f>IF(B85="",0,INDEX('①名簿入力'!$Z$4:$Z$153,B85))</f>
        <v>0</v>
      </c>
      <c r="H85">
        <f>IF(B85="",0,INDEX('①名簿入力'!$AA$4:$AA$153,B85))</f>
        <v>0</v>
      </c>
      <c r="I85">
        <f>IF(B85="",0,INDEX('①名簿入力'!$AB$4:$AB$153,B85))</f>
        <v>0</v>
      </c>
      <c r="J85">
        <f>COUNTIF($Z$1:Z84,1)</f>
        <v>28</v>
      </c>
      <c r="K85">
        <f>COUNTIF($Z$1:Z84,2)</f>
        <v>28</v>
      </c>
      <c r="L85">
        <f>COUNTIF($Z$1:Z84,3)</f>
        <v>27</v>
      </c>
      <c r="M85">
        <f>COUNTIFS($Z$1:Z84,1,$C$1:C84,C85)</f>
        <v>15</v>
      </c>
      <c r="N85">
        <f>COUNTIFS($Z$1:Z84,2,$C$1:C84,C85)</f>
        <v>15</v>
      </c>
      <c r="O85">
        <f>COUNTIFS($Z$1:Z84,3,$C$1:C84,C85)</f>
        <v>14</v>
      </c>
      <c r="P85">
        <f>F85*COUNTIFS($Z$1:Z84,1,$F$1:F84,1)+G85*COUNTIFS($Z$1:Z84,1,$G$1:G84,1)+H85*COUNTIFS($Z$1:Z84,1,$H$1:H84,1)+I85*COUNTIFS($Z$1:Z84,1,$I$1:I84,1)</f>
        <v>0</v>
      </c>
      <c r="Q85">
        <f>F85*COUNTIFS($Z$1:Z84,2,$F$1:F84,1)+G85*COUNTIFS($Z$1:Z84,2,$G$1:G84,1)+H85*COUNTIFS($Z$1:Z84,2,$H$1:H84,1)+I85*COUNTIFS($Z$1:Z84,2,$I$1:I84,1)</f>
        <v>0</v>
      </c>
      <c r="R85">
        <f>F85*COUNTIFS($Z$1:Z84,3,$F$1:F84,1)+G85*COUNTIFS($Z$1:Z84,3,$G$1:G84,1)+H85*COUNTIFS($Z$1:Z84,3,$H$1:H84,1)+I85*COUNTIFS($Z$1:Z84,3,$I$1:I84,1)</f>
        <v>0</v>
      </c>
      <c r="S85">
        <f>IF(E85="",0,COUNTIFS($Z$1:Z84,1,$E$1:E84,E85))</f>
        <v>9</v>
      </c>
      <c r="T85">
        <f>IF(E85="",0,COUNTIFS($Z$1:Z84,2,$E$1:E84,E85))</f>
        <v>10</v>
      </c>
      <c r="U85">
        <f>IF(E85="",0,COUNTIFS($Z$1:Z84,3,$E$1:E84,E85))</f>
        <v>5</v>
      </c>
      <c r="V85">
        <f>SUMIF($Z$1:Z84,1,$D$1:D84)</f>
        <v>-0.347497892752571</v>
      </c>
      <c r="W85">
        <f>SUMIF($Z$1:Z84,2,$D$1:D84)</f>
        <v>0.578499357275764</v>
      </c>
      <c r="X85">
        <f>SUMIF($Z$1:Z84,3,$D$1:D84)</f>
        <v>-0.131858594589293</v>
      </c>
      <c r="Y85">
        <f>IF(B85="",0,INDEX('①名簿入力'!$AL$4:$AL$153,B85))</f>
        <v>0.703839838418404</v>
      </c>
      <c r="Z85">
        <f>IF(B85="","",MATCH(MIN(AA85:AC85),AA85:AC85,0))</f>
        <v>3</v>
      </c>
      <c r="AA85">
        <f>IF(B85="","",IF(J85&gt;=$AE$2,1E+15,M85*1E+10+P85*1E+8+ROUND(100*(D85*V85+$AF$5*Y85*AI85+$AF$4*S85),0)+1E+6))</f>
        <v>150001000165</v>
      </c>
      <c r="AB85">
        <f>IF(B85="","",IF(K85&gt;=$AF$2,1E+15,N85*1E+10+Q85*1E+8+ROUND(100*(D85*W85+$AF$5*Y85*AJ85+$AF$4*T85),0)+1E+6))</f>
        <v>150001000239</v>
      </c>
      <c r="AC85">
        <f>IF(B85="","",IF(L85&gt;=$AG$2,1E+15,O85*1E+10+R85*1E+8+ROUND(100*(D85*X85+$AF$5*Y85*AK85+$AF$4*U85),0)+1E+6))</f>
        <v>140001000130</v>
      </c>
      <c r="AI85">
        <f>SUMIFS($Y$1:Y84,$Z$1:Z84,1,$C$1:C84,C85)</f>
        <v>-1.27702677269925</v>
      </c>
      <c r="AJ85">
        <f>SUMIFS($Y$1:Y84,$Z$1:Z84,2,$C$1:C84,C85)</f>
        <v>-1.04943784291127</v>
      </c>
      <c r="AK85">
        <f>SUMIFS($Y$1:Y84,$Z$1:Z84,3,$C$1:C84,C85)</f>
        <v>0.295022686762207</v>
      </c>
    </row>
    <row r="86">
      <c r="A86" t="n">
        <v>85</v>
      </c>
      <c r="B86">
        <f>IFERROR(MATCH(A86,'①名簿入力'!$AF$4:$AF$153,0),"")</f>
        <v>21</v>
      </c>
      <c r="C86">
        <f>IF(B86="","",INDEX('①名簿入力'!$X$4:$X$153,B86))</f>
        <v>2</v>
      </c>
      <c r="D86">
        <f>IF(B86="","",(INDEX('①名簿入力'!$AD$4:$AD$153,B86)-'設定'!$C$37)/'設定'!$C$38)</f>
        <v>-0.439670890912073</v>
      </c>
      <c r="E86" t="str">
        <f>IF(B86="","",INDEX('①名簿入力'!$B$4:$B$153,B86)&amp;"")</f>
        <v>1</v>
      </c>
      <c r="F86">
        <f>IF(B86="",0,INDEX('①名簿入力'!$Y$4:$Y$153,B86))</f>
        <v>0</v>
      </c>
      <c r="G86">
        <f>IF(B86="",0,INDEX('①名簿入力'!$Z$4:$Z$153,B86))</f>
        <v>0</v>
      </c>
      <c r="H86">
        <f>IF(B86="",0,INDEX('①名簿入力'!$AA$4:$AA$153,B86))</f>
        <v>0</v>
      </c>
      <c r="I86">
        <f>IF(B86="",0,INDEX('①名簿入力'!$AB$4:$AB$153,B86))</f>
        <v>0</v>
      </c>
      <c r="J86">
        <f>COUNTIF($Z$1:Z85,1)</f>
        <v>28</v>
      </c>
      <c r="K86">
        <f>COUNTIF($Z$1:Z85,2)</f>
        <v>28</v>
      </c>
      <c r="L86">
        <f>COUNTIF($Z$1:Z85,3)</f>
        <v>28</v>
      </c>
      <c r="M86">
        <f>COUNTIFS($Z$1:Z85,1,$C$1:C85,C86)</f>
        <v>13</v>
      </c>
      <c r="N86">
        <f>COUNTIFS($Z$1:Z85,2,$C$1:C85,C86)</f>
        <v>13</v>
      </c>
      <c r="O86">
        <f>COUNTIFS($Z$1:Z85,3,$C$1:C85,C86)</f>
        <v>13</v>
      </c>
      <c r="P86">
        <f>F86*COUNTIFS($Z$1:Z85,1,$F$1:F85,1)+G86*COUNTIFS($Z$1:Z85,1,$G$1:G85,1)+H86*COUNTIFS($Z$1:Z85,1,$H$1:H85,1)+I86*COUNTIFS($Z$1:Z85,1,$I$1:I85,1)</f>
        <v>0</v>
      </c>
      <c r="Q86">
        <f>F86*COUNTIFS($Z$1:Z85,2,$F$1:F85,1)+G86*COUNTIFS($Z$1:Z85,2,$G$1:G85,1)+H86*COUNTIFS($Z$1:Z85,2,$H$1:H85,1)+I86*COUNTIFS($Z$1:Z85,2,$I$1:I85,1)</f>
        <v>0</v>
      </c>
      <c r="R86">
        <f>F86*COUNTIFS($Z$1:Z85,3,$F$1:F85,1)+G86*COUNTIFS($Z$1:Z85,3,$G$1:G85,1)+H86*COUNTIFS($Z$1:Z85,3,$H$1:H85,1)+I86*COUNTIFS($Z$1:Z85,3,$I$1:I85,1)</f>
        <v>0</v>
      </c>
      <c r="S86">
        <f>IF(E86="",0,COUNTIFS($Z$1:Z85,1,$E$1:E85,E86))</f>
        <v>9</v>
      </c>
      <c r="T86">
        <f>IF(E86="",0,COUNTIFS($Z$1:Z85,2,$E$1:E85,E86))</f>
        <v>10</v>
      </c>
      <c r="U86">
        <f>IF(E86="",0,COUNTIFS($Z$1:Z85,3,$E$1:E85,E86))</f>
        <v>6</v>
      </c>
      <c r="V86">
        <f>SUMIF($Z$1:Z85,1,$D$1:D85)</f>
        <v>-0.347497892752571</v>
      </c>
      <c r="W86">
        <f>SUMIF($Z$1:Z85,2,$D$1:D85)</f>
        <v>0.578499357275764</v>
      </c>
      <c r="X86">
        <f>SUMIF($Z$1:Z85,3,$D$1:D85)</f>
        <v>0.309661445977215</v>
      </c>
      <c r="Y86">
        <f>IF(B86="",0,INDEX('①名簿入力'!$AL$4:$AL$153,B86))</f>
        <v>-1.41608245956727</v>
      </c>
      <c r="Z86">
        <f>IF(B86="","",MATCH(MIN(AA86:AC86),AA86:AC86,0))</f>
        <v>1</v>
      </c>
      <c r="AA86">
        <f>IF(B86="","",IF(J86&gt;=$AE$2,1E+15,M86*1E+10+P86*1E+8+ROUND(100*(D86*V86+$AF$5*Y86*AI86+$AF$4*S86),0)+1E+6))</f>
        <v>130001000164</v>
      </c>
      <c r="AB86">
        <f>IF(B86="","",IF(K86&gt;=$AF$2,1E+15,N86*1E+10+Q86*1E+8+ROUND(100*(D86*W86+$AF$5*Y86*AJ86+$AF$4*T86),0)+1E+6))</f>
        <v>130001000438</v>
      </c>
      <c r="AC86">
        <f>IF(B86="","",IF(L86&gt;=$AG$2,1E+15,O86*1E+10+R86*1E+8+ROUND(100*(D86*X86+$AF$5*Y86*AK86+$AF$4*U86),0)+1E+6))</f>
        <v>130001000164</v>
      </c>
      <c r="AI86">
        <f>SUMIFS($Y$1:Y85,$Z$1:Z85,1,$C$1:C85,C86)</f>
        <v>1.0789199691941</v>
      </c>
      <c r="AJ86">
        <f>SUMIFS($Y$1:Y85,$Z$1:Z85,2,$C$1:C85,C86)</f>
        <v>-3.01519598533712</v>
      </c>
      <c r="AK86">
        <f>SUMIFS($Y$1:Y85,$Z$1:Z85,3,$C$1:C85,C86)</f>
        <v>-0.394961774437137</v>
      </c>
    </row>
    <row r="87">
      <c r="A87" t="n">
        <v>86</v>
      </c>
      <c r="B87">
        <f>IFERROR(MATCH(A87,'①名簿入力'!$AF$4:$AF$153,0),"")</f>
        <v>14</v>
      </c>
      <c r="C87">
        <f>IF(B87="","",INDEX('①名簿入力'!$X$4:$X$153,B87))</f>
        <v>2</v>
      </c>
      <c r="D87">
        <f>IF(B87="","",(INDEX('①名簿入力'!$AD$4:$AD$153,B87)-'設定'!$C$37)/'設定'!$C$38)</f>
        <v>-0.424735451395487</v>
      </c>
      <c r="E87" t="str">
        <f>IF(B87="","",INDEX('①名簿入力'!$B$4:$B$153,B87)&amp;"")</f>
        <v>1</v>
      </c>
      <c r="F87">
        <f>IF(B87="",0,INDEX('①名簿入力'!$Y$4:$Y$153,B87))</f>
        <v>0</v>
      </c>
      <c r="G87">
        <f>IF(B87="",0,INDEX('①名簿入力'!$Z$4:$Z$153,B87))</f>
        <v>0</v>
      </c>
      <c r="H87">
        <f>IF(B87="",0,INDEX('①名簿入力'!$AA$4:$AA$153,B87))</f>
        <v>0</v>
      </c>
      <c r="I87">
        <f>IF(B87="",0,INDEX('①名簿入力'!$AB$4:$AB$153,B87))</f>
        <v>0</v>
      </c>
      <c r="J87">
        <f>COUNTIF($Z$1:Z86,1)</f>
        <v>29</v>
      </c>
      <c r="K87">
        <f>COUNTIF($Z$1:Z86,2)</f>
        <v>28</v>
      </c>
      <c r="L87">
        <f>COUNTIF($Z$1:Z86,3)</f>
        <v>28</v>
      </c>
      <c r="M87">
        <f>COUNTIFS($Z$1:Z86,1,$C$1:C86,C87)</f>
        <v>14</v>
      </c>
      <c r="N87">
        <f>COUNTIFS($Z$1:Z86,2,$C$1:C86,C87)</f>
        <v>13</v>
      </c>
      <c r="O87">
        <f>COUNTIFS($Z$1:Z86,3,$C$1:C86,C87)</f>
        <v>13</v>
      </c>
      <c r="P87">
        <f>F87*COUNTIFS($Z$1:Z86,1,$F$1:F86,1)+G87*COUNTIFS($Z$1:Z86,1,$G$1:G86,1)+H87*COUNTIFS($Z$1:Z86,1,$H$1:H86,1)+I87*COUNTIFS($Z$1:Z86,1,$I$1:I86,1)</f>
        <v>0</v>
      </c>
      <c r="Q87">
        <f>F87*COUNTIFS($Z$1:Z86,2,$F$1:F86,1)+G87*COUNTIFS($Z$1:Z86,2,$G$1:G86,1)+H87*COUNTIFS($Z$1:Z86,2,$H$1:H86,1)+I87*COUNTIFS($Z$1:Z86,2,$I$1:I86,1)</f>
        <v>0</v>
      </c>
      <c r="R87">
        <f>F87*COUNTIFS($Z$1:Z86,3,$F$1:F86,1)+G87*COUNTIFS($Z$1:Z86,3,$G$1:G86,1)+H87*COUNTIFS($Z$1:Z86,3,$H$1:H86,1)+I87*COUNTIFS($Z$1:Z86,3,$I$1:I86,1)</f>
        <v>0</v>
      </c>
      <c r="S87">
        <f>IF(E87="",0,COUNTIFS($Z$1:Z86,1,$E$1:E86,E87))</f>
        <v>10</v>
      </c>
      <c r="T87">
        <f>IF(E87="",0,COUNTIFS($Z$1:Z86,2,$E$1:E86,E87))</f>
        <v>10</v>
      </c>
      <c r="U87">
        <f>IF(E87="",0,COUNTIFS($Z$1:Z86,3,$E$1:E86,E87))</f>
        <v>6</v>
      </c>
      <c r="V87">
        <f>SUMIF($Z$1:Z86,1,$D$1:D86)</f>
        <v>-0.787168783664644</v>
      </c>
      <c r="W87">
        <f>SUMIF($Z$1:Z86,2,$D$1:D86)</f>
        <v>0.578499357275764</v>
      </c>
      <c r="X87">
        <f>SUMIF($Z$1:Z86,3,$D$1:D86)</f>
        <v>0.309661445977215</v>
      </c>
      <c r="Y87">
        <f>IF(B87="",0,INDEX('①名簿入力'!$AL$4:$AL$153,B87))</f>
        <v>-0.269729992298529</v>
      </c>
      <c r="Z87">
        <f>IF(B87="","",MATCH(MIN(AA87:AC87),AA87:AC87,0))</f>
        <v>3</v>
      </c>
      <c r="AA87">
        <f>IF(B87="","",IF(J87&gt;=$AE$2,1E+15,M87*1E+10+P87*1E+8+ROUND(100*(D87*V87+$AF$5*Y87*AI87+$AF$4*S87),0)+1E+6))</f>
        <v>140001000288</v>
      </c>
      <c r="AB87">
        <f>IF(B87="","",IF(K87&gt;=$AF$2,1E+15,N87*1E+10+Q87*1E+8+ROUND(100*(D87*W87+$AF$5*Y87*AJ87+$AF$4*T87),0)+1E+6))</f>
        <v>130001000266</v>
      </c>
      <c r="AC87">
        <f>IF(B87="","",IF(L87&gt;=$AG$2,1E+15,O87*1E+10+R87*1E+8+ROUND(100*(D87*X87+$AF$5*Y87*AK87+$AF$4*U87),0)+1E+6))</f>
        <v>130001000142</v>
      </c>
      <c r="AI87">
        <f>SUMIFS($Y$1:Y86,$Z$1:Z86,1,$C$1:C86,C87)</f>
        <v>-0.337162490373169</v>
      </c>
      <c r="AJ87">
        <f>SUMIFS($Y$1:Y86,$Z$1:Z86,2,$C$1:C86,C87)</f>
        <v>-3.01519598533712</v>
      </c>
      <c r="AK87">
        <f>SUMIFS($Y$1:Y86,$Z$1:Z86,3,$C$1:C86,C87)</f>
        <v>-0.394961774437137</v>
      </c>
    </row>
    <row r="88">
      <c r="A88" t="n">
        <v>87</v>
      </c>
      <c r="B88">
        <f>IFERROR(MATCH(A88,'①名簿入力'!$AF$4:$AF$153,0),"")</f>
        <v>26</v>
      </c>
      <c r="C88">
        <f>IF(B88="","",INDEX('①名簿入力'!$X$4:$X$153,B88))</f>
        <v>2</v>
      </c>
      <c r="D88">
        <f>IF(B88="","",(INDEX('①名簿入力'!$AD$4:$AD$153,B88)-'設定'!$C$37)/'設定'!$C$38)</f>
        <v>-0.320187374779384</v>
      </c>
      <c r="E88" t="str">
        <f>IF(B88="","",INDEX('①名簿入力'!$B$4:$B$153,B88)&amp;"")</f>
        <v>1</v>
      </c>
      <c r="F88">
        <f>IF(B88="",0,INDEX('①名簿入力'!$Y$4:$Y$153,B88))</f>
        <v>0</v>
      </c>
      <c r="G88">
        <f>IF(B88="",0,INDEX('①名簿入力'!$Z$4:$Z$153,B88))</f>
        <v>0</v>
      </c>
      <c r="H88">
        <f>IF(B88="",0,INDEX('①名簿入力'!$AA$4:$AA$153,B88))</f>
        <v>0</v>
      </c>
      <c r="I88">
        <f>IF(B88="",0,INDEX('①名簿入力'!$AB$4:$AB$153,B88))</f>
        <v>0</v>
      </c>
      <c r="J88">
        <f>COUNTIF($Z$1:Z87,1)</f>
        <v>29</v>
      </c>
      <c r="K88">
        <f>COUNTIF($Z$1:Z87,2)</f>
        <v>28</v>
      </c>
      <c r="L88">
        <f>COUNTIF($Z$1:Z87,3)</f>
        <v>29</v>
      </c>
      <c r="M88">
        <f>COUNTIFS($Z$1:Z87,1,$C$1:C87,C88)</f>
        <v>14</v>
      </c>
      <c r="N88">
        <f>COUNTIFS($Z$1:Z87,2,$C$1:C87,C88)</f>
        <v>13</v>
      </c>
      <c r="O88">
        <f>COUNTIFS($Z$1:Z87,3,$C$1:C87,C88)</f>
        <v>14</v>
      </c>
      <c r="P88">
        <f>F88*COUNTIFS($Z$1:Z87,1,$F$1:F87,1)+G88*COUNTIFS($Z$1:Z87,1,$G$1:G87,1)+H88*COUNTIFS($Z$1:Z87,1,$H$1:H87,1)+I88*COUNTIFS($Z$1:Z87,1,$I$1:I87,1)</f>
        <v>0</v>
      </c>
      <c r="Q88">
        <f>F88*COUNTIFS($Z$1:Z87,2,$F$1:F87,1)+G88*COUNTIFS($Z$1:Z87,2,$G$1:G87,1)+H88*COUNTIFS($Z$1:Z87,2,$H$1:H87,1)+I88*COUNTIFS($Z$1:Z87,2,$I$1:I87,1)</f>
        <v>0</v>
      </c>
      <c r="R88">
        <f>F88*COUNTIFS($Z$1:Z87,3,$F$1:F87,1)+G88*COUNTIFS($Z$1:Z87,3,$G$1:G87,1)+H88*COUNTIFS($Z$1:Z87,3,$H$1:H87,1)+I88*COUNTIFS($Z$1:Z87,3,$I$1:I87,1)</f>
        <v>0</v>
      </c>
      <c r="S88">
        <f>IF(E88="",0,COUNTIFS($Z$1:Z87,1,$E$1:E87,E88))</f>
        <v>10</v>
      </c>
      <c r="T88">
        <f>IF(E88="",0,COUNTIFS($Z$1:Z87,2,$E$1:E87,E88))</f>
        <v>10</v>
      </c>
      <c r="U88">
        <f>IF(E88="",0,COUNTIFS($Z$1:Z87,3,$E$1:E87,E88))</f>
        <v>7</v>
      </c>
      <c r="V88">
        <f>SUMIF($Z$1:Z87,1,$D$1:D87)</f>
        <v>-0.787168783664644</v>
      </c>
      <c r="W88">
        <f>SUMIF($Z$1:Z87,2,$D$1:D87)</f>
        <v>0.578499357275764</v>
      </c>
      <c r="X88">
        <f>SUMIF($Z$1:Z87,3,$D$1:D87)</f>
        <v>-0.115074005418272</v>
      </c>
      <c r="Y88">
        <f>IF(B88="",0,INDEX('①名簿入力'!$AL$4:$AL$153,B88))</f>
        <v>1.36791638951396</v>
      </c>
      <c r="Z88">
        <f>IF(B88="","",MATCH(MIN(AA88:AC88),AA88:AC88,0))</f>
        <v>2</v>
      </c>
      <c r="AA88">
        <f>IF(B88="","",IF(J88&gt;=$AE$2,1E+15,M88*1E+10+P88*1E+8+ROUND(100*(D88*V88+$AF$5*Y88*AI88+$AF$4*S88),0)+1E+6))</f>
        <v>140001000252</v>
      </c>
      <c r="AB88">
        <f>IF(B88="","",IF(K88&gt;=$AF$2,1E+15,N88*1E+10+Q88*1E+8+ROUND(100*(D88*W88+$AF$5*Y88*AJ88+$AF$4*T88),0)+1E+6))</f>
        <v>130001000025</v>
      </c>
      <c r="AC88">
        <f>IF(B88="","",IF(L88&gt;=$AG$2,1E+15,O88*1E+10+R88*1E+8+ROUND(100*(D88*X88+$AF$5*Y88*AK88+$AF$4*U88),0)+1E+6))</f>
        <v>140001000133</v>
      </c>
      <c r="AI88">
        <f>SUMIFS($Y$1:Y87,$Z$1:Z87,1,$C$1:C87,C88)</f>
        <v>-0.337162490373169</v>
      </c>
      <c r="AJ88">
        <f>SUMIFS($Y$1:Y87,$Z$1:Z87,2,$C$1:C87,C88)</f>
        <v>-3.01519598533712</v>
      </c>
      <c r="AK88">
        <f>SUMIFS($Y$1:Y87,$Z$1:Z87,3,$C$1:C87,C88)</f>
        <v>-0.664691766735666</v>
      </c>
    </row>
    <row r="89">
      <c r="A89" t="n">
        <v>88</v>
      </c>
      <c r="B89">
        <f>IFERROR(MATCH(A89,'①名簿入力'!$AF$4:$AF$153,0),"")</f>
        <v>15</v>
      </c>
      <c r="C89">
        <f>IF(B89="","",INDEX('①名簿入力'!$X$4:$X$153,B89))</f>
        <v>2</v>
      </c>
      <c r="D89">
        <f>IF(B89="","",(INDEX('①名簿入力'!$AD$4:$AD$153,B89)-'設定'!$C$37)/'設定'!$C$38)</f>
        <v>0.27723020588406</v>
      </c>
      <c r="E89" t="str">
        <f>IF(B89="","",INDEX('①名簿入力'!$B$4:$B$153,B89)&amp;"")</f>
        <v>1</v>
      </c>
      <c r="F89">
        <f>IF(B89="",0,INDEX('①名簿入力'!$Y$4:$Y$153,B89))</f>
        <v>0</v>
      </c>
      <c r="G89">
        <f>IF(B89="",0,INDEX('①名簿入力'!$Z$4:$Z$153,B89))</f>
        <v>0</v>
      </c>
      <c r="H89">
        <f>IF(B89="",0,INDEX('①名簿入力'!$AA$4:$AA$153,B89))</f>
        <v>0</v>
      </c>
      <c r="I89">
        <f>IF(B89="",0,INDEX('①名簿入力'!$AB$4:$AB$153,B89))</f>
        <v>0</v>
      </c>
      <c r="J89">
        <f>COUNTIF($Z$1:Z88,1)</f>
        <v>29</v>
      </c>
      <c r="K89">
        <f>COUNTIF($Z$1:Z88,2)</f>
        <v>29</v>
      </c>
      <c r="L89">
        <f>COUNTIF($Z$1:Z88,3)</f>
        <v>29</v>
      </c>
      <c r="M89">
        <f>COUNTIFS($Z$1:Z88,1,$C$1:C88,C89)</f>
        <v>14</v>
      </c>
      <c r="N89">
        <f>COUNTIFS($Z$1:Z88,2,$C$1:C88,C89)</f>
        <v>14</v>
      </c>
      <c r="O89">
        <f>COUNTIFS($Z$1:Z88,3,$C$1:C88,C89)</f>
        <v>14</v>
      </c>
      <c r="P89">
        <f>F89*COUNTIFS($Z$1:Z88,1,$F$1:F88,1)+G89*COUNTIFS($Z$1:Z88,1,$G$1:G88,1)+H89*COUNTIFS($Z$1:Z88,1,$H$1:H88,1)+I89*COUNTIFS($Z$1:Z88,1,$I$1:I88,1)</f>
        <v>0</v>
      </c>
      <c r="Q89">
        <f>F89*COUNTIFS($Z$1:Z88,2,$F$1:F88,1)+G89*COUNTIFS($Z$1:Z88,2,$G$1:G88,1)+H89*COUNTIFS($Z$1:Z88,2,$H$1:H88,1)+I89*COUNTIFS($Z$1:Z88,2,$I$1:I88,1)</f>
        <v>0</v>
      </c>
      <c r="R89">
        <f>F89*COUNTIFS($Z$1:Z88,3,$F$1:F88,1)+G89*COUNTIFS($Z$1:Z88,3,$G$1:G88,1)+H89*COUNTIFS($Z$1:Z88,3,$H$1:H88,1)+I89*COUNTIFS($Z$1:Z88,3,$I$1:I88,1)</f>
        <v>0</v>
      </c>
      <c r="S89">
        <f>IF(E89="",0,COUNTIFS($Z$1:Z88,1,$E$1:E88,E89))</f>
        <v>10</v>
      </c>
      <c r="T89">
        <f>IF(E89="",0,COUNTIFS($Z$1:Z88,2,$E$1:E88,E89))</f>
        <v>11</v>
      </c>
      <c r="U89">
        <f>IF(E89="",0,COUNTIFS($Z$1:Z88,3,$E$1:E88,E89))</f>
        <v>7</v>
      </c>
      <c r="V89">
        <f>SUMIF($Z$1:Z88,1,$D$1:D88)</f>
        <v>-0.787168783664644</v>
      </c>
      <c r="W89">
        <f>SUMIF($Z$1:Z88,2,$D$1:D88)</f>
        <v>0.25831198249638</v>
      </c>
      <c r="X89">
        <f>SUMIF($Z$1:Z88,3,$D$1:D88)</f>
        <v>-0.115074005418272</v>
      </c>
      <c r="Y89">
        <f>IF(B89="",0,INDEX('①名簿入力'!$AL$4:$AL$153,B89))</f>
        <v>0.876622474970213</v>
      </c>
      <c r="Z89">
        <f>IF(B89="","",MATCH(MIN(AA89:AC89),AA89:AC89,0))</f>
        <v>3</v>
      </c>
      <c r="AA89">
        <f>IF(B89="","",IF(J89&gt;=$AE$2,1E+15,M89*1E+10+P89*1E+8+ROUND(100*(D89*V89+$AF$5*Y89*AI89+$AF$4*S89),0)+1E+6))</f>
        <v>140001000213</v>
      </c>
      <c r="AB89">
        <f>IF(B89="","",IF(K89&gt;=$AF$2,1E+15,N89*1E+10+Q89*1E+8+ROUND(100*(D89*W89+$AF$5*Y89*AJ89+$AF$4*T89),0)+1E+6))</f>
        <v>140001000210</v>
      </c>
      <c r="AC89">
        <f>IF(B89="","",IF(L89&gt;=$AG$2,1E+15,O89*1E+10+R89*1E+8+ROUND(100*(D89*X89+$AF$5*Y89*AK89+$AF$4*U89),0)+1E+6))</f>
        <v>140001000143</v>
      </c>
      <c r="AI89">
        <f>SUMIFS($Y$1:Y88,$Z$1:Z88,1,$C$1:C88,C89)</f>
        <v>-0.337162490373169</v>
      </c>
      <c r="AJ89">
        <f>SUMIFS($Y$1:Y88,$Z$1:Z88,2,$C$1:C88,C89)</f>
        <v>-1.64727959582316</v>
      </c>
      <c r="AK89">
        <f>SUMIFS($Y$1:Y88,$Z$1:Z88,3,$C$1:C88,C89)</f>
        <v>-0.664691766735666</v>
      </c>
    </row>
    <row r="90">
      <c r="A90" t="n">
        <v>89</v>
      </c>
      <c r="B90">
        <f>IFERROR(MATCH(A90,'①名簿入力'!$AF$4:$AF$153,0),"")</f>
        <v>88</v>
      </c>
      <c r="C90">
        <f>IF(B90="","",INDEX('①名簿入力'!$X$4:$X$153,B90))</f>
        <v>1</v>
      </c>
      <c r="D90">
        <f>IF(B90="","",(INDEX('①名簿入力'!$AD$4:$AD$153,B90)-'設定'!$C$37)/'設定'!$C$38)</f>
        <v>-0.275381056229626</v>
      </c>
      <c r="E90" t="str">
        <f>IF(B90="","",INDEX('①名簿入力'!$B$4:$B$153,B90)&amp;"")</f>
        <v>3</v>
      </c>
      <c r="F90">
        <f>IF(B90="",0,INDEX('①名簿入力'!$Y$4:$Y$153,B90))</f>
        <v>0</v>
      </c>
      <c r="G90">
        <f>IF(B90="",0,INDEX('①名簿入力'!$Z$4:$Z$153,B90))</f>
        <v>0</v>
      </c>
      <c r="H90">
        <f>IF(B90="",0,INDEX('①名簿入力'!$AA$4:$AA$153,B90))</f>
        <v>0</v>
      </c>
      <c r="I90">
        <f>IF(B90="",0,INDEX('①名簿入力'!$AB$4:$AB$153,B90))</f>
        <v>0</v>
      </c>
      <c r="J90">
        <f>COUNTIF($Z$1:Z89,1)</f>
        <v>29</v>
      </c>
      <c r="K90">
        <f>COUNTIF($Z$1:Z89,2)</f>
        <v>29</v>
      </c>
      <c r="L90">
        <f>COUNTIF($Z$1:Z89,3)</f>
        <v>30</v>
      </c>
      <c r="M90">
        <f>COUNTIFS($Z$1:Z89,1,$C$1:C89,C90)</f>
        <v>15</v>
      </c>
      <c r="N90">
        <f>COUNTIFS($Z$1:Z89,2,$C$1:C89,C90)</f>
        <v>15</v>
      </c>
      <c r="O90">
        <f>COUNTIFS($Z$1:Z89,3,$C$1:C89,C90)</f>
        <v>15</v>
      </c>
      <c r="P90">
        <f>F90*COUNTIFS($Z$1:Z89,1,$F$1:F89,1)+G90*COUNTIFS($Z$1:Z89,1,$G$1:G89,1)+H90*COUNTIFS($Z$1:Z89,1,$H$1:H89,1)+I90*COUNTIFS($Z$1:Z89,1,$I$1:I89,1)</f>
        <v>0</v>
      </c>
      <c r="Q90">
        <f>F90*COUNTIFS($Z$1:Z89,2,$F$1:F89,1)+G90*COUNTIFS($Z$1:Z89,2,$G$1:G89,1)+H90*COUNTIFS($Z$1:Z89,2,$H$1:H89,1)+I90*COUNTIFS($Z$1:Z89,2,$I$1:I89,1)</f>
        <v>0</v>
      </c>
      <c r="R90">
        <f>F90*COUNTIFS($Z$1:Z89,3,$F$1:F89,1)+G90*COUNTIFS($Z$1:Z89,3,$G$1:G89,1)+H90*COUNTIFS($Z$1:Z89,3,$H$1:H89,1)+I90*COUNTIFS($Z$1:Z89,3,$I$1:I89,1)</f>
        <v>0</v>
      </c>
      <c r="S90">
        <f>IF(E90="",0,COUNTIFS($Z$1:Z89,1,$E$1:E89,E90))</f>
        <v>8</v>
      </c>
      <c r="T90">
        <f>IF(E90="",0,COUNTIFS($Z$1:Z89,2,$E$1:E89,E90))</f>
        <v>8</v>
      </c>
      <c r="U90">
        <f>IF(E90="",0,COUNTIFS($Z$1:Z89,3,$E$1:E89,E90))</f>
        <v>12</v>
      </c>
      <c r="V90">
        <f>SUMIF($Z$1:Z89,1,$D$1:D89)</f>
        <v>-0.787168783664644</v>
      </c>
      <c r="W90">
        <f>SUMIF($Z$1:Z89,2,$D$1:D89)</f>
        <v>0.25831198249638</v>
      </c>
      <c r="X90">
        <f>SUMIF($Z$1:Z89,3,$D$1:D89)</f>
        <v>0.162156200465788</v>
      </c>
      <c r="Y90">
        <f>IF(B90="",0,INDEX('①名簿入力'!$AL$4:$AL$153,B90))</f>
        <v>-0.43410481052153</v>
      </c>
      <c r="Z90">
        <f>IF(B90="","",MATCH(MIN(AA90:AC90),AA90:AC90,0))</f>
        <v>2</v>
      </c>
      <c r="AA90">
        <f>IF(B90="","",IF(J90&gt;=$AE$2,1E+15,M90*1E+10+P90*1E+8+ROUND(100*(D90*V90+$AF$5*Y90*AI90+$AF$4*S90),0)+1E+6))</f>
        <v>150001000249</v>
      </c>
      <c r="AB90">
        <f>IF(B90="","",IF(K90&gt;=$AF$2,1E+15,N90*1E+10+Q90*1E+8+ROUND(100*(D90*W90+$AF$5*Y90*AJ90+$AF$4*T90),0)+1E+6))</f>
        <v>150001000216</v>
      </c>
      <c r="AC90">
        <f>IF(B90="","",IF(L90&gt;=$AG$2,1E+15,O90*1E+10+R90*1E+8+ROUND(100*(D90*X90+$AF$5*Y90*AK90+$AF$4*U90),0)+1E+6))</f>
        <v>150001000274</v>
      </c>
      <c r="AI90">
        <f>SUMIFS($Y$1:Y89,$Z$1:Z89,1,$C$1:C89,C90)</f>
        <v>-1.27702677269925</v>
      </c>
      <c r="AJ90">
        <f>SUMIFS($Y$1:Y89,$Z$1:Z89,2,$C$1:C89,C90)</f>
        <v>-1.04943784291127</v>
      </c>
      <c r="AK90">
        <f>SUMIFS($Y$1:Y89,$Z$1:Z89,3,$C$1:C89,C90)</f>
        <v>0.998862525180611</v>
      </c>
    </row>
    <row r="91">
      <c r="A91" t="n">
        <v>90</v>
      </c>
      <c r="B91">
        <f>IFERROR(MATCH(A91,'①名簿入力'!$AF$4:$AF$153,0),"")</f>
        <v>18</v>
      </c>
      <c r="C91">
        <f>IF(B91="","",INDEX('①名簿入力'!$X$4:$X$153,B91))</f>
        <v>1</v>
      </c>
      <c r="D91">
        <f>IF(B91="","",(INDEX('①名簿入力'!$AD$4:$AD$153,B91)-'設定'!$C$37)/'設定'!$C$38)</f>
        <v>-0.26044561671304</v>
      </c>
      <c r="E91" t="str">
        <f>IF(B91="","",INDEX('①名簿入力'!$B$4:$B$153,B91)&amp;"")</f>
        <v>1</v>
      </c>
      <c r="F91">
        <f>IF(B91="",0,INDEX('①名簿入力'!$Y$4:$Y$153,B91))</f>
        <v>0</v>
      </c>
      <c r="G91">
        <f>IF(B91="",0,INDEX('①名簿入力'!$Z$4:$Z$153,B91))</f>
        <v>0</v>
      </c>
      <c r="H91">
        <f>IF(B91="",0,INDEX('①名簿入力'!$AA$4:$AA$153,B91))</f>
        <v>0</v>
      </c>
      <c r="I91">
        <f>IF(B91="",0,INDEX('①名簿入力'!$AB$4:$AB$153,B91))</f>
        <v>0</v>
      </c>
      <c r="J91">
        <f>COUNTIF($Z$1:Z90,1)</f>
        <v>29</v>
      </c>
      <c r="K91">
        <f>COUNTIF($Z$1:Z90,2)</f>
        <v>30</v>
      </c>
      <c r="L91">
        <f>COUNTIF($Z$1:Z90,3)</f>
        <v>30</v>
      </c>
      <c r="M91">
        <f>COUNTIFS($Z$1:Z90,1,$C$1:C90,C91)</f>
        <v>15</v>
      </c>
      <c r="N91">
        <f>COUNTIFS($Z$1:Z90,2,$C$1:C90,C91)</f>
        <v>16</v>
      </c>
      <c r="O91">
        <f>COUNTIFS($Z$1:Z90,3,$C$1:C90,C91)</f>
        <v>15</v>
      </c>
      <c r="P91">
        <f>F91*COUNTIFS($Z$1:Z90,1,$F$1:F90,1)+G91*COUNTIFS($Z$1:Z90,1,$G$1:G90,1)+H91*COUNTIFS($Z$1:Z90,1,$H$1:H90,1)+I91*COUNTIFS($Z$1:Z90,1,$I$1:I90,1)</f>
        <v>0</v>
      </c>
      <c r="Q91">
        <f>F91*COUNTIFS($Z$1:Z90,2,$F$1:F90,1)+G91*COUNTIFS($Z$1:Z90,2,$G$1:G90,1)+H91*COUNTIFS($Z$1:Z90,2,$H$1:H90,1)+I91*COUNTIFS($Z$1:Z90,2,$I$1:I90,1)</f>
        <v>0</v>
      </c>
      <c r="R91">
        <f>F91*COUNTIFS($Z$1:Z90,3,$F$1:F90,1)+G91*COUNTIFS($Z$1:Z90,3,$G$1:G90,1)+H91*COUNTIFS($Z$1:Z90,3,$H$1:H90,1)+I91*COUNTIFS($Z$1:Z90,3,$I$1:I90,1)</f>
        <v>0</v>
      </c>
      <c r="S91">
        <f>IF(E91="",0,COUNTIFS($Z$1:Z90,1,$E$1:E90,E91))</f>
        <v>10</v>
      </c>
      <c r="T91">
        <f>IF(E91="",0,COUNTIFS($Z$1:Z90,2,$E$1:E90,E91))</f>
        <v>11</v>
      </c>
      <c r="U91">
        <f>IF(E91="",0,COUNTIFS($Z$1:Z90,3,$E$1:E90,E91))</f>
        <v>8</v>
      </c>
      <c r="V91">
        <f>SUMIF($Z$1:Z90,1,$D$1:D90)</f>
        <v>-0.787168783664644</v>
      </c>
      <c r="W91">
        <f>SUMIF($Z$1:Z90,2,$D$1:D90)</f>
        <v>-0.0170690737332464</v>
      </c>
      <c r="X91">
        <f>SUMIF($Z$1:Z90,3,$D$1:D90)</f>
        <v>0.162156200465788</v>
      </c>
      <c r="Y91">
        <f>IF(B91="",0,INDEX('①名簿入力'!$AL$4:$AL$153,B91))</f>
        <v>-0.661693740309516</v>
      </c>
      <c r="Z91">
        <f>IF(B91="","",MATCH(MIN(AA91:AC91),AA91:AC91,0))</f>
        <v>3</v>
      </c>
      <c r="AA91">
        <f>IF(B91="","",IF(J91&gt;=$AE$2,1E+15,M91*1E+10+P91*1E+8+ROUND(100*(D91*V91+$AF$5*Y91*AI91+$AF$4*S91),0)+1E+6))</f>
        <v>150001000313</v>
      </c>
      <c r="AB91">
        <f>IF(B91="","",IF(K91&gt;=$AF$2,1E+15,N91*1E+10+Q91*1E+8+ROUND(100*(D91*W91+$AF$5*Y91*AJ91+$AF$4*T91),0)+1E+6))</f>
        <v>160001000325</v>
      </c>
      <c r="AC91">
        <f>IF(B91="","",IF(L91&gt;=$AG$2,1E+15,O91*1E+10+R91*1E+8+ROUND(100*(D91*X91+$AF$5*Y91*AK91+$AF$4*U91),0)+1E+6))</f>
        <v>150001000163</v>
      </c>
      <c r="AI91">
        <f>SUMIFS($Y$1:Y90,$Z$1:Z90,1,$C$1:C90,C91)</f>
        <v>-1.27702677269925</v>
      </c>
      <c r="AJ91">
        <f>SUMIFS($Y$1:Y90,$Z$1:Z90,2,$C$1:C90,C91)</f>
        <v>-1.4835426534328</v>
      </c>
      <c r="AK91">
        <f>SUMIFS($Y$1:Y90,$Z$1:Z90,3,$C$1:C90,C91)</f>
        <v>0.998862525180611</v>
      </c>
    </row>
    <row r="92">
      <c r="A92" t="n">
        <v>91</v>
      </c>
      <c r="B92">
        <f>IFERROR(MATCH(A92,'①名簿入力'!$AF$4:$AF$153,0),"")</f>
        <v>91</v>
      </c>
      <c r="C92">
        <f>IF(B92="","",INDEX('①名簿入力'!$X$4:$X$153,B92))</f>
        <v>2</v>
      </c>
      <c r="D92">
        <f>IF(B92="","",(INDEX('①名簿入力'!$AD$4:$AD$153,B92)-'設定'!$C$37)/'設定'!$C$38)</f>
        <v>0.247359326850888</v>
      </c>
      <c r="E92" t="str">
        <f>IF(B92="","",INDEX('①名簿入力'!$B$4:$B$153,B92)&amp;"")</f>
        <v>3</v>
      </c>
      <c r="F92">
        <f>IF(B92="",0,INDEX('①名簿入力'!$Y$4:$Y$153,B92))</f>
        <v>0</v>
      </c>
      <c r="G92">
        <f>IF(B92="",0,INDEX('①名簿入力'!$Z$4:$Z$153,B92))</f>
        <v>0</v>
      </c>
      <c r="H92">
        <f>IF(B92="",0,INDEX('①名簿入力'!$AA$4:$AA$153,B92))</f>
        <v>0</v>
      </c>
      <c r="I92">
        <f>IF(B92="",0,INDEX('①名簿入力'!$AB$4:$AB$153,B92))</f>
        <v>0</v>
      </c>
      <c r="J92">
        <f>COUNTIF($Z$1:Z91,1)</f>
        <v>29</v>
      </c>
      <c r="K92">
        <f>COUNTIF($Z$1:Z91,2)</f>
        <v>30</v>
      </c>
      <c r="L92">
        <f>COUNTIF($Z$1:Z91,3)</f>
        <v>31</v>
      </c>
      <c r="M92">
        <f>COUNTIFS($Z$1:Z91,1,$C$1:C91,C92)</f>
        <v>14</v>
      </c>
      <c r="N92">
        <f>COUNTIFS($Z$1:Z91,2,$C$1:C91,C92)</f>
        <v>14</v>
      </c>
      <c r="O92">
        <f>COUNTIFS($Z$1:Z91,3,$C$1:C91,C92)</f>
        <v>15</v>
      </c>
      <c r="P92">
        <f>F92*COUNTIFS($Z$1:Z91,1,$F$1:F91,1)+G92*COUNTIFS($Z$1:Z91,1,$G$1:G91,1)+H92*COUNTIFS($Z$1:Z91,1,$H$1:H91,1)+I92*COUNTIFS($Z$1:Z91,1,$I$1:I91,1)</f>
        <v>0</v>
      </c>
      <c r="Q92">
        <f>F92*COUNTIFS($Z$1:Z91,2,$F$1:F91,1)+G92*COUNTIFS($Z$1:Z91,2,$G$1:G91,1)+H92*COUNTIFS($Z$1:Z91,2,$H$1:H91,1)+I92*COUNTIFS($Z$1:Z91,2,$I$1:I91,1)</f>
        <v>0</v>
      </c>
      <c r="R92">
        <f>F92*COUNTIFS($Z$1:Z91,3,$F$1:F91,1)+G92*COUNTIFS($Z$1:Z91,3,$G$1:G91,1)+H92*COUNTIFS($Z$1:Z91,3,$H$1:H91,1)+I92*COUNTIFS($Z$1:Z91,3,$I$1:I91,1)</f>
        <v>0</v>
      </c>
      <c r="S92">
        <f>IF(E92="",0,COUNTIFS($Z$1:Z91,1,$E$1:E91,E92))</f>
        <v>8</v>
      </c>
      <c r="T92">
        <f>IF(E92="",0,COUNTIFS($Z$1:Z91,2,$E$1:E91,E92))</f>
        <v>9</v>
      </c>
      <c r="U92">
        <f>IF(E92="",0,COUNTIFS($Z$1:Z91,3,$E$1:E91,E92))</f>
        <v>12</v>
      </c>
      <c r="V92">
        <f>SUMIF($Z$1:Z91,1,$D$1:D91)</f>
        <v>-0.787168783664644</v>
      </c>
      <c r="W92">
        <f>SUMIF($Z$1:Z91,2,$D$1:D91)</f>
        <v>-0.0170690737332464</v>
      </c>
      <c r="X92">
        <f>SUMIF($Z$1:Z91,3,$D$1:D91)</f>
        <v>-0.0982894162472515</v>
      </c>
      <c r="Y92">
        <f>IF(B92="",0,INDEX('①名簿入力'!$AL$4:$AL$153,B92))</f>
        <v>1.04038711315146</v>
      </c>
      <c r="Z92">
        <f>IF(B92="","",MATCH(MIN(AA92:AC92),AA92:AC92,0))</f>
        <v>2</v>
      </c>
      <c r="AA92">
        <f>IF(B92="","",IF(J92&gt;=$AE$2,1E+15,M92*1E+10+P92*1E+8+ROUND(100*(D92*V92+$AF$5*Y92*AI92+$AF$4*S92),0)+1E+6))</f>
        <v>140001000163</v>
      </c>
      <c r="AB92">
        <f>IF(B92="","",IF(K92&gt;=$AF$2,1E+15,N92*1E+10+Q92*1E+8+ROUND(100*(D92*W92+$AF$5*Y92*AJ92+$AF$4*T92),0)+1E+6))</f>
        <v>140001000139</v>
      </c>
      <c r="AC92">
        <f>IF(B92="","",IF(L92&gt;=$AG$2,1E+15,O92*1E+10+R92*1E+8+ROUND(100*(D92*X92+$AF$5*Y92*AK92+$AF$4*U92),0)+1E+6))</f>
        <v>150001000309</v>
      </c>
      <c r="AI92">
        <f>SUMIFS($Y$1:Y91,$Z$1:Z91,1,$C$1:C91,C92)</f>
        <v>-0.337162490373169</v>
      </c>
      <c r="AJ92">
        <f>SUMIFS($Y$1:Y91,$Z$1:Z91,2,$C$1:C91,C92)</f>
        <v>-1.64727959582316</v>
      </c>
      <c r="AK92">
        <f>SUMIFS($Y$1:Y91,$Z$1:Z91,3,$C$1:C91,C92)</f>
        <v>0.211930708234546</v>
      </c>
    </row>
    <row r="93">
      <c r="A93" t="n">
        <v>92</v>
      </c>
      <c r="B93">
        <f>IFERROR(MATCH(A93,'①名簿入力'!$AF$4:$AF$153,0),"")</f>
        <v>10</v>
      </c>
      <c r="C93">
        <f>IF(B93="","",INDEX('①名簿入力'!$X$4:$X$153,B93))</f>
        <v>1</v>
      </c>
      <c r="D93">
        <f>IF(B93="","",(INDEX('①名簿入力'!$AD$4:$AD$153,B93)-'設定'!$C$37)/'設定'!$C$38)</f>
        <v>0.232423887334301</v>
      </c>
      <c r="E93" t="str">
        <f>IF(B93="","",INDEX('①名簿入力'!$B$4:$B$153,B93)&amp;"")</f>
        <v>1</v>
      </c>
      <c r="F93">
        <f>IF(B93="",0,INDEX('①名簿入力'!$Y$4:$Y$153,B93))</f>
        <v>0</v>
      </c>
      <c r="G93">
        <f>IF(B93="",0,INDEX('①名簿入力'!$Z$4:$Z$153,B93))</f>
        <v>0</v>
      </c>
      <c r="H93">
        <f>IF(B93="",0,INDEX('①名簿入力'!$AA$4:$AA$153,B93))</f>
        <v>0</v>
      </c>
      <c r="I93">
        <f>IF(B93="",0,INDEX('①名簿入力'!$AB$4:$AB$153,B93))</f>
        <v>0</v>
      </c>
      <c r="J93">
        <f>COUNTIF($Z$1:Z92,1)</f>
        <v>29</v>
      </c>
      <c r="K93">
        <f>COUNTIF($Z$1:Z92,2)</f>
        <v>31</v>
      </c>
      <c r="L93">
        <f>COUNTIF($Z$1:Z92,3)</f>
        <v>31</v>
      </c>
      <c r="M93">
        <f>COUNTIFS($Z$1:Z92,1,$C$1:C92,C93)</f>
        <v>15</v>
      </c>
      <c r="N93">
        <f>COUNTIFS($Z$1:Z92,2,$C$1:C92,C93)</f>
        <v>16</v>
      </c>
      <c r="O93">
        <f>COUNTIFS($Z$1:Z92,3,$C$1:C92,C93)</f>
        <v>16</v>
      </c>
      <c r="P93">
        <f>F93*COUNTIFS($Z$1:Z92,1,$F$1:F92,1)+G93*COUNTIFS($Z$1:Z92,1,$G$1:G92,1)+H93*COUNTIFS($Z$1:Z92,1,$H$1:H92,1)+I93*COUNTIFS($Z$1:Z92,1,$I$1:I92,1)</f>
        <v>0</v>
      </c>
      <c r="Q93">
        <f>F93*COUNTIFS($Z$1:Z92,2,$F$1:F92,1)+G93*COUNTIFS($Z$1:Z92,2,$G$1:G92,1)+H93*COUNTIFS($Z$1:Z92,2,$H$1:H92,1)+I93*COUNTIFS($Z$1:Z92,2,$I$1:I92,1)</f>
        <v>0</v>
      </c>
      <c r="R93">
        <f>F93*COUNTIFS($Z$1:Z92,3,$F$1:F92,1)+G93*COUNTIFS($Z$1:Z92,3,$G$1:G92,1)+H93*COUNTIFS($Z$1:Z92,3,$H$1:H92,1)+I93*COUNTIFS($Z$1:Z92,3,$I$1:I92,1)</f>
        <v>0</v>
      </c>
      <c r="S93">
        <f>IF(E93="",0,COUNTIFS($Z$1:Z92,1,$E$1:E92,E93))</f>
        <v>10</v>
      </c>
      <c r="T93">
        <f>IF(E93="",0,COUNTIFS($Z$1:Z92,2,$E$1:E92,E93))</f>
        <v>11</v>
      </c>
      <c r="U93">
        <f>IF(E93="",0,COUNTIFS($Z$1:Z92,3,$E$1:E92,E93))</f>
        <v>9</v>
      </c>
      <c r="V93">
        <f>SUMIF($Z$1:Z92,1,$D$1:D92)</f>
        <v>-0.787168783664644</v>
      </c>
      <c r="W93">
        <f>SUMIF($Z$1:Z92,2,$D$1:D92)</f>
        <v>0.230290253117641</v>
      </c>
      <c r="X93">
        <f>SUMIF($Z$1:Z92,3,$D$1:D92)</f>
        <v>-0.0982894162472515</v>
      </c>
      <c r="Y93">
        <f>IF(B93="",0,INDEX('①名簿入力'!$AL$4:$AL$153,B93))</f>
        <v>-0.206515880733544</v>
      </c>
      <c r="Z93">
        <f>IF(B93="","",MATCH(MIN(AA93:AC93),AA93:AC93,0))</f>
        <v>1</v>
      </c>
      <c r="AA93">
        <f>IF(B93="","",IF(J93&gt;=$AE$2,1E+15,M93*1E+10+P93*1E+8+ROUND(100*(D93*V93+$AF$5*Y93*AI93+$AF$4*S93),0)+1E+6))</f>
        <v>150001000245</v>
      </c>
      <c r="AB93">
        <f>IF(B93="","",IF(K93&gt;=$AF$2,1E+15,N93*1E+10+Q93*1E+8+ROUND(100*(D93*W93+$AF$5*Y93*AJ93+$AF$4*T93),0)+1E+6))</f>
        <v>160001000296</v>
      </c>
      <c r="AC93">
        <f>IF(B93="","",IF(L93&gt;=$AG$2,1E+15,O93*1E+10+R93*1E+8+ROUND(100*(D93*X93+$AF$5*Y93*AK93+$AF$4*U93),0)+1E+6))</f>
        <v>160001000219</v>
      </c>
      <c r="AI93">
        <f>SUMIFS($Y$1:Y92,$Z$1:Z92,1,$C$1:C92,C93)</f>
        <v>-1.27702677269925</v>
      </c>
      <c r="AJ93">
        <f>SUMIFS($Y$1:Y92,$Z$1:Z92,2,$C$1:C92,C93)</f>
        <v>-1.4835426534328</v>
      </c>
      <c r="AK93">
        <f>SUMIFS($Y$1:Y92,$Z$1:Z92,3,$C$1:C92,C93)</f>
        <v>0.337168784871095</v>
      </c>
    </row>
    <row r="94">
      <c r="A94" t="n">
        <v>93</v>
      </c>
      <c r="B94">
        <f>IFERROR(MATCH(A94,'①名簿入力'!$AF$4:$AF$153,0),"")</f>
        <v>61</v>
      </c>
      <c r="C94">
        <f>IF(B94="","",INDEX('①名簿入力'!$X$4:$X$153,B94))</f>
        <v>2</v>
      </c>
      <c r="D94">
        <f>IF(B94="","",(INDEX('①名簿入力'!$AD$4:$AD$153,B94)-'設定'!$C$37)/'設定'!$C$38)</f>
        <v>-0.230574737679868</v>
      </c>
      <c r="E94" t="str">
        <f>IF(B94="","",INDEX('①名簿入力'!$B$4:$B$153,B94)&amp;"")</f>
        <v>2</v>
      </c>
      <c r="F94">
        <f>IF(B94="",0,INDEX('①名簿入力'!$Y$4:$Y$153,B94))</f>
        <v>0</v>
      </c>
      <c r="G94">
        <f>IF(B94="",0,INDEX('①名簿入力'!$Z$4:$Z$153,B94))</f>
        <v>0</v>
      </c>
      <c r="H94">
        <f>IF(B94="",0,INDEX('①名簿入力'!$AA$4:$AA$153,B94))</f>
        <v>0</v>
      </c>
      <c r="I94">
        <f>IF(B94="",0,INDEX('①名簿入力'!$AB$4:$AB$153,B94))</f>
        <v>0</v>
      </c>
      <c r="J94">
        <f>COUNTIF($Z$1:Z93,1)</f>
        <v>30</v>
      </c>
      <c r="K94">
        <f>COUNTIF($Z$1:Z93,2)</f>
        <v>31</v>
      </c>
      <c r="L94">
        <f>COUNTIF($Z$1:Z93,3)</f>
        <v>31</v>
      </c>
      <c r="M94">
        <f>COUNTIFS($Z$1:Z93,1,$C$1:C93,C94)</f>
        <v>14</v>
      </c>
      <c r="N94">
        <f>COUNTIFS($Z$1:Z93,2,$C$1:C93,C94)</f>
        <v>15</v>
      </c>
      <c r="O94">
        <f>COUNTIFS($Z$1:Z93,3,$C$1:C93,C94)</f>
        <v>15</v>
      </c>
      <c r="P94">
        <f>F94*COUNTIFS($Z$1:Z93,1,$F$1:F93,1)+G94*COUNTIFS($Z$1:Z93,1,$G$1:G93,1)+H94*COUNTIFS($Z$1:Z93,1,$H$1:H93,1)+I94*COUNTIFS($Z$1:Z93,1,$I$1:I93,1)</f>
        <v>0</v>
      </c>
      <c r="Q94">
        <f>F94*COUNTIFS($Z$1:Z93,2,$F$1:F93,1)+G94*COUNTIFS($Z$1:Z93,2,$G$1:G93,1)+H94*COUNTIFS($Z$1:Z93,2,$H$1:H93,1)+I94*COUNTIFS($Z$1:Z93,2,$I$1:I93,1)</f>
        <v>0</v>
      </c>
      <c r="R94">
        <f>F94*COUNTIFS($Z$1:Z93,3,$F$1:F93,1)+G94*COUNTIFS($Z$1:Z93,3,$G$1:G93,1)+H94*COUNTIFS($Z$1:Z93,3,$H$1:H93,1)+I94*COUNTIFS($Z$1:Z93,3,$I$1:I93,1)</f>
        <v>0</v>
      </c>
      <c r="S94">
        <f>IF(E94="",0,COUNTIFS($Z$1:Z93,1,$E$1:E93,E94))</f>
        <v>11</v>
      </c>
      <c r="T94">
        <f>IF(E94="",0,COUNTIFS($Z$1:Z93,2,$E$1:E93,E94))</f>
        <v>10</v>
      </c>
      <c r="U94">
        <f>IF(E94="",0,COUNTIFS($Z$1:Z93,3,$E$1:E93,E94))</f>
        <v>10</v>
      </c>
      <c r="V94">
        <f>SUMIF($Z$1:Z93,1,$D$1:D93)</f>
        <v>-0.554744896330342</v>
      </c>
      <c r="W94">
        <f>SUMIF($Z$1:Z93,2,$D$1:D93)</f>
        <v>0.230290253117641</v>
      </c>
      <c r="X94">
        <f>SUMIF($Z$1:Z93,3,$D$1:D93)</f>
        <v>-0.0982894162472515</v>
      </c>
      <c r="Y94">
        <f>IF(B94="",0,INDEX('①名簿入力'!$AL$4:$AL$153,B94))</f>
        <v>0.0577992840639699</v>
      </c>
      <c r="Z94">
        <f>IF(B94="","",MATCH(MIN(AA94:AC94),AA94:AC94,0))</f>
        <v>1</v>
      </c>
      <c r="AA94">
        <f>IF(B94="","",IF(J94&gt;=$AE$2,1E+15,M94*1E+10+P94*1E+8+ROUND(100*(D94*V94+$AF$5*Y94*AI94+$AF$4*S94),0)+1E+6))</f>
        <v>140001000287</v>
      </c>
      <c r="AB94">
        <f>IF(B94="","",IF(K94&gt;=$AF$2,1E+15,N94*1E+10+Q94*1E+8+ROUND(100*(D94*W94+$AF$5*Y94*AJ94+$AF$4*T94),0)+1E+6))</f>
        <v>150001000243</v>
      </c>
      <c r="AC94">
        <f>IF(B94="","",IF(L94&gt;=$AG$2,1E+15,O94*1E+10+R94*1E+8+ROUND(100*(D94*X94+$AF$5*Y94*AK94+$AF$4*U94),0)+1E+6))</f>
        <v>150001000253</v>
      </c>
      <c r="AI94">
        <f>SUMIFS($Y$1:Y93,$Z$1:Z93,1,$C$1:C93,C94)</f>
        <v>-0.337162490373169</v>
      </c>
      <c r="AJ94">
        <f>SUMIFS($Y$1:Y93,$Z$1:Z93,2,$C$1:C93,C94)</f>
        <v>-0.606892482671698</v>
      </c>
      <c r="AK94">
        <f>SUMIFS($Y$1:Y93,$Z$1:Z93,3,$C$1:C93,C94)</f>
        <v>0.211930708234546</v>
      </c>
    </row>
    <row r="95">
      <c r="A95" t="n">
        <v>94</v>
      </c>
      <c r="B95">
        <f>IFERROR(MATCH(A95,'①名簿入力'!$AF$4:$AF$153,0),"")</f>
        <v>103</v>
      </c>
      <c r="C95">
        <f>IF(B95="","",INDEX('①名簿入力'!$X$4:$X$153,B95))</f>
        <v>2</v>
      </c>
      <c r="D95">
        <f>IF(B95="","",(INDEX('①名簿入力'!$AD$4:$AD$153,B95)-'設定'!$C$37)/'設定'!$C$38)</f>
        <v>0.20255300830113</v>
      </c>
      <c r="E95" t="str">
        <f>IF(B95="","",INDEX('①名簿入力'!$B$4:$B$153,B95)&amp;"")</f>
        <v>3</v>
      </c>
      <c r="F95">
        <f>IF(B95="",0,INDEX('①名簿入力'!$Y$4:$Y$153,B95))</f>
        <v>0</v>
      </c>
      <c r="G95">
        <f>IF(B95="",0,INDEX('①名簿入力'!$Z$4:$Z$153,B95))</f>
        <v>0</v>
      </c>
      <c r="H95">
        <f>IF(B95="",0,INDEX('①名簿入力'!$AA$4:$AA$153,B95))</f>
        <v>0</v>
      </c>
      <c r="I95">
        <f>IF(B95="",0,INDEX('①名簿入力'!$AB$4:$AB$153,B95))</f>
        <v>0</v>
      </c>
      <c r="J95">
        <f>COUNTIF($Z$1:Z94,1)</f>
        <v>31</v>
      </c>
      <c r="K95">
        <f>COUNTIF($Z$1:Z94,2)</f>
        <v>31</v>
      </c>
      <c r="L95">
        <f>COUNTIF($Z$1:Z94,3)</f>
        <v>31</v>
      </c>
      <c r="M95">
        <f>COUNTIFS($Z$1:Z94,1,$C$1:C94,C95)</f>
        <v>15</v>
      </c>
      <c r="N95">
        <f>COUNTIFS($Z$1:Z94,2,$C$1:C94,C95)</f>
        <v>15</v>
      </c>
      <c r="O95">
        <f>COUNTIFS($Z$1:Z94,3,$C$1:C94,C95)</f>
        <v>15</v>
      </c>
      <c r="P95">
        <f>F95*COUNTIFS($Z$1:Z94,1,$F$1:F94,1)+G95*COUNTIFS($Z$1:Z94,1,$G$1:G94,1)+H95*COUNTIFS($Z$1:Z94,1,$H$1:H94,1)+I95*COUNTIFS($Z$1:Z94,1,$I$1:I94,1)</f>
        <v>0</v>
      </c>
      <c r="Q95">
        <f>F95*COUNTIFS($Z$1:Z94,2,$F$1:F94,1)+G95*COUNTIFS($Z$1:Z94,2,$G$1:G94,1)+H95*COUNTIFS($Z$1:Z94,2,$H$1:H94,1)+I95*COUNTIFS($Z$1:Z94,2,$I$1:I94,1)</f>
        <v>0</v>
      </c>
      <c r="R95">
        <f>F95*COUNTIFS($Z$1:Z94,3,$F$1:F94,1)+G95*COUNTIFS($Z$1:Z94,3,$G$1:G94,1)+H95*COUNTIFS($Z$1:Z94,3,$H$1:H94,1)+I95*COUNTIFS($Z$1:Z94,3,$I$1:I94,1)</f>
        <v>0</v>
      </c>
      <c r="S95">
        <f>IF(E95="",0,COUNTIFS($Z$1:Z94,1,$E$1:E94,E95))</f>
        <v>8</v>
      </c>
      <c r="T95">
        <f>IF(E95="",0,COUNTIFS($Z$1:Z94,2,$E$1:E94,E95))</f>
        <v>10</v>
      </c>
      <c r="U95">
        <f>IF(E95="",0,COUNTIFS($Z$1:Z94,3,$E$1:E94,E95))</f>
        <v>12</v>
      </c>
      <c r="V95">
        <f>SUMIF($Z$1:Z94,1,$D$1:D94)</f>
        <v>-0.78531963401021</v>
      </c>
      <c r="W95">
        <f>SUMIF($Z$1:Z94,2,$D$1:D94)</f>
        <v>0.230290253117641</v>
      </c>
      <c r="X95">
        <f>SUMIF($Z$1:Z94,3,$D$1:D94)</f>
        <v>-0.0982894162472515</v>
      </c>
      <c r="Y95">
        <f>IF(B95="",0,INDEX('①名簿入力'!$AL$4:$AL$153,B95))</f>
        <v>1.20415175133271</v>
      </c>
      <c r="Z95">
        <f>IF(B95="","",MATCH(MIN(AA95:AC95),AA95:AC95,0))</f>
        <v>1</v>
      </c>
      <c r="AA95">
        <f>IF(B95="","",IF(J95&gt;=$AE$2,1E+15,M95*1E+10+P95*1E+8+ROUND(100*(D95*V95+$AF$5*Y95*AI95+$AF$4*S95),0)+1E+6))</f>
        <v>150001000167</v>
      </c>
      <c r="AB95">
        <f>IF(B95="","",IF(K95&gt;=$AF$2,1E+15,N95*1E+10+Q95*1E+8+ROUND(100*(D95*W95+$AF$5*Y95*AJ95+$AF$4*T95),0)+1E+6))</f>
        <v>150001000218</v>
      </c>
      <c r="AC95">
        <f>IF(B95="","",IF(L95&gt;=$AG$2,1E+15,O95*1E+10+R95*1E+8+ROUND(100*(D95*X95+$AF$5*Y95*AK95+$AF$4*U95),0)+1E+6))</f>
        <v>150001000311</v>
      </c>
      <c r="AI95">
        <f>SUMIFS($Y$1:Y94,$Z$1:Z94,1,$C$1:C94,C95)</f>
        <v>-0.279363206309199</v>
      </c>
      <c r="AJ95">
        <f>SUMIFS($Y$1:Y94,$Z$1:Z94,2,$C$1:C94,C95)</f>
        <v>-0.606892482671698</v>
      </c>
      <c r="AK95">
        <f>SUMIFS($Y$1:Y94,$Z$1:Z94,3,$C$1:C94,C95)</f>
        <v>0.211930708234546</v>
      </c>
    </row>
    <row r="96">
      <c r="A96" t="n">
        <v>95</v>
      </c>
      <c r="B96">
        <f>IFERROR(MATCH(A96,'①名簿入力'!$AF$4:$AF$153,0),"")</f>
        <v>51</v>
      </c>
      <c r="C96">
        <f>IF(B96="","",INDEX('①名簿入力'!$X$4:$X$153,B96))</f>
        <v>2</v>
      </c>
      <c r="D96">
        <f>IF(B96="","",(INDEX('①名簿入力'!$AD$4:$AD$153,B96)-'設定'!$C$37)/'設定'!$C$38)</f>
        <v>0.187617568784543</v>
      </c>
      <c r="E96" t="str">
        <f>IF(B96="","",INDEX('①名簿入力'!$B$4:$B$153,B96)&amp;"")</f>
        <v>2</v>
      </c>
      <c r="F96">
        <f>IF(B96="",0,INDEX('①名簿入力'!$Y$4:$Y$153,B96))</f>
        <v>0</v>
      </c>
      <c r="G96">
        <f>IF(B96="",0,INDEX('①名簿入力'!$Z$4:$Z$153,B96))</f>
        <v>0</v>
      </c>
      <c r="H96">
        <f>IF(B96="",0,INDEX('①名簿入力'!$AA$4:$AA$153,B96))</f>
        <v>0</v>
      </c>
      <c r="I96">
        <f>IF(B96="",0,INDEX('①名簿入力'!$AB$4:$AB$153,B96))</f>
        <v>0</v>
      </c>
      <c r="J96">
        <f>COUNTIF($Z$1:Z95,1)</f>
        <v>32</v>
      </c>
      <c r="K96">
        <f>COUNTIF($Z$1:Z95,2)</f>
        <v>31</v>
      </c>
      <c r="L96">
        <f>COUNTIF($Z$1:Z95,3)</f>
        <v>31</v>
      </c>
      <c r="M96">
        <f>COUNTIFS($Z$1:Z95,1,$C$1:C95,C96)</f>
        <v>16</v>
      </c>
      <c r="N96">
        <f>COUNTIFS($Z$1:Z95,2,$C$1:C95,C96)</f>
        <v>15</v>
      </c>
      <c r="O96">
        <f>COUNTIFS($Z$1:Z95,3,$C$1:C95,C96)</f>
        <v>15</v>
      </c>
      <c r="P96">
        <f>F96*COUNTIFS($Z$1:Z95,1,$F$1:F95,1)+G96*COUNTIFS($Z$1:Z95,1,$G$1:G95,1)+H96*COUNTIFS($Z$1:Z95,1,$H$1:H95,1)+I96*COUNTIFS($Z$1:Z95,1,$I$1:I95,1)</f>
        <v>0</v>
      </c>
      <c r="Q96">
        <f>F96*COUNTIFS($Z$1:Z95,2,$F$1:F95,1)+G96*COUNTIFS($Z$1:Z95,2,$G$1:G95,1)+H96*COUNTIFS($Z$1:Z95,2,$H$1:H95,1)+I96*COUNTIFS($Z$1:Z95,2,$I$1:I95,1)</f>
        <v>0</v>
      </c>
      <c r="R96">
        <f>F96*COUNTIFS($Z$1:Z95,3,$F$1:F95,1)+G96*COUNTIFS($Z$1:Z95,3,$G$1:G95,1)+H96*COUNTIFS($Z$1:Z95,3,$H$1:H95,1)+I96*COUNTIFS($Z$1:Z95,3,$I$1:I95,1)</f>
        <v>0</v>
      </c>
      <c r="S96">
        <f>IF(E96="",0,COUNTIFS($Z$1:Z95,1,$E$1:E95,E96))</f>
        <v>12</v>
      </c>
      <c r="T96">
        <f>IF(E96="",0,COUNTIFS($Z$1:Z95,2,$E$1:E95,E96))</f>
        <v>10</v>
      </c>
      <c r="U96">
        <f>IF(E96="",0,COUNTIFS($Z$1:Z95,3,$E$1:E95,E96))</f>
        <v>10</v>
      </c>
      <c r="V96">
        <f>SUMIF($Z$1:Z95,1,$D$1:D95)</f>
        <v>-0.58276662570908</v>
      </c>
      <c r="W96">
        <f>SUMIF($Z$1:Z95,2,$D$1:D95)</f>
        <v>0.230290253117641</v>
      </c>
      <c r="X96">
        <f>SUMIF($Z$1:Z95,3,$D$1:D95)</f>
        <v>-0.0982894162472515</v>
      </c>
      <c r="Y96">
        <f>IF(B96="",0,INDEX('①名簿入力'!$AL$4:$AL$153,B96))</f>
        <v>1.8592103040577</v>
      </c>
      <c r="Z96">
        <f>IF(B96="","",MATCH(MIN(AA96:AC96),AA96:AC96,0))</f>
        <v>2</v>
      </c>
      <c r="AA96">
        <f>IF(B96="","",IF(J96&gt;=$AE$2,1E+15,M96*1E+10+P96*1E+8+ROUND(100*(D96*V96+$AF$5*Y96*AI96+$AF$4*S96),0)+1E+6))</f>
        <v>160001000375</v>
      </c>
      <c r="AB96">
        <f>IF(B96="","",IF(K96&gt;=$AF$2,1E+15,N96*1E+10+Q96*1E+8+ROUND(100*(D96*W96+$AF$5*Y96*AJ96+$AF$4*T96),0)+1E+6))</f>
        <v>150001000198</v>
      </c>
      <c r="AC96">
        <f>IF(B96="","",IF(L96&gt;=$AG$2,1E+15,O96*1E+10+R96*1E+8+ROUND(100*(D96*X96+$AF$5*Y96*AK96+$AF$4*U96),0)+1E+6))</f>
        <v>150001000268</v>
      </c>
      <c r="AI96">
        <f>SUMIFS($Y$1:Y95,$Z$1:Z95,1,$C$1:C95,C96)</f>
        <v>0.92478854502351</v>
      </c>
      <c r="AJ96">
        <f>SUMIFS($Y$1:Y95,$Z$1:Z95,2,$C$1:C95,C96)</f>
        <v>-0.606892482671698</v>
      </c>
      <c r="AK96">
        <f>SUMIFS($Y$1:Y95,$Z$1:Z95,3,$C$1:C95,C96)</f>
        <v>0.211930708234546</v>
      </c>
    </row>
    <row r="97">
      <c r="A97" t="n">
        <v>96</v>
      </c>
      <c r="B97">
        <f>IFERROR(MATCH(A97,'①名簿入力'!$AF$4:$AF$153,0),"")</f>
        <v>62</v>
      </c>
      <c r="C97">
        <f>IF(B97="","",INDEX('①名簿入力'!$X$4:$X$153,B97))</f>
        <v>1</v>
      </c>
      <c r="D97">
        <f>IF(B97="","",(INDEX('①名簿入力'!$AD$4:$AD$153,B97)-'設定'!$C$37)/'設定'!$C$38)</f>
        <v>0.142811250234786</v>
      </c>
      <c r="E97" t="str">
        <f>IF(B97="","",INDEX('①名簿入力'!$B$4:$B$153,B97)&amp;"")</f>
        <v>2</v>
      </c>
      <c r="F97">
        <f>IF(B97="",0,INDEX('①名簿入力'!$Y$4:$Y$153,B97))</f>
        <v>0</v>
      </c>
      <c r="G97">
        <f>IF(B97="",0,INDEX('①名簿入力'!$Z$4:$Z$153,B97))</f>
        <v>0</v>
      </c>
      <c r="H97">
        <f>IF(B97="",0,INDEX('①名簿入力'!$AA$4:$AA$153,B97))</f>
        <v>0</v>
      </c>
      <c r="I97">
        <f>IF(B97="",0,INDEX('①名簿入力'!$AB$4:$AB$153,B97))</f>
        <v>0</v>
      </c>
      <c r="J97">
        <f>COUNTIF($Z$1:Z96,1)</f>
        <v>32</v>
      </c>
      <c r="K97">
        <f>COUNTIF($Z$1:Z96,2)</f>
        <v>32</v>
      </c>
      <c r="L97">
        <f>COUNTIF($Z$1:Z96,3)</f>
        <v>31</v>
      </c>
      <c r="M97">
        <f>COUNTIFS($Z$1:Z96,1,$C$1:C96,C97)</f>
        <v>16</v>
      </c>
      <c r="N97">
        <f>COUNTIFS($Z$1:Z96,2,$C$1:C96,C97)</f>
        <v>16</v>
      </c>
      <c r="O97">
        <f>COUNTIFS($Z$1:Z96,3,$C$1:C96,C97)</f>
        <v>16</v>
      </c>
      <c r="P97">
        <f>F97*COUNTIFS($Z$1:Z96,1,$F$1:F96,1)+G97*COUNTIFS($Z$1:Z96,1,$G$1:G96,1)+H97*COUNTIFS($Z$1:Z96,1,$H$1:H96,1)+I97*COUNTIFS($Z$1:Z96,1,$I$1:I96,1)</f>
        <v>0</v>
      </c>
      <c r="Q97">
        <f>F97*COUNTIFS($Z$1:Z96,2,$F$1:F96,1)+G97*COUNTIFS($Z$1:Z96,2,$G$1:G96,1)+H97*COUNTIFS($Z$1:Z96,2,$H$1:H96,1)+I97*COUNTIFS($Z$1:Z96,2,$I$1:I96,1)</f>
        <v>0</v>
      </c>
      <c r="R97">
        <f>F97*COUNTIFS($Z$1:Z96,3,$F$1:F96,1)+G97*COUNTIFS($Z$1:Z96,3,$G$1:G96,1)+H97*COUNTIFS($Z$1:Z96,3,$H$1:H96,1)+I97*COUNTIFS($Z$1:Z96,3,$I$1:I96,1)</f>
        <v>0</v>
      </c>
      <c r="S97">
        <f>IF(E97="",0,COUNTIFS($Z$1:Z96,1,$E$1:E96,E97))</f>
        <v>12</v>
      </c>
      <c r="T97">
        <f>IF(E97="",0,COUNTIFS($Z$1:Z96,2,$E$1:E96,E97))</f>
        <v>11</v>
      </c>
      <c r="U97">
        <f>IF(E97="",0,COUNTIFS($Z$1:Z96,3,$E$1:E96,E97))</f>
        <v>10</v>
      </c>
      <c r="V97">
        <f>SUMIF($Z$1:Z96,1,$D$1:D96)</f>
        <v>-0.58276662570908</v>
      </c>
      <c r="W97">
        <f>SUMIF($Z$1:Z96,2,$D$1:D96)</f>
        <v>0.417907821902185</v>
      </c>
      <c r="X97">
        <f>SUMIF($Z$1:Z96,3,$D$1:D96)</f>
        <v>-0.0982894162472515</v>
      </c>
      <c r="Y97">
        <f>IF(B97="",0,INDEX('①名簿入力'!$AL$4:$AL$153,B97))</f>
        <v>1.61419555757035</v>
      </c>
      <c r="Z97">
        <f>IF(B97="","",MATCH(MIN(AA97:AC97),AA97:AC97,0))</f>
        <v>2</v>
      </c>
      <c r="AA97">
        <f>IF(B97="","",IF(J97&gt;=$AE$2,1E+15,M97*1E+10+P97*1E+8+ROUND(100*(D97*V97+$AF$5*Y97*AI97+$AF$4*S97),0)+1E+6))</f>
        <v>160001000172</v>
      </c>
      <c r="AB97">
        <f>IF(B97="","",IF(K97&gt;=$AF$2,1E+15,N97*1E+10+Q97*1E+8+ROUND(100*(D97*W97+$AF$5*Y97*AJ97+$AF$4*T97),0)+1E+6))</f>
        <v>160001000161</v>
      </c>
      <c r="AC97">
        <f>IF(B97="","",IF(L97&gt;=$AG$2,1E+15,O97*1E+10+R97*1E+8+ROUND(100*(D97*X97+$AF$5*Y97*AK97+$AF$4*U97),0)+1E+6))</f>
        <v>160001000276</v>
      </c>
      <c r="AI97">
        <f>SUMIFS($Y$1:Y96,$Z$1:Z96,1,$C$1:C96,C97)</f>
        <v>-1.4835426534328</v>
      </c>
      <c r="AJ97">
        <f>SUMIFS($Y$1:Y96,$Z$1:Z96,2,$C$1:C96,C97)</f>
        <v>-1.4835426534328</v>
      </c>
      <c r="AK97">
        <f>SUMIFS($Y$1:Y96,$Z$1:Z96,3,$C$1:C96,C97)</f>
        <v>0.337168784871095</v>
      </c>
    </row>
    <row r="98">
      <c r="A98" t="n">
        <v>97</v>
      </c>
      <c r="B98">
        <f>IFERROR(MATCH(A98,'①名簿入力'!$AF$4:$AF$153,0),"")</f>
        <v>102</v>
      </c>
      <c r="C98">
        <f>IF(B98="","",INDEX('①名簿入力'!$X$4:$X$153,B98))</f>
        <v>2</v>
      </c>
      <c r="D98">
        <f>IF(B98="","",(INDEX('①名簿入力'!$AD$4:$AD$153,B98)-'設定'!$C$37)/'設定'!$C$38)</f>
        <v>0.112940371201613</v>
      </c>
      <c r="E98" t="str">
        <f>IF(B98="","",INDEX('①名簿入力'!$B$4:$B$153,B98)&amp;"")</f>
        <v>3</v>
      </c>
      <c r="F98">
        <f>IF(B98="",0,INDEX('①名簿入力'!$Y$4:$Y$153,B98))</f>
        <v>0</v>
      </c>
      <c r="G98">
        <f>IF(B98="",0,INDEX('①名簿入力'!$Z$4:$Z$153,B98))</f>
        <v>0</v>
      </c>
      <c r="H98">
        <f>IF(B98="",0,INDEX('①名簿入力'!$AA$4:$AA$153,B98))</f>
        <v>0</v>
      </c>
      <c r="I98">
        <f>IF(B98="",0,INDEX('①名簿入力'!$AB$4:$AB$153,B98))</f>
        <v>0</v>
      </c>
      <c r="J98">
        <f>COUNTIF($Z$1:Z97,1)</f>
        <v>32</v>
      </c>
      <c r="K98">
        <f>COUNTIF($Z$1:Z97,2)</f>
        <v>33</v>
      </c>
      <c r="L98">
        <f>COUNTIF($Z$1:Z97,3)</f>
        <v>31</v>
      </c>
      <c r="M98">
        <f>COUNTIFS($Z$1:Z97,1,$C$1:C97,C98)</f>
        <v>16</v>
      </c>
      <c r="N98">
        <f>COUNTIFS($Z$1:Z97,2,$C$1:C97,C98)</f>
        <v>16</v>
      </c>
      <c r="O98">
        <f>COUNTIFS($Z$1:Z97,3,$C$1:C97,C98)</f>
        <v>15</v>
      </c>
      <c r="P98">
        <f>F98*COUNTIFS($Z$1:Z97,1,$F$1:F97,1)+G98*COUNTIFS($Z$1:Z97,1,$G$1:G97,1)+H98*COUNTIFS($Z$1:Z97,1,$H$1:H97,1)+I98*COUNTIFS($Z$1:Z97,1,$I$1:I97,1)</f>
        <v>0</v>
      </c>
      <c r="Q98">
        <f>F98*COUNTIFS($Z$1:Z97,2,$F$1:F97,1)+G98*COUNTIFS($Z$1:Z97,2,$G$1:G97,1)+H98*COUNTIFS($Z$1:Z97,2,$H$1:H97,1)+I98*COUNTIFS($Z$1:Z97,2,$I$1:I97,1)</f>
        <v>0</v>
      </c>
      <c r="R98">
        <f>F98*COUNTIFS($Z$1:Z97,3,$F$1:F97,1)+G98*COUNTIFS($Z$1:Z97,3,$G$1:G97,1)+H98*COUNTIFS($Z$1:Z97,3,$H$1:H97,1)+I98*COUNTIFS($Z$1:Z97,3,$I$1:I97,1)</f>
        <v>0</v>
      </c>
      <c r="S98">
        <f>IF(E98="",0,COUNTIFS($Z$1:Z97,1,$E$1:E97,E98))</f>
        <v>9</v>
      </c>
      <c r="T98">
        <f>IF(E98="",0,COUNTIFS($Z$1:Z97,2,$E$1:E97,E98))</f>
        <v>10</v>
      </c>
      <c r="U98">
        <f>IF(E98="",0,COUNTIFS($Z$1:Z97,3,$E$1:E97,E98))</f>
        <v>12</v>
      </c>
      <c r="V98">
        <f>SUMIF($Z$1:Z97,1,$D$1:D97)</f>
        <v>-0.58276662570908</v>
      </c>
      <c r="W98">
        <f>SUMIF($Z$1:Z97,2,$D$1:D97)</f>
        <v>0.56071907213697</v>
      </c>
      <c r="X98">
        <f>SUMIF($Z$1:Z97,3,$D$1:D97)</f>
        <v>-0.0982894162472515</v>
      </c>
      <c r="Y98">
        <f>IF(B98="",0,INDEX('①名簿入力'!$AL$4:$AL$153,B98))</f>
        <v>-0.761023906842273</v>
      </c>
      <c r="Z98">
        <f>IF(B98="","",MATCH(MIN(AA98:AC98),AA98:AC98,0))</f>
        <v>3</v>
      </c>
      <c r="AA98">
        <f>IF(B98="","",IF(J98&gt;=$AE$2,1E+15,M98*1E+10+P98*1E+8+ROUND(100*(D98*V98+$AF$5*Y98*AI98+$AF$4*S98),0)+1E+6))</f>
        <v>160001000183</v>
      </c>
      <c r="AB98">
        <f>IF(B98="","",IF(K98&gt;=$AF$2,1E+15,N98*1E+10+Q98*1E+8+ROUND(100*(D98*W98+$AF$5*Y98*AJ98+$AF$4*T98),0)+1E+6))</f>
        <v>160001000209</v>
      </c>
      <c r="AC98">
        <f>IF(B98="","",IF(L98&gt;=$AG$2,1E+15,O98*1E+10+R98*1E+8+ROUND(100*(D98*X98+$AF$5*Y98*AK98+$AF$4*U98),0)+1E+6))</f>
        <v>150001000291</v>
      </c>
      <c r="AI98">
        <f>SUMIFS($Y$1:Y97,$Z$1:Z97,1,$C$1:C97,C98)</f>
        <v>0.92478854502351</v>
      </c>
      <c r="AJ98">
        <f>SUMIFS($Y$1:Y97,$Z$1:Z97,2,$C$1:C97,C98)</f>
        <v>1.25231782138601</v>
      </c>
      <c r="AK98">
        <f>SUMIFS($Y$1:Y97,$Z$1:Z97,3,$C$1:C97,C98)</f>
        <v>0.211930708234546</v>
      </c>
    </row>
    <row r="99">
      <c r="A99" t="n">
        <v>98</v>
      </c>
      <c r="B99">
        <f>IFERROR(MATCH(A99,'①名簿入力'!$AF$4:$AF$153,0),"")</f>
        <v>65</v>
      </c>
      <c r="C99">
        <f>IF(B99="","",INDEX('①名簿入力'!$X$4:$X$153,B99))</f>
        <v>1</v>
      </c>
      <c r="D99">
        <f>IF(B99="","",(INDEX('①名簿入力'!$AD$4:$AD$153,B99)-'設定'!$C$37)/'設定'!$C$38)</f>
        <v>-0.111091221547179</v>
      </c>
      <c r="E99" t="str">
        <f>IF(B99="","",INDEX('①名簿入力'!$B$4:$B$153,B99)&amp;"")</f>
        <v>2</v>
      </c>
      <c r="F99">
        <f>IF(B99="",0,INDEX('①名簿入力'!$Y$4:$Y$153,B99))</f>
        <v>0</v>
      </c>
      <c r="G99">
        <f>IF(B99="",0,INDEX('①名簿入力'!$Z$4:$Z$153,B99))</f>
        <v>0</v>
      </c>
      <c r="H99">
        <f>IF(B99="",0,INDEX('①名簿入力'!$AA$4:$AA$153,B99))</f>
        <v>0</v>
      </c>
      <c r="I99">
        <f>IF(B99="",0,INDEX('①名簿入力'!$AB$4:$AB$153,B99))</f>
        <v>0</v>
      </c>
      <c r="J99">
        <f>COUNTIF($Z$1:Z98,1)</f>
        <v>32</v>
      </c>
      <c r="K99">
        <f>COUNTIF($Z$1:Z98,2)</f>
        <v>33</v>
      </c>
      <c r="L99">
        <f>COUNTIF($Z$1:Z98,3)</f>
        <v>32</v>
      </c>
      <c r="M99">
        <f>COUNTIFS($Z$1:Z98,1,$C$1:C98,C99)</f>
        <v>16</v>
      </c>
      <c r="N99">
        <f>COUNTIFS($Z$1:Z98,2,$C$1:C98,C99)</f>
        <v>17</v>
      </c>
      <c r="O99">
        <f>COUNTIFS($Z$1:Z98,3,$C$1:C98,C99)</f>
        <v>16</v>
      </c>
      <c r="P99">
        <f>F99*COUNTIFS($Z$1:Z98,1,$F$1:F98,1)+G99*COUNTIFS($Z$1:Z98,1,$G$1:G98,1)+H99*COUNTIFS($Z$1:Z98,1,$H$1:H98,1)+I99*COUNTIFS($Z$1:Z98,1,$I$1:I98,1)</f>
        <v>0</v>
      </c>
      <c r="Q99">
        <f>F99*COUNTIFS($Z$1:Z98,2,$F$1:F98,1)+G99*COUNTIFS($Z$1:Z98,2,$G$1:G98,1)+H99*COUNTIFS($Z$1:Z98,2,$H$1:H98,1)+I99*COUNTIFS($Z$1:Z98,2,$I$1:I98,1)</f>
        <v>0</v>
      </c>
      <c r="R99">
        <f>F99*COUNTIFS($Z$1:Z98,3,$F$1:F98,1)+G99*COUNTIFS($Z$1:Z98,3,$G$1:G98,1)+H99*COUNTIFS($Z$1:Z98,3,$H$1:H98,1)+I99*COUNTIFS($Z$1:Z98,3,$I$1:I98,1)</f>
        <v>0</v>
      </c>
      <c r="S99">
        <f>IF(E99="",0,COUNTIFS($Z$1:Z98,1,$E$1:E98,E99))</f>
        <v>12</v>
      </c>
      <c r="T99">
        <f>IF(E99="",0,COUNTIFS($Z$1:Z98,2,$E$1:E98,E99))</f>
        <v>12</v>
      </c>
      <c r="U99">
        <f>IF(E99="",0,COUNTIFS($Z$1:Z98,3,$E$1:E98,E99))</f>
        <v>10</v>
      </c>
      <c r="V99">
        <f>SUMIF($Z$1:Z98,1,$D$1:D98)</f>
        <v>-0.58276662570908</v>
      </c>
      <c r="W99">
        <f>SUMIF($Z$1:Z98,2,$D$1:D98)</f>
        <v>0.56071907213697</v>
      </c>
      <c r="X99">
        <f>SUMIF($Z$1:Z98,3,$D$1:D98)</f>
        <v>0.0146509549543615</v>
      </c>
      <c r="Y99">
        <f>IF(B99="",0,INDEX('①名簿入力'!$AL$4:$AL$153,B99))</f>
        <v>0.24866197884243</v>
      </c>
      <c r="Z99">
        <f>IF(B99="","",MATCH(MIN(AA99:AC99),AA99:AC99,0))</f>
        <v>3</v>
      </c>
      <c r="AA99">
        <f>IF(B99="","",IF(J99&gt;=$AE$2,1E+15,M99*1E+10+P99*1E+8+ROUND(100*(D99*V99+$AF$5*Y99*AI99+$AF$4*S99),0)+1E+6))</f>
        <v>160001000288</v>
      </c>
      <c r="AB99">
        <f>IF(B99="","",IF(K99&gt;=$AF$2,1E+15,N99*1E+10+Q99*1E+8+ROUND(100*(D99*W99+$AF$5*Y99*AJ99+$AF$4*T99),0)+1E+6))</f>
        <v>170001000295</v>
      </c>
      <c r="AC99">
        <f>IF(B99="","",IF(L99&gt;=$AG$2,1E+15,O99*1E+10+R99*1E+8+ROUND(100*(D99*X99+$AF$5*Y99*AK99+$AF$4*U99),0)+1E+6))</f>
        <v>160001000254</v>
      </c>
      <c r="AI99">
        <f>SUMIFS($Y$1:Y98,$Z$1:Z98,1,$C$1:C98,C99)</f>
        <v>-1.4835426534328</v>
      </c>
      <c r="AJ99">
        <f>SUMIFS($Y$1:Y98,$Z$1:Z98,2,$C$1:C98,C99)</f>
        <v>0.130652904137549</v>
      </c>
      <c r="AK99">
        <f>SUMIFS($Y$1:Y98,$Z$1:Z98,3,$C$1:C98,C99)</f>
        <v>0.337168784871095</v>
      </c>
    </row>
    <row r="100">
      <c r="A100" t="n">
        <v>99</v>
      </c>
      <c r="B100">
        <f>IFERROR(MATCH(A100,'①名簿入力'!$AF$4:$AF$153,0),"")</f>
        <v>3</v>
      </c>
      <c r="C100">
        <f>IF(B100="","",INDEX('①名簿入力'!$X$4:$X$153,B100))</f>
        <v>2</v>
      </c>
      <c r="D100">
        <f>IF(B100="","",(INDEX('①名簿入力'!$AD$4:$AD$153,B100)-'設定'!$C$37)/'設定'!$C$38)</f>
        <v>0.0681340526518545</v>
      </c>
      <c r="E100" t="str">
        <f>IF(B100="","",INDEX('①名簿入力'!$B$4:$B$153,B100)&amp;"")</f>
        <v>1</v>
      </c>
      <c r="F100">
        <f>IF(B100="",0,INDEX('①名簿入力'!$Y$4:$Y$153,B100))</f>
        <v>0</v>
      </c>
      <c r="G100">
        <f>IF(B100="",0,INDEX('①名簿入力'!$Z$4:$Z$153,B100))</f>
        <v>0</v>
      </c>
      <c r="H100">
        <f>IF(B100="",0,INDEX('①名簿入力'!$AA$4:$AA$153,B100))</f>
        <v>0</v>
      </c>
      <c r="I100">
        <f>IF(B100="",0,INDEX('①名簿入力'!$AB$4:$AB$153,B100))</f>
        <v>0</v>
      </c>
      <c r="J100">
        <f>COUNTIF($Z$1:Z99,1)</f>
        <v>32</v>
      </c>
      <c r="K100">
        <f>COUNTIF($Z$1:Z99,2)</f>
        <v>33</v>
      </c>
      <c r="L100">
        <f>COUNTIF($Z$1:Z99,3)</f>
        <v>33</v>
      </c>
      <c r="M100">
        <f>COUNTIFS($Z$1:Z99,1,$C$1:C99,C100)</f>
        <v>16</v>
      </c>
      <c r="N100">
        <f>COUNTIFS($Z$1:Z99,2,$C$1:C99,C100)</f>
        <v>16</v>
      </c>
      <c r="O100">
        <f>COUNTIFS($Z$1:Z99,3,$C$1:C99,C100)</f>
        <v>16</v>
      </c>
      <c r="P100">
        <f>F100*COUNTIFS($Z$1:Z99,1,$F$1:F99,1)+G100*COUNTIFS($Z$1:Z99,1,$G$1:G99,1)+H100*COUNTIFS($Z$1:Z99,1,$H$1:H99,1)+I100*COUNTIFS($Z$1:Z99,1,$I$1:I99,1)</f>
        <v>0</v>
      </c>
      <c r="Q100">
        <f>F100*COUNTIFS($Z$1:Z99,2,$F$1:F99,1)+G100*COUNTIFS($Z$1:Z99,2,$G$1:G99,1)+H100*COUNTIFS($Z$1:Z99,2,$H$1:H99,1)+I100*COUNTIFS($Z$1:Z99,2,$I$1:I99,1)</f>
        <v>0</v>
      </c>
      <c r="R100">
        <f>F100*COUNTIFS($Z$1:Z99,3,$F$1:F99,1)+G100*COUNTIFS($Z$1:Z99,3,$G$1:G99,1)+H100*COUNTIFS($Z$1:Z99,3,$H$1:H99,1)+I100*COUNTIFS($Z$1:Z99,3,$I$1:I99,1)</f>
        <v>0</v>
      </c>
      <c r="S100">
        <f>IF(E100="",0,COUNTIFS($Z$1:Z99,1,$E$1:E99,E100))</f>
        <v>11</v>
      </c>
      <c r="T100">
        <f>IF(E100="",0,COUNTIFS($Z$1:Z99,2,$E$1:E99,E100))</f>
        <v>11</v>
      </c>
      <c r="U100">
        <f>IF(E100="",0,COUNTIFS($Z$1:Z99,3,$E$1:E99,E100))</f>
        <v>9</v>
      </c>
      <c r="V100">
        <f>SUMIF($Z$1:Z99,1,$D$1:D99)</f>
        <v>-0.58276662570908</v>
      </c>
      <c r="W100">
        <f>SUMIF($Z$1:Z99,2,$D$1:D99)</f>
        <v>0.56071907213697</v>
      </c>
      <c r="X100">
        <f>SUMIF($Z$1:Z99,3,$D$1:D99)</f>
        <v>-0.0964402665928172</v>
      </c>
      <c r="Y100">
        <f>IF(B100="",0,INDEX('①名簿入力'!$AL$4:$AL$153,B100))</f>
        <v>-2.39867028865476</v>
      </c>
      <c r="Z100">
        <f>IF(B100="","",MATCH(MIN(AA100:AC100),AA100:AC100,0))</f>
        <v>2</v>
      </c>
      <c r="AA100">
        <f>IF(B100="","",IF(J100&gt;=$AE$2,1E+15,M100*1E+10+P100*1E+8+ROUND(100*(D100*V100+$AF$5*Y100*AI100+$AF$4*S100),0)+1E+6))</f>
        <v>160001000160</v>
      </c>
      <c r="AB100">
        <f>IF(B100="","",IF(K100&gt;=$AF$2,1E+15,N100*1E+10+Q100*1E+8+ROUND(100*(D100*W100+$AF$5*Y100*AJ100+$AF$4*T100),0)+1E+6))</f>
        <v>160001000129</v>
      </c>
      <c r="AC100">
        <f>IF(B100="","",IF(L100&gt;=$AG$2,1E+15,O100*1E+10+R100*1E+8+ROUND(100*(D100*X100+$AF$5*Y100*AK100+$AF$4*U100),0)+1E+6))</f>
        <v>160001000290</v>
      </c>
      <c r="AI100">
        <f>SUMIFS($Y$1:Y99,$Z$1:Z99,1,$C$1:C99,C100)</f>
        <v>0.92478854502351</v>
      </c>
      <c r="AJ100">
        <f>SUMIFS($Y$1:Y99,$Z$1:Z99,2,$C$1:C99,C100)</f>
        <v>1.25231782138601</v>
      </c>
      <c r="AK100">
        <f>SUMIFS($Y$1:Y99,$Z$1:Z99,3,$C$1:C99,C100)</f>
        <v>-0.549093198607727</v>
      </c>
    </row>
    <row r="101">
      <c r="A101" t="n">
        <v>100</v>
      </c>
      <c r="B101">
        <f>IFERROR(MATCH(A101,'①名簿入力'!$AF$4:$AF$153,0),"")</f>
        <v>30</v>
      </c>
      <c r="C101">
        <f>IF(B101="","",INDEX('①名簿入力'!$X$4:$X$153,B101))</f>
        <v>2</v>
      </c>
      <c r="D101">
        <f>IF(B101="","",(INDEX('①名簿入力'!$AD$4:$AD$153,B101)-'設定'!$C$37)/'設定'!$C$38)</f>
        <v>0.0681340526518545</v>
      </c>
      <c r="E101" t="str">
        <f>IF(B101="","",INDEX('①名簿入力'!$B$4:$B$153,B101)&amp;"")</f>
        <v>1</v>
      </c>
      <c r="F101">
        <f>IF(B101="",0,INDEX('①名簿入力'!$Y$4:$Y$153,B101))</f>
        <v>0</v>
      </c>
      <c r="G101">
        <f>IF(B101="",0,INDEX('①名簿入力'!$Z$4:$Z$153,B101))</f>
        <v>0</v>
      </c>
      <c r="H101">
        <f>IF(B101="",0,INDEX('①名簿入力'!$AA$4:$AA$153,B101))</f>
        <v>0</v>
      </c>
      <c r="I101">
        <f>IF(B101="",0,INDEX('①名簿入力'!$AB$4:$AB$153,B101))</f>
        <v>0</v>
      </c>
      <c r="J101">
        <f>COUNTIF($Z$1:Z100,1)</f>
        <v>32</v>
      </c>
      <c r="K101">
        <f>COUNTIF($Z$1:Z100,2)</f>
        <v>34</v>
      </c>
      <c r="L101">
        <f>COUNTIF($Z$1:Z100,3)</f>
        <v>33</v>
      </c>
      <c r="M101">
        <f>COUNTIFS($Z$1:Z100,1,$C$1:C100,C101)</f>
        <v>16</v>
      </c>
      <c r="N101">
        <f>COUNTIFS($Z$1:Z100,2,$C$1:C100,C101)</f>
        <v>17</v>
      </c>
      <c r="O101">
        <f>COUNTIFS($Z$1:Z100,3,$C$1:C100,C101)</f>
        <v>16</v>
      </c>
      <c r="P101">
        <f>F101*COUNTIFS($Z$1:Z100,1,$F$1:F100,1)+G101*COUNTIFS($Z$1:Z100,1,$G$1:G100,1)+H101*COUNTIFS($Z$1:Z100,1,$H$1:H100,1)+I101*COUNTIFS($Z$1:Z100,1,$I$1:I100,1)</f>
        <v>0</v>
      </c>
      <c r="Q101">
        <f>F101*COUNTIFS($Z$1:Z100,2,$F$1:F100,1)+G101*COUNTIFS($Z$1:Z100,2,$G$1:G100,1)+H101*COUNTIFS($Z$1:Z100,2,$H$1:H100,1)+I101*COUNTIFS($Z$1:Z100,2,$I$1:I100,1)</f>
        <v>0</v>
      </c>
      <c r="R101">
        <f>F101*COUNTIFS($Z$1:Z100,3,$F$1:F100,1)+G101*COUNTIFS($Z$1:Z100,3,$G$1:G100,1)+H101*COUNTIFS($Z$1:Z100,3,$H$1:H100,1)+I101*COUNTIFS($Z$1:Z100,3,$I$1:I100,1)</f>
        <v>0</v>
      </c>
      <c r="S101">
        <f>IF(E101="",0,COUNTIFS($Z$1:Z100,1,$E$1:E100,E101))</f>
        <v>11</v>
      </c>
      <c r="T101">
        <f>IF(E101="",0,COUNTIFS($Z$1:Z100,2,$E$1:E100,E101))</f>
        <v>12</v>
      </c>
      <c r="U101">
        <f>IF(E101="",0,COUNTIFS($Z$1:Z100,3,$E$1:E100,E101))</f>
        <v>9</v>
      </c>
      <c r="V101">
        <f>SUMIF($Z$1:Z100,1,$D$1:D100)</f>
        <v>-0.58276662570908</v>
      </c>
      <c r="W101">
        <f>SUMIF($Z$1:Z100,2,$D$1:D100)</f>
        <v>0.628853124788825</v>
      </c>
      <c r="X101">
        <f>SUMIF($Z$1:Z100,3,$D$1:D100)</f>
        <v>-0.0964402665928172</v>
      </c>
      <c r="Y101">
        <f>IF(B101="",0,INDEX('①名簿入力'!$AL$4:$AL$153,B101))</f>
        <v>-0.433494630479777</v>
      </c>
      <c r="Z101">
        <f>IF(B101="","",MATCH(MIN(AA101:AC101),AA101:AC101,0))</f>
        <v>3</v>
      </c>
      <c r="AA101">
        <f>IF(B101="","",IF(J101&gt;=$AE$2,1E+15,M101*1E+10+P101*1E+8+ROUND(100*(D101*V101+$AF$5*Y101*AI101+$AF$4*S101),0)+1E+6))</f>
        <v>160001000251</v>
      </c>
      <c r="AB101">
        <f>IF(B101="","",IF(K101&gt;=$AF$2,1E+15,N101*1E+10+Q101*1E+8+ROUND(100*(D101*W101+$AF$5*Y101*AJ101+$AF$4*T101),0)+1E+6))</f>
        <v>170001000329</v>
      </c>
      <c r="AC101">
        <f>IF(B101="","",IF(L101&gt;=$AG$2,1E+15,O101*1E+10+R101*1E+8+ROUND(100*(D101*X101+$AF$5*Y101*AK101+$AF$4*U101),0)+1E+6))</f>
        <v>160001000236</v>
      </c>
      <c r="AI101">
        <f>SUMIFS($Y$1:Y100,$Z$1:Z100,1,$C$1:C100,C101)</f>
        <v>0.92478854502351</v>
      </c>
      <c r="AJ101">
        <f>SUMIFS($Y$1:Y100,$Z$1:Z100,2,$C$1:C100,C101)</f>
        <v>-1.14635246726875</v>
      </c>
      <c r="AK101">
        <f>SUMIFS($Y$1:Y100,$Z$1:Z100,3,$C$1:C100,C101)</f>
        <v>-0.549093198607727</v>
      </c>
    </row>
    <row r="102">
      <c r="A102" t="n">
        <v>101</v>
      </c>
      <c r="B102">
        <f>IFERROR(MATCH(A102,'①名簿入力'!$AF$4:$AF$153,0),"")</f>
        <v>75</v>
      </c>
      <c r="C102">
        <f>IF(B102="","",INDEX('①名簿入力'!$X$4:$X$153,B102))</f>
        <v>1</v>
      </c>
      <c r="D102">
        <f>IF(B102="","",(INDEX('①名簿入力'!$AD$4:$AD$153,B102)-'設定'!$C$37)/'設定'!$C$38)</f>
        <v>0.0382631736186824</v>
      </c>
      <c r="E102" t="str">
        <f>IF(B102="","",INDEX('①名簿入力'!$B$4:$B$153,B102)&amp;"")</f>
        <v>3</v>
      </c>
      <c r="F102">
        <f>IF(B102="",0,INDEX('①名簿入力'!$Y$4:$Y$153,B102))</f>
        <v>0</v>
      </c>
      <c r="G102">
        <f>IF(B102="",0,INDEX('①名簿入力'!$Z$4:$Z$153,B102))</f>
        <v>0</v>
      </c>
      <c r="H102">
        <f>IF(B102="",0,INDEX('①名簿入力'!$AA$4:$AA$153,B102))</f>
        <v>0</v>
      </c>
      <c r="I102">
        <f>IF(B102="",0,INDEX('①名簿入力'!$AB$4:$AB$153,B102))</f>
        <v>0</v>
      </c>
      <c r="J102">
        <f>COUNTIF($Z$1:Z101,1)</f>
        <v>32</v>
      </c>
      <c r="K102">
        <f>COUNTIF($Z$1:Z101,2)</f>
        <v>34</v>
      </c>
      <c r="L102">
        <f>COUNTIF($Z$1:Z101,3)</f>
        <v>34</v>
      </c>
      <c r="M102">
        <f>COUNTIFS($Z$1:Z101,1,$C$1:C101,C102)</f>
        <v>16</v>
      </c>
      <c r="N102">
        <f>COUNTIFS($Z$1:Z101,2,$C$1:C101,C102)</f>
        <v>17</v>
      </c>
      <c r="O102">
        <f>COUNTIFS($Z$1:Z101,3,$C$1:C101,C102)</f>
        <v>17</v>
      </c>
      <c r="P102">
        <f>F102*COUNTIFS($Z$1:Z101,1,$F$1:F101,1)+G102*COUNTIFS($Z$1:Z101,1,$G$1:G101,1)+H102*COUNTIFS($Z$1:Z101,1,$H$1:H101,1)+I102*COUNTIFS($Z$1:Z101,1,$I$1:I101,1)</f>
        <v>0</v>
      </c>
      <c r="Q102">
        <f>F102*COUNTIFS($Z$1:Z101,2,$F$1:F101,1)+G102*COUNTIFS($Z$1:Z101,2,$G$1:G101,1)+H102*COUNTIFS($Z$1:Z101,2,$H$1:H101,1)+I102*COUNTIFS($Z$1:Z101,2,$I$1:I101,1)</f>
        <v>0</v>
      </c>
      <c r="R102">
        <f>F102*COUNTIFS($Z$1:Z101,3,$F$1:F101,1)+G102*COUNTIFS($Z$1:Z101,3,$G$1:G101,1)+H102*COUNTIFS($Z$1:Z101,3,$H$1:H101,1)+I102*COUNTIFS($Z$1:Z101,3,$I$1:I101,1)</f>
        <v>0</v>
      </c>
      <c r="S102">
        <f>IF(E102="",0,COUNTIFS($Z$1:Z101,1,$E$1:E101,E102))</f>
        <v>9</v>
      </c>
      <c r="T102">
        <f>IF(E102="",0,COUNTIFS($Z$1:Z101,2,$E$1:E101,E102))</f>
        <v>10</v>
      </c>
      <c r="U102">
        <f>IF(E102="",0,COUNTIFS($Z$1:Z101,3,$E$1:E101,E102))</f>
        <v>13</v>
      </c>
      <c r="V102">
        <f>SUMIF($Z$1:Z101,1,$D$1:D101)</f>
        <v>-0.58276662570908</v>
      </c>
      <c r="W102">
        <f>SUMIF($Z$1:Z101,2,$D$1:D101)</f>
        <v>0.628853124788825</v>
      </c>
      <c r="X102">
        <f>SUMIF($Z$1:Z101,3,$D$1:D101)</f>
        <v>-0.0283062139409626</v>
      </c>
      <c r="Y102">
        <f>IF(B102="",0,INDEX('①名簿入力'!$AL$4:$AL$153,B102))</f>
        <v>-0.206515880733544</v>
      </c>
      <c r="Z102">
        <f>IF(B102="","",MATCH(MIN(AA102:AC102),AA102:AC102,0))</f>
        <v>1</v>
      </c>
      <c r="AA102">
        <f>IF(B102="","",IF(J102&gt;=$AE$2,1E+15,M102*1E+10+P102*1E+8+ROUND(100*(D102*V102+$AF$5*Y102*AI102+$AF$4*S102),0)+1E+6))</f>
        <v>160001000238</v>
      </c>
      <c r="AB102">
        <f>IF(B102="","",IF(K102&gt;=$AF$2,1E+15,N102*1E+10+Q102*1E+8+ROUND(100*(D102*W102+$AF$5*Y102*AJ102+$AF$4*T102),0)+1E+6))</f>
        <v>170001000251</v>
      </c>
      <c r="AC102">
        <f>IF(B102="","",IF(L102&gt;=$AG$2,1E+15,O102*1E+10+R102*1E+8+ROUND(100*(D102*X102+$AF$5*Y102*AK102+$AF$4*U102),0)+1E+6))</f>
        <v>170001000319</v>
      </c>
      <c r="AI102">
        <f>SUMIFS($Y$1:Y101,$Z$1:Z101,1,$C$1:C101,C102)</f>
        <v>-1.4835426534328</v>
      </c>
      <c r="AJ102">
        <f>SUMIFS($Y$1:Y101,$Z$1:Z101,2,$C$1:C101,C102)</f>
        <v>0.130652904137549</v>
      </c>
      <c r="AK102">
        <f>SUMIFS($Y$1:Y101,$Z$1:Z101,3,$C$1:C101,C102)</f>
        <v>0.585830763713525</v>
      </c>
    </row>
    <row r="103">
      <c r="A103" t="n">
        <v>102</v>
      </c>
      <c r="B103">
        <f>IFERROR(MATCH(A103,'①名簿入力'!$AF$4:$AF$153,0),"")</f>
        <v>90</v>
      </c>
      <c r="C103">
        <f>IF(B103="","",INDEX('①名簿入力'!$X$4:$X$153,B103))</f>
        <v>1</v>
      </c>
      <c r="D103">
        <f>IF(B103="","",(INDEX('①名簿入力'!$AD$4:$AD$153,B103)-'設定'!$C$37)/'設定'!$C$38)</f>
        <v>-0.0364140239642481</v>
      </c>
      <c r="E103" t="str">
        <f>IF(B103="","",INDEX('①名簿入力'!$B$4:$B$153,B103)&amp;"")</f>
        <v>3</v>
      </c>
      <c r="F103">
        <f>IF(B103="",0,INDEX('①名簿入力'!$Y$4:$Y$153,B103))</f>
        <v>0</v>
      </c>
      <c r="G103">
        <f>IF(B103="",0,INDEX('①名簿入力'!$Z$4:$Z$153,B103))</f>
        <v>0</v>
      </c>
      <c r="H103">
        <f>IF(B103="",0,INDEX('①名簿入力'!$AA$4:$AA$153,B103))</f>
        <v>0</v>
      </c>
      <c r="I103">
        <f>IF(B103="",0,INDEX('①名簿入力'!$AB$4:$AB$153,B103))</f>
        <v>0</v>
      </c>
      <c r="J103">
        <f>COUNTIF($Z$1:Z102,1)</f>
        <v>33</v>
      </c>
      <c r="K103">
        <f>COUNTIF($Z$1:Z102,2)</f>
        <v>34</v>
      </c>
      <c r="L103">
        <f>COUNTIF($Z$1:Z102,3)</f>
        <v>34</v>
      </c>
      <c r="M103">
        <f>COUNTIFS($Z$1:Z102,1,$C$1:C102,C103)</f>
        <v>17</v>
      </c>
      <c r="N103">
        <f>COUNTIFS($Z$1:Z102,2,$C$1:C102,C103)</f>
        <v>17</v>
      </c>
      <c r="O103">
        <f>COUNTIFS($Z$1:Z102,3,$C$1:C102,C103)</f>
        <v>17</v>
      </c>
      <c r="P103">
        <f>F103*COUNTIFS($Z$1:Z102,1,$F$1:F102,1)+G103*COUNTIFS($Z$1:Z102,1,$G$1:G102,1)+H103*COUNTIFS($Z$1:Z102,1,$H$1:H102,1)+I103*COUNTIFS($Z$1:Z102,1,$I$1:I102,1)</f>
        <v>0</v>
      </c>
      <c r="Q103">
        <f>F103*COUNTIFS($Z$1:Z102,2,$F$1:F102,1)+G103*COUNTIFS($Z$1:Z102,2,$G$1:G102,1)+H103*COUNTIFS($Z$1:Z102,2,$H$1:H102,1)+I103*COUNTIFS($Z$1:Z102,2,$I$1:I102,1)</f>
        <v>0</v>
      </c>
      <c r="R103">
        <f>F103*COUNTIFS($Z$1:Z102,3,$F$1:F102,1)+G103*COUNTIFS($Z$1:Z102,3,$G$1:G102,1)+H103*COUNTIFS($Z$1:Z102,3,$H$1:H102,1)+I103*COUNTIFS($Z$1:Z102,3,$I$1:I102,1)</f>
        <v>0</v>
      </c>
      <c r="S103">
        <f>IF(E103="",0,COUNTIFS($Z$1:Z102,1,$E$1:E102,E103))</f>
        <v>10</v>
      </c>
      <c r="T103">
        <f>IF(E103="",0,COUNTIFS($Z$1:Z102,2,$E$1:E102,E103))</f>
        <v>10</v>
      </c>
      <c r="U103">
        <f>IF(E103="",0,COUNTIFS($Z$1:Z102,3,$E$1:E102,E103))</f>
        <v>13</v>
      </c>
      <c r="V103">
        <f>SUMIF($Z$1:Z102,1,$D$1:D102)</f>
        <v>-0.544503452090398</v>
      </c>
      <c r="W103">
        <f>SUMIF($Z$1:Z102,2,$D$1:D102)</f>
        <v>0.628853124788825</v>
      </c>
      <c r="X103">
        <f>SUMIF($Z$1:Z102,3,$D$1:D102)</f>
        <v>-0.0283062139409626</v>
      </c>
      <c r="Y103">
        <f>IF(B103="",0,INDEX('①名簿入力'!$AL$4:$AL$153,B103))</f>
        <v>-1.11687159988549</v>
      </c>
      <c r="Z103">
        <f>IF(B103="","",MATCH(MIN(AA103:AC103),AA103:AC103,0))</f>
        <v>2</v>
      </c>
      <c r="AA103">
        <f>IF(B103="","",IF(J103&gt;=$AE$2,1E+15,M103*1E+10+P103*1E+8+ROUND(100*(D103*V103+$AF$5*Y103*AI103+$AF$4*S103),0)+1E+6))</f>
        <v>170001000346</v>
      </c>
      <c r="AB103">
        <f>IF(B103="","",IF(K103&gt;=$AF$2,1E+15,N103*1E+10+Q103*1E+8+ROUND(100*(D103*W103+$AF$5*Y103*AJ103+$AF$4*T103),0)+1E+6))</f>
        <v>170001000240</v>
      </c>
      <c r="AC103">
        <f>IF(B103="","",IF(L103&gt;=$AG$2,1E+15,O103*1E+10+R103*1E+8+ROUND(100*(D103*X103+$AF$5*Y103*AK103+$AF$4*U103),0)+1E+6))</f>
        <v>170001000292</v>
      </c>
      <c r="AI103">
        <f>SUMIFS($Y$1:Y102,$Z$1:Z102,1,$C$1:C102,C103)</f>
        <v>-1.69005853416634</v>
      </c>
      <c r="AJ103">
        <f>SUMIFS($Y$1:Y102,$Z$1:Z102,2,$C$1:C102,C103)</f>
        <v>0.130652904137549</v>
      </c>
      <c r="AK103">
        <f>SUMIFS($Y$1:Y102,$Z$1:Z102,3,$C$1:C102,C103)</f>
        <v>0.585830763713525</v>
      </c>
    </row>
    <row r="104">
      <c r="A104" t="n">
        <v>103</v>
      </c>
      <c r="B104">
        <f>IFERROR(MATCH(A104,'①名簿入力'!$AF$4:$AF$153,0),"")</f>
        <v>98</v>
      </c>
      <c r="C104">
        <f>IF(B104="","",INDEX('①名簿入力'!$X$4:$X$153,B104))</f>
        <v>1</v>
      </c>
      <c r="D104">
        <f>IF(B104="","",(INDEX('①名簿入力'!$AD$4:$AD$153,B104)-'設定'!$C$37)/'設定'!$C$38)</f>
        <v>0.0233277341020961</v>
      </c>
      <c r="E104" t="str">
        <f>IF(B104="","",INDEX('①名簿入力'!$B$4:$B$153,B104)&amp;"")</f>
        <v>3</v>
      </c>
      <c r="F104">
        <f>IF(B104="",0,INDEX('①名簿入力'!$Y$4:$Y$153,B104))</f>
        <v>0</v>
      </c>
      <c r="G104">
        <f>IF(B104="",0,INDEX('①名簿入力'!$Z$4:$Z$153,B104))</f>
        <v>0</v>
      </c>
      <c r="H104">
        <f>IF(B104="",0,INDEX('①名簿入力'!$AA$4:$AA$153,B104))</f>
        <v>0</v>
      </c>
      <c r="I104">
        <f>IF(B104="",0,INDEX('①名簿入力'!$AB$4:$AB$153,B104))</f>
        <v>0</v>
      </c>
      <c r="J104">
        <f>COUNTIF($Z$1:Z103,1)</f>
        <v>33</v>
      </c>
      <c r="K104">
        <f>COUNTIF($Z$1:Z103,2)</f>
        <v>35</v>
      </c>
      <c r="L104">
        <f>COUNTIF($Z$1:Z103,3)</f>
        <v>34</v>
      </c>
      <c r="M104">
        <f>COUNTIFS($Z$1:Z103,1,$C$1:C103,C104)</f>
        <v>17</v>
      </c>
      <c r="N104">
        <f>COUNTIFS($Z$1:Z103,2,$C$1:C103,C104)</f>
        <v>18</v>
      </c>
      <c r="O104">
        <f>COUNTIFS($Z$1:Z103,3,$C$1:C103,C104)</f>
        <v>17</v>
      </c>
      <c r="P104">
        <f>F104*COUNTIFS($Z$1:Z103,1,$F$1:F103,1)+G104*COUNTIFS($Z$1:Z103,1,$G$1:G103,1)+H104*COUNTIFS($Z$1:Z103,1,$H$1:H103,1)+I104*COUNTIFS($Z$1:Z103,1,$I$1:I103,1)</f>
        <v>0</v>
      </c>
      <c r="Q104">
        <f>F104*COUNTIFS($Z$1:Z103,2,$F$1:F103,1)+G104*COUNTIFS($Z$1:Z103,2,$G$1:G103,1)+H104*COUNTIFS($Z$1:Z103,2,$H$1:H103,1)+I104*COUNTIFS($Z$1:Z103,2,$I$1:I103,1)</f>
        <v>0</v>
      </c>
      <c r="R104">
        <f>F104*COUNTIFS($Z$1:Z103,3,$F$1:F103,1)+G104*COUNTIFS($Z$1:Z103,3,$G$1:G103,1)+H104*COUNTIFS($Z$1:Z103,3,$H$1:H103,1)+I104*COUNTIFS($Z$1:Z103,3,$I$1:I103,1)</f>
        <v>0</v>
      </c>
      <c r="S104">
        <f>IF(E104="",0,COUNTIFS($Z$1:Z103,1,$E$1:E103,E104))</f>
        <v>10</v>
      </c>
      <c r="T104">
        <f>IF(E104="",0,COUNTIFS($Z$1:Z103,2,$E$1:E103,E104))</f>
        <v>11</v>
      </c>
      <c r="U104">
        <f>IF(E104="",0,COUNTIFS($Z$1:Z103,3,$E$1:E103,E104))</f>
        <v>13</v>
      </c>
      <c r="V104">
        <f>SUMIF($Z$1:Z103,1,$D$1:D103)</f>
        <v>-0.544503452090398</v>
      </c>
      <c r="W104">
        <f>SUMIF($Z$1:Z103,2,$D$1:D103)</f>
        <v>0.592439100824577</v>
      </c>
      <c r="X104">
        <f>SUMIF($Z$1:Z103,3,$D$1:D103)</f>
        <v>-0.0283062139409626</v>
      </c>
      <c r="Y104">
        <f>IF(B104="",0,INDEX('①名簿入力'!$AL$4:$AL$153,B104))</f>
        <v>1.38660662778237</v>
      </c>
      <c r="Z104">
        <f>IF(B104="","",MATCH(MIN(AA104:AC104),AA104:AC104,0))</f>
        <v>1</v>
      </c>
      <c r="AA104">
        <f>IF(B104="","",IF(J104&gt;=$AE$2,1E+15,M104*1E+10+P104*1E+8+ROUND(100*(D104*V104+$AF$5*Y104*AI104+$AF$4*S104),0)+1E+6))</f>
        <v>170001000132</v>
      </c>
      <c r="AB104">
        <f>IF(B104="","",IF(K104&gt;=$AF$2,1E+15,N104*1E+10+Q104*1E+8+ROUND(100*(D104*W104+$AF$5*Y104*AJ104+$AF$4*T104),0)+1E+6))</f>
        <v>1000000000000000</v>
      </c>
      <c r="AC104">
        <f>IF(B104="","",IF(L104&gt;=$AG$2,1E+15,O104*1E+10+R104*1E+8+ROUND(100*(D104*X104+$AF$5*Y104*AK104+$AF$4*U104),0)+1E+6))</f>
        <v>170001000366</v>
      </c>
      <c r="AI104">
        <f>SUMIFS($Y$1:Y103,$Z$1:Z103,1,$C$1:C103,C104)</f>
        <v>-1.69005853416634</v>
      </c>
      <c r="AJ104">
        <f>SUMIFS($Y$1:Y103,$Z$1:Z103,2,$C$1:C103,C104)</f>
        <v>-0.986218695747941</v>
      </c>
      <c r="AK104">
        <f>SUMIFS($Y$1:Y103,$Z$1:Z103,3,$C$1:C103,C104)</f>
        <v>0.585830763713525</v>
      </c>
    </row>
    <row r="105">
      <c r="A105" t="n">
        <v>104</v>
      </c>
      <c r="B105">
        <f>IFERROR(MATCH(A105,'①名簿入力'!$AF$4:$AF$153,0),"")</f>
        <v>9</v>
      </c>
      <c r="C105">
        <f>IF(B105="","",INDEX('①名簿入力'!$X$4:$X$153,B105))</f>
        <v>1</v>
      </c>
      <c r="D105">
        <f>IF(B105="","",(INDEX('①名簿入力'!$AD$4:$AD$153,B105)-'設定'!$C$37)/'設定'!$C$38)</f>
        <v>-0.0214785844476618</v>
      </c>
      <c r="E105" t="str">
        <f>IF(B105="","",INDEX('①名簿入力'!$B$4:$B$153,B105)&amp;"")</f>
        <v>1</v>
      </c>
      <c r="F105">
        <f>IF(B105="",0,INDEX('①名簿入力'!$Y$4:$Y$153,B105))</f>
        <v>0</v>
      </c>
      <c r="G105">
        <f>IF(B105="",0,INDEX('①名簿入力'!$Z$4:$Z$153,B105))</f>
        <v>0</v>
      </c>
      <c r="H105">
        <f>IF(B105="",0,INDEX('①名簿入力'!$AA$4:$AA$153,B105))</f>
        <v>0</v>
      </c>
      <c r="I105">
        <f>IF(B105="",0,INDEX('①名簿入力'!$AB$4:$AB$153,B105))</f>
        <v>0</v>
      </c>
      <c r="J105">
        <f>COUNTIF($Z$1:Z104,1)</f>
        <v>34</v>
      </c>
      <c r="K105">
        <f>COUNTIF($Z$1:Z104,2)</f>
        <v>35</v>
      </c>
      <c r="L105">
        <f>COUNTIF($Z$1:Z104,3)</f>
        <v>34</v>
      </c>
      <c r="M105">
        <f>COUNTIFS($Z$1:Z104,1,$C$1:C104,C105)</f>
        <v>18</v>
      </c>
      <c r="N105">
        <f>COUNTIFS($Z$1:Z104,2,$C$1:C104,C105)</f>
        <v>18</v>
      </c>
      <c r="O105">
        <f>COUNTIFS($Z$1:Z104,3,$C$1:C104,C105)</f>
        <v>17</v>
      </c>
      <c r="P105">
        <f>F105*COUNTIFS($Z$1:Z104,1,$F$1:F104,1)+G105*COUNTIFS($Z$1:Z104,1,$G$1:G104,1)+H105*COUNTIFS($Z$1:Z104,1,$H$1:H104,1)+I105*COUNTIFS($Z$1:Z104,1,$I$1:I104,1)</f>
        <v>0</v>
      </c>
      <c r="Q105">
        <f>F105*COUNTIFS($Z$1:Z104,2,$F$1:F104,1)+G105*COUNTIFS($Z$1:Z104,2,$G$1:G104,1)+H105*COUNTIFS($Z$1:Z104,2,$H$1:H104,1)+I105*COUNTIFS($Z$1:Z104,2,$I$1:I104,1)</f>
        <v>0</v>
      </c>
      <c r="R105">
        <f>F105*COUNTIFS($Z$1:Z104,3,$F$1:F104,1)+G105*COUNTIFS($Z$1:Z104,3,$G$1:G104,1)+H105*COUNTIFS($Z$1:Z104,3,$H$1:H104,1)+I105*COUNTIFS($Z$1:Z104,3,$I$1:I104,1)</f>
        <v>0</v>
      </c>
      <c r="S105">
        <f>IF(E105="",0,COUNTIFS($Z$1:Z104,1,$E$1:E104,E105))</f>
        <v>11</v>
      </c>
      <c r="T105">
        <f>IF(E105="",0,COUNTIFS($Z$1:Z104,2,$E$1:E104,E105))</f>
        <v>12</v>
      </c>
      <c r="U105">
        <f>IF(E105="",0,COUNTIFS($Z$1:Z104,3,$E$1:E104,E105))</f>
        <v>10</v>
      </c>
      <c r="V105">
        <f>SUMIF($Z$1:Z104,1,$D$1:D104)</f>
        <v>-0.521175717988301</v>
      </c>
      <c r="W105">
        <f>SUMIF($Z$1:Z104,2,$D$1:D104)</f>
        <v>0.592439100824577</v>
      </c>
      <c r="X105">
        <f>SUMIF($Z$1:Z104,3,$D$1:D104)</f>
        <v>-0.0283062139409626</v>
      </c>
      <c r="Y105">
        <f>IF(B105="",0,INDEX('①名簿入力'!$AL$4:$AL$153,B105))</f>
        <v>0.703839838418404</v>
      </c>
      <c r="Z105">
        <f>IF(B105="","",MATCH(MIN(AA105:AC105),AA105:AC105,0))</f>
        <v>3</v>
      </c>
      <c r="AA105">
        <f>IF(B105="","",IF(J105&gt;=$AE$2,1E+15,M105*1E+10+P105*1E+8+ROUND(100*(D105*V105+$AF$5*Y105*AI105+$AF$4*S105),0)+1E+6))</f>
        <v>180001000265</v>
      </c>
      <c r="AB105">
        <f>IF(B105="","",IF(K105&gt;=$AF$2,1E+15,N105*1E+10+Q105*1E+8+ROUND(100*(D105*W105+$AF$5*Y105*AJ105+$AF$4*T105),0)+1E+6))</f>
        <v>1000000000000000</v>
      </c>
      <c r="AC105">
        <f>IF(B105="","",IF(L105&gt;=$AG$2,1E+15,O105*1E+10+R105*1E+8+ROUND(100*(D105*X105+$AF$5*Y105*AK105+$AF$4*U105),0)+1E+6))</f>
        <v>170001000271</v>
      </c>
      <c r="AI105">
        <f>SUMIFS($Y$1:Y104,$Z$1:Z104,1,$C$1:C104,C105)</f>
        <v>-0.303451906383977</v>
      </c>
      <c r="AJ105">
        <f>SUMIFS($Y$1:Y104,$Z$1:Z104,2,$C$1:C104,C105)</f>
        <v>-0.986218695747941</v>
      </c>
      <c r="AK105">
        <f>SUMIFS($Y$1:Y104,$Z$1:Z104,3,$C$1:C104,C105)</f>
        <v>0.585830763713525</v>
      </c>
    </row>
    <row r="106">
      <c r="A106" t="n">
        <v>105</v>
      </c>
      <c r="B106">
        <f>IFERROR(MATCH(A106,'①名簿入力'!$AF$4:$AF$153,0),"")</f>
        <v>31</v>
      </c>
      <c r="C106">
        <f>IF(B106="","",INDEX('①名簿入力'!$X$4:$X$153,B106))</f>
        <v>2</v>
      </c>
      <c r="D106">
        <f>IF(B106="","",(INDEX('①名簿入力'!$AD$4:$AD$153,B106)-'設定'!$C$37)/'設定'!$C$38)</f>
        <v>-0.0214785844476618</v>
      </c>
      <c r="E106" t="str">
        <f>IF(B106="","",INDEX('①名簿入力'!$B$4:$B$153,B106)&amp;"")</f>
        <v>1</v>
      </c>
      <c r="F106">
        <f>IF(B106="",0,INDEX('①名簿入力'!$Y$4:$Y$153,B106))</f>
        <v>0</v>
      </c>
      <c r="G106">
        <f>IF(B106="",0,INDEX('①名簿入力'!$Z$4:$Z$153,B106))</f>
        <v>0</v>
      </c>
      <c r="H106">
        <f>IF(B106="",0,INDEX('①名簿入力'!$AA$4:$AA$153,B106))</f>
        <v>0</v>
      </c>
      <c r="I106">
        <f>IF(B106="",0,INDEX('①名簿入力'!$AB$4:$AB$153,B106))</f>
        <v>0</v>
      </c>
      <c r="J106">
        <f>COUNTIF($Z$1:Z105,1)</f>
        <v>34</v>
      </c>
      <c r="K106">
        <f>COUNTIF($Z$1:Z105,2)</f>
        <v>35</v>
      </c>
      <c r="L106">
        <f>COUNTIF($Z$1:Z105,3)</f>
        <v>35</v>
      </c>
      <c r="M106">
        <f>COUNTIFS($Z$1:Z105,1,$C$1:C105,C106)</f>
        <v>16</v>
      </c>
      <c r="N106">
        <f>COUNTIFS($Z$1:Z105,2,$C$1:C105,C106)</f>
        <v>17</v>
      </c>
      <c r="O106">
        <f>COUNTIFS($Z$1:Z105,3,$C$1:C105,C106)</f>
        <v>17</v>
      </c>
      <c r="P106">
        <f>F106*COUNTIFS($Z$1:Z105,1,$F$1:F105,1)+G106*COUNTIFS($Z$1:Z105,1,$G$1:G105,1)+H106*COUNTIFS($Z$1:Z105,1,$H$1:H105,1)+I106*COUNTIFS($Z$1:Z105,1,$I$1:I105,1)</f>
        <v>0</v>
      </c>
      <c r="Q106">
        <f>F106*COUNTIFS($Z$1:Z105,2,$F$1:F105,1)+G106*COUNTIFS($Z$1:Z105,2,$G$1:G105,1)+H106*COUNTIFS($Z$1:Z105,2,$H$1:H105,1)+I106*COUNTIFS($Z$1:Z105,2,$I$1:I105,1)</f>
        <v>0</v>
      </c>
      <c r="R106">
        <f>F106*COUNTIFS($Z$1:Z105,3,$F$1:F105,1)+G106*COUNTIFS($Z$1:Z105,3,$G$1:G105,1)+H106*COUNTIFS($Z$1:Z105,3,$H$1:H105,1)+I106*COUNTIFS($Z$1:Z105,3,$I$1:I105,1)</f>
        <v>0</v>
      </c>
      <c r="S106">
        <f>IF(E106="",0,COUNTIFS($Z$1:Z105,1,$E$1:E105,E106))</f>
        <v>11</v>
      </c>
      <c r="T106">
        <f>IF(E106="",0,COUNTIFS($Z$1:Z105,2,$E$1:E105,E106))</f>
        <v>12</v>
      </c>
      <c r="U106">
        <f>IF(E106="",0,COUNTIFS($Z$1:Z105,3,$E$1:E105,E106))</f>
        <v>11</v>
      </c>
      <c r="V106">
        <f>SUMIF($Z$1:Z105,1,$D$1:D105)</f>
        <v>-0.521175717988301</v>
      </c>
      <c r="W106">
        <f>SUMIF($Z$1:Z105,2,$D$1:D105)</f>
        <v>0.592439100824577</v>
      </c>
      <c r="X106">
        <f>SUMIF($Z$1:Z105,3,$D$1:D105)</f>
        <v>-0.0497847983886244</v>
      </c>
      <c r="Y106">
        <f>IF(B106="",0,INDEX('①名簿入力'!$AL$4:$AL$153,B106))</f>
        <v>1.20415175133271</v>
      </c>
      <c r="Z106">
        <f>IF(B106="","",MATCH(MIN(AA106:AC106),AA106:AC106,0))</f>
        <v>1</v>
      </c>
      <c r="AA106">
        <f>IF(B106="","",IF(J106&gt;=$AE$2,1E+15,M106*1E+10+P106*1E+8+ROUND(100*(D106*V106+$AF$5*Y106*AI106+$AF$4*S106),0)+1E+6))</f>
        <v>160001000332</v>
      </c>
      <c r="AB106">
        <f>IF(B106="","",IF(K106&gt;=$AF$2,1E+15,N106*1E+10+Q106*1E+8+ROUND(100*(D106*W106+$AF$5*Y106*AJ106+$AF$4*T106),0)+1E+6))</f>
        <v>1000000000000000</v>
      </c>
      <c r="AC106">
        <f>IF(B106="","",IF(L106&gt;=$AG$2,1E+15,O106*1E+10+R106*1E+8+ROUND(100*(D106*X106+$AF$5*Y106*AK106+$AF$4*U106),0)+1E+6))</f>
        <v>1000000000000000</v>
      </c>
      <c r="AI106">
        <f>SUMIFS($Y$1:Y105,$Z$1:Z105,1,$C$1:C105,C106)</f>
        <v>0.92478854502351</v>
      </c>
      <c r="AJ106">
        <f>SUMIFS($Y$1:Y105,$Z$1:Z105,2,$C$1:C105,C106)</f>
        <v>-1.14635246726875</v>
      </c>
      <c r="AK106">
        <f>SUMIFS($Y$1:Y105,$Z$1:Z105,3,$C$1:C105,C106)</f>
        <v>-0.982587829087504</v>
      </c>
    </row>
    <row r="107">
      <c r="A107" t="n">
        <v>106</v>
      </c>
      <c r="B107" t="str">
        <f>IFERROR(MATCH(A107,'①名簿入力'!$AF$4:$AF$153,0),"")</f>
        <v/>
      </c>
      <c r="C107" t="str">
        <f>IF(B107="","",INDEX('①名簿入力'!$X$4:$X$153,B107))</f>
        <v/>
      </c>
      <c r="D107" t="str">
        <f>IF(B107="","",(INDEX('①名簿入力'!$AD$4:$AD$153,B107)-'設定'!$C$37)/'設定'!$C$38)</f>
        <v/>
      </c>
      <c r="E107" t="str">
        <f>IF(B107="","",INDEX('①名簿入力'!$B$4:$B$153,B107)&amp;"")</f>
        <v/>
      </c>
      <c r="F107">
        <f>IF(B107="",0,INDEX('①名簿入力'!$Y$4:$Y$153,B107))</f>
        <v>0</v>
      </c>
      <c r="G107">
        <f>IF(B107="",0,INDEX('①名簿入力'!$Z$4:$Z$153,B107))</f>
        <v>0</v>
      </c>
      <c r="H107">
        <f>IF(B107="",0,INDEX('①名簿入力'!$AA$4:$AA$153,B107))</f>
        <v>0</v>
      </c>
      <c r="I107">
        <f>IF(B107="",0,INDEX('①名簿入力'!$AB$4:$AB$153,B107))</f>
        <v>0</v>
      </c>
      <c r="J107">
        <f>COUNTIF($Z$1:Z106,1)</f>
        <v>35</v>
      </c>
      <c r="K107">
        <f>COUNTIF($Z$1:Z106,2)</f>
        <v>35</v>
      </c>
      <c r="L107">
        <f>COUNTIF($Z$1:Z106,3)</f>
        <v>35</v>
      </c>
      <c r="M107">
        <f>COUNTIFS($Z$1:Z106,1,$C$1:C106,C107)</f>
        <v>0</v>
      </c>
      <c r="N107">
        <f>COUNTIFS($Z$1:Z106,2,$C$1:C106,C107)</f>
        <v>0</v>
      </c>
      <c r="O107">
        <f>COUNTIFS($Z$1:Z106,3,$C$1:C106,C107)</f>
        <v>0</v>
      </c>
      <c r="P107">
        <f>F107*COUNTIFS($Z$1:Z106,1,$F$1:F106,1)+G107*COUNTIFS($Z$1:Z106,1,$G$1:G106,1)+H107*COUNTIFS($Z$1:Z106,1,$H$1:H106,1)+I107*COUNTIFS($Z$1:Z106,1,$I$1:I106,1)</f>
        <v>0</v>
      </c>
      <c r="Q107">
        <f>F107*COUNTIFS($Z$1:Z106,2,$F$1:F106,1)+G107*COUNTIFS($Z$1:Z106,2,$G$1:G106,1)+H107*COUNTIFS($Z$1:Z106,2,$H$1:H106,1)+I107*COUNTIFS($Z$1:Z106,2,$I$1:I106,1)</f>
        <v>0</v>
      </c>
      <c r="R107">
        <f>F107*COUNTIFS($Z$1:Z106,3,$F$1:F106,1)+G107*COUNTIFS($Z$1:Z106,3,$G$1:G106,1)+H107*COUNTIFS($Z$1:Z106,3,$H$1:H106,1)+I107*COUNTIFS($Z$1:Z106,3,$I$1:I106,1)</f>
        <v>0</v>
      </c>
      <c r="S107">
        <f>IF(E107="",0,COUNTIFS($Z$1:Z106,1,$E$1:E106,E107))</f>
        <v>0</v>
      </c>
      <c r="T107">
        <f>IF(E107="",0,COUNTIFS($Z$1:Z106,2,$E$1:E106,E107))</f>
        <v>0</v>
      </c>
      <c r="U107">
        <f>IF(E107="",0,COUNTIFS($Z$1:Z106,3,$E$1:E106,E107))</f>
        <v>0</v>
      </c>
      <c r="V107">
        <f>SUMIF($Z$1:Z106,1,$D$1:D106)</f>
        <v>-0.542654302435963</v>
      </c>
      <c r="W107">
        <f>SUMIF($Z$1:Z106,2,$D$1:D106)</f>
        <v>0.592439100824577</v>
      </c>
      <c r="X107">
        <f>SUMIF($Z$1:Z106,3,$D$1:D106)</f>
        <v>-0.0497847983886244</v>
      </c>
      <c r="Y107">
        <f>IF(B107="",0,INDEX('①名簿入力'!$AL$4:$AL$153,B107))</f>
        <v>0</v>
      </c>
      <c r="Z107" t="str">
        <f>IF(B107="","",MATCH(MIN(AA107:AC107),AA107:AC107,0))</f>
        <v/>
      </c>
      <c r="AA107" t="str">
        <f>IF(B107="","",IF(J107&gt;=$AE$2,1E+15,M107*1E+10+P107*1E+8+ROUND(100*(D107*V107+$AF$5*Y107*AI107+$AF$4*S107),0)+1E+6))</f>
        <v/>
      </c>
      <c r="AB107" t="str">
        <f>IF(B107="","",IF(K107&gt;=$AF$2,1E+15,N107*1E+10+Q107*1E+8+ROUND(100*(D107*W107+$AF$5*Y107*AJ107+$AF$4*T107),0)+1E+6))</f>
        <v/>
      </c>
      <c r="AC107" t="str">
        <f>IF(B107="","",IF(L107&gt;=$AG$2,1E+15,O107*1E+10+R107*1E+8+ROUND(100*(D107*X107+$AF$5*Y107*AK107+$AF$4*U107),0)+1E+6))</f>
        <v/>
      </c>
      <c r="AI107">
        <f>SUMIFS($Y$1:Y106,$Z$1:Z106,1,$C$1:C106,C107)</f>
        <v>0</v>
      </c>
      <c r="AJ107">
        <f>SUMIFS($Y$1:Y106,$Z$1:Z106,2,$C$1:C106,C107)</f>
        <v>0</v>
      </c>
      <c r="AK107">
        <f>SUMIFS($Y$1:Y106,$Z$1:Z106,3,$C$1:C106,C107)</f>
        <v>0</v>
      </c>
    </row>
    <row r="108">
      <c r="A108" t="n">
        <v>107</v>
      </c>
      <c r="B108" t="str">
        <f>IFERROR(MATCH(A108,'①名簿入力'!$AF$4:$AF$153,0),"")</f>
        <v/>
      </c>
      <c r="C108" t="str">
        <f>IF(B108="","",INDEX('①名簿入力'!$X$4:$X$153,B108))</f>
        <v/>
      </c>
      <c r="D108" t="str">
        <f>IF(B108="","",(INDEX('①名簿入力'!$AD$4:$AD$153,B108)-'設定'!$C$37)/'設定'!$C$38)</f>
        <v/>
      </c>
      <c r="E108" t="str">
        <f>IF(B108="","",INDEX('①名簿入力'!$B$4:$B$153,B108)&amp;"")</f>
        <v/>
      </c>
      <c r="F108">
        <f>IF(B108="",0,INDEX('①名簿入力'!$Y$4:$Y$153,B108))</f>
        <v>0</v>
      </c>
      <c r="G108">
        <f>IF(B108="",0,INDEX('①名簿入力'!$Z$4:$Z$153,B108))</f>
        <v>0</v>
      </c>
      <c r="H108">
        <f>IF(B108="",0,INDEX('①名簿入力'!$AA$4:$AA$153,B108))</f>
        <v>0</v>
      </c>
      <c r="I108">
        <f>IF(B108="",0,INDEX('①名簿入力'!$AB$4:$AB$153,B108))</f>
        <v>0</v>
      </c>
      <c r="J108">
        <f>COUNTIF($Z$1:Z107,1)</f>
        <v>35</v>
      </c>
      <c r="K108">
        <f>COUNTIF($Z$1:Z107,2)</f>
        <v>35</v>
      </c>
      <c r="L108">
        <f>COUNTIF($Z$1:Z107,3)</f>
        <v>35</v>
      </c>
      <c r="M108">
        <f>COUNTIFS($Z$1:Z107,1,$C$1:C107,C108)</f>
        <v>0</v>
      </c>
      <c r="N108">
        <f>COUNTIFS($Z$1:Z107,2,$C$1:C107,C108)</f>
        <v>0</v>
      </c>
      <c r="O108">
        <f>COUNTIFS($Z$1:Z107,3,$C$1:C107,C108)</f>
        <v>0</v>
      </c>
      <c r="P108">
        <f>F108*COUNTIFS($Z$1:Z107,1,$F$1:F107,1)+G108*COUNTIFS($Z$1:Z107,1,$G$1:G107,1)+H108*COUNTIFS($Z$1:Z107,1,$H$1:H107,1)+I108*COUNTIFS($Z$1:Z107,1,$I$1:I107,1)</f>
        <v>0</v>
      </c>
      <c r="Q108">
        <f>F108*COUNTIFS($Z$1:Z107,2,$F$1:F107,1)+G108*COUNTIFS($Z$1:Z107,2,$G$1:G107,1)+H108*COUNTIFS($Z$1:Z107,2,$H$1:H107,1)+I108*COUNTIFS($Z$1:Z107,2,$I$1:I107,1)</f>
        <v>0</v>
      </c>
      <c r="R108">
        <f>F108*COUNTIFS($Z$1:Z107,3,$F$1:F107,1)+G108*COUNTIFS($Z$1:Z107,3,$G$1:G107,1)+H108*COUNTIFS($Z$1:Z107,3,$H$1:H107,1)+I108*COUNTIFS($Z$1:Z107,3,$I$1:I107,1)</f>
        <v>0</v>
      </c>
      <c r="S108">
        <f>IF(E108="",0,COUNTIFS($Z$1:Z107,1,$E$1:E107,E108))</f>
        <v>0</v>
      </c>
      <c r="T108">
        <f>IF(E108="",0,COUNTIFS($Z$1:Z107,2,$E$1:E107,E108))</f>
        <v>0</v>
      </c>
      <c r="U108">
        <f>IF(E108="",0,COUNTIFS($Z$1:Z107,3,$E$1:E107,E108))</f>
        <v>0</v>
      </c>
      <c r="V108">
        <f>SUMIF($Z$1:Z107,1,$D$1:D107)</f>
        <v>-0.542654302435963</v>
      </c>
      <c r="W108">
        <f>SUMIF($Z$1:Z107,2,$D$1:D107)</f>
        <v>0.592439100824577</v>
      </c>
      <c r="X108">
        <f>SUMIF($Z$1:Z107,3,$D$1:D107)</f>
        <v>-0.0497847983886244</v>
      </c>
      <c r="Y108">
        <f>IF(B108="",0,INDEX('①名簿入力'!$AL$4:$AL$153,B108))</f>
        <v>0</v>
      </c>
      <c r="Z108" t="str">
        <f>IF(B108="","",MATCH(MIN(AA108:AC108),AA108:AC108,0))</f>
        <v/>
      </c>
      <c r="AA108" t="str">
        <f>IF(B108="","",IF(J108&gt;=$AE$2,1E+15,M108*1E+10+P108*1E+8+ROUND(100*(D108*V108+$AF$5*Y108*AI108+$AF$4*S108),0)+1E+6))</f>
        <v/>
      </c>
      <c r="AB108" t="str">
        <f>IF(B108="","",IF(K108&gt;=$AF$2,1E+15,N108*1E+10+Q108*1E+8+ROUND(100*(D108*W108+$AF$5*Y108*AJ108+$AF$4*T108),0)+1E+6))</f>
        <v/>
      </c>
      <c r="AC108" t="str">
        <f>IF(B108="","",IF(L108&gt;=$AG$2,1E+15,O108*1E+10+R108*1E+8+ROUND(100*(D108*X108+$AF$5*Y108*AK108+$AF$4*U108),0)+1E+6))</f>
        <v/>
      </c>
      <c r="AI108">
        <f>SUMIFS($Y$1:Y107,$Z$1:Z107,1,$C$1:C107,C108)</f>
        <v>0</v>
      </c>
      <c r="AJ108">
        <f>SUMIFS($Y$1:Y107,$Z$1:Z107,2,$C$1:C107,C108)</f>
        <v>0</v>
      </c>
      <c r="AK108">
        <f>SUMIFS($Y$1:Y107,$Z$1:Z107,3,$C$1:C107,C108)</f>
        <v>0</v>
      </c>
    </row>
    <row r="109">
      <c r="A109" t="n">
        <v>108</v>
      </c>
      <c r="B109" t="str">
        <f>IFERROR(MATCH(A109,'①名簿入力'!$AF$4:$AF$153,0),"")</f>
        <v/>
      </c>
      <c r="C109" t="str">
        <f>IF(B109="","",INDEX('①名簿入力'!$X$4:$X$153,B109))</f>
        <v/>
      </c>
      <c r="D109" t="str">
        <f>IF(B109="","",(INDEX('①名簿入力'!$AD$4:$AD$153,B109)-'設定'!$C$37)/'設定'!$C$38)</f>
        <v/>
      </c>
      <c r="E109" t="str">
        <f>IF(B109="","",INDEX('①名簿入力'!$B$4:$B$153,B109)&amp;"")</f>
        <v/>
      </c>
      <c r="F109">
        <f>IF(B109="",0,INDEX('①名簿入力'!$Y$4:$Y$153,B109))</f>
        <v>0</v>
      </c>
      <c r="G109">
        <f>IF(B109="",0,INDEX('①名簿入力'!$Z$4:$Z$153,B109))</f>
        <v>0</v>
      </c>
      <c r="H109">
        <f>IF(B109="",0,INDEX('①名簿入力'!$AA$4:$AA$153,B109))</f>
        <v>0</v>
      </c>
      <c r="I109">
        <f>IF(B109="",0,INDEX('①名簿入力'!$AB$4:$AB$153,B109))</f>
        <v>0</v>
      </c>
      <c r="J109">
        <f>COUNTIF($Z$1:Z108,1)</f>
        <v>35</v>
      </c>
      <c r="K109">
        <f>COUNTIF($Z$1:Z108,2)</f>
        <v>35</v>
      </c>
      <c r="L109">
        <f>COUNTIF($Z$1:Z108,3)</f>
        <v>35</v>
      </c>
      <c r="M109">
        <f>COUNTIFS($Z$1:Z108,1,$C$1:C108,C109)</f>
        <v>0</v>
      </c>
      <c r="N109">
        <f>COUNTIFS($Z$1:Z108,2,$C$1:C108,C109)</f>
        <v>0</v>
      </c>
      <c r="O109">
        <f>COUNTIFS($Z$1:Z108,3,$C$1:C108,C109)</f>
        <v>0</v>
      </c>
      <c r="P109">
        <f>F109*COUNTIFS($Z$1:Z108,1,$F$1:F108,1)+G109*COUNTIFS($Z$1:Z108,1,$G$1:G108,1)+H109*COUNTIFS($Z$1:Z108,1,$H$1:H108,1)+I109*COUNTIFS($Z$1:Z108,1,$I$1:I108,1)</f>
        <v>0</v>
      </c>
      <c r="Q109">
        <f>F109*COUNTIFS($Z$1:Z108,2,$F$1:F108,1)+G109*COUNTIFS($Z$1:Z108,2,$G$1:G108,1)+H109*COUNTIFS($Z$1:Z108,2,$H$1:H108,1)+I109*COUNTIFS($Z$1:Z108,2,$I$1:I108,1)</f>
        <v>0</v>
      </c>
      <c r="R109">
        <f>F109*COUNTIFS($Z$1:Z108,3,$F$1:F108,1)+G109*COUNTIFS($Z$1:Z108,3,$G$1:G108,1)+H109*COUNTIFS($Z$1:Z108,3,$H$1:H108,1)+I109*COUNTIFS($Z$1:Z108,3,$I$1:I108,1)</f>
        <v>0</v>
      </c>
      <c r="S109">
        <f>IF(E109="",0,COUNTIFS($Z$1:Z108,1,$E$1:E108,E109))</f>
        <v>0</v>
      </c>
      <c r="T109">
        <f>IF(E109="",0,COUNTIFS($Z$1:Z108,2,$E$1:E108,E109))</f>
        <v>0</v>
      </c>
      <c r="U109">
        <f>IF(E109="",0,COUNTIFS($Z$1:Z108,3,$E$1:E108,E109))</f>
        <v>0</v>
      </c>
      <c r="V109">
        <f>SUMIF($Z$1:Z108,1,$D$1:D108)</f>
        <v>-0.542654302435963</v>
      </c>
      <c r="W109">
        <f>SUMIF($Z$1:Z108,2,$D$1:D108)</f>
        <v>0.592439100824577</v>
      </c>
      <c r="X109">
        <f>SUMIF($Z$1:Z108,3,$D$1:D108)</f>
        <v>-0.0497847983886244</v>
      </c>
      <c r="Y109">
        <f>IF(B109="",0,INDEX('①名簿入力'!$AL$4:$AL$153,B109))</f>
        <v>0</v>
      </c>
      <c r="Z109" t="str">
        <f>IF(B109="","",MATCH(MIN(AA109:AC109),AA109:AC109,0))</f>
        <v/>
      </c>
      <c r="AA109" t="str">
        <f>IF(B109="","",IF(J109&gt;=$AE$2,1E+15,M109*1E+10+P109*1E+8+ROUND(100*(D109*V109+$AF$5*Y109*AI109+$AF$4*S109),0)+1E+6))</f>
        <v/>
      </c>
      <c r="AB109" t="str">
        <f>IF(B109="","",IF(K109&gt;=$AF$2,1E+15,N109*1E+10+Q109*1E+8+ROUND(100*(D109*W109+$AF$5*Y109*AJ109+$AF$4*T109),0)+1E+6))</f>
        <v/>
      </c>
      <c r="AC109" t="str">
        <f>IF(B109="","",IF(L109&gt;=$AG$2,1E+15,O109*1E+10+R109*1E+8+ROUND(100*(D109*X109+$AF$5*Y109*AK109+$AF$4*U109),0)+1E+6))</f>
        <v/>
      </c>
      <c r="AI109">
        <f>SUMIFS($Y$1:Y108,$Z$1:Z108,1,$C$1:C108,C109)</f>
        <v>0</v>
      </c>
      <c r="AJ109">
        <f>SUMIFS($Y$1:Y108,$Z$1:Z108,2,$C$1:C108,C109)</f>
        <v>0</v>
      </c>
      <c r="AK109">
        <f>SUMIFS($Y$1:Y108,$Z$1:Z108,3,$C$1:C108,C109)</f>
        <v>0</v>
      </c>
    </row>
    <row r="110">
      <c r="A110" t="n">
        <v>109</v>
      </c>
      <c r="B110" t="str">
        <f>IFERROR(MATCH(A110,'①名簿入力'!$AF$4:$AF$153,0),"")</f>
        <v/>
      </c>
      <c r="C110" t="str">
        <f>IF(B110="","",INDEX('①名簿入力'!$X$4:$X$153,B110))</f>
        <v/>
      </c>
      <c r="D110" t="str">
        <f>IF(B110="","",(INDEX('①名簿入力'!$AD$4:$AD$153,B110)-'設定'!$C$37)/'設定'!$C$38)</f>
        <v/>
      </c>
      <c r="E110" t="str">
        <f>IF(B110="","",INDEX('①名簿入力'!$B$4:$B$153,B110)&amp;"")</f>
        <v/>
      </c>
      <c r="F110">
        <f>IF(B110="",0,INDEX('①名簿入力'!$Y$4:$Y$153,B110))</f>
        <v>0</v>
      </c>
      <c r="G110">
        <f>IF(B110="",0,INDEX('①名簿入力'!$Z$4:$Z$153,B110))</f>
        <v>0</v>
      </c>
      <c r="H110">
        <f>IF(B110="",0,INDEX('①名簿入力'!$AA$4:$AA$153,B110))</f>
        <v>0</v>
      </c>
      <c r="I110">
        <f>IF(B110="",0,INDEX('①名簿入力'!$AB$4:$AB$153,B110))</f>
        <v>0</v>
      </c>
      <c r="J110">
        <f>COUNTIF($Z$1:Z109,1)</f>
        <v>35</v>
      </c>
      <c r="K110">
        <f>COUNTIF($Z$1:Z109,2)</f>
        <v>35</v>
      </c>
      <c r="L110">
        <f>COUNTIF($Z$1:Z109,3)</f>
        <v>35</v>
      </c>
      <c r="M110">
        <f>COUNTIFS($Z$1:Z109,1,$C$1:C109,C110)</f>
        <v>0</v>
      </c>
      <c r="N110">
        <f>COUNTIFS($Z$1:Z109,2,$C$1:C109,C110)</f>
        <v>0</v>
      </c>
      <c r="O110">
        <f>COUNTIFS($Z$1:Z109,3,$C$1:C109,C110)</f>
        <v>0</v>
      </c>
      <c r="P110">
        <f>F110*COUNTIFS($Z$1:Z109,1,$F$1:F109,1)+G110*COUNTIFS($Z$1:Z109,1,$G$1:G109,1)+H110*COUNTIFS($Z$1:Z109,1,$H$1:H109,1)+I110*COUNTIFS($Z$1:Z109,1,$I$1:I109,1)</f>
        <v>0</v>
      </c>
      <c r="Q110">
        <f>F110*COUNTIFS($Z$1:Z109,2,$F$1:F109,1)+G110*COUNTIFS($Z$1:Z109,2,$G$1:G109,1)+H110*COUNTIFS($Z$1:Z109,2,$H$1:H109,1)+I110*COUNTIFS($Z$1:Z109,2,$I$1:I109,1)</f>
        <v>0</v>
      </c>
      <c r="R110">
        <f>F110*COUNTIFS($Z$1:Z109,3,$F$1:F109,1)+G110*COUNTIFS($Z$1:Z109,3,$G$1:G109,1)+H110*COUNTIFS($Z$1:Z109,3,$H$1:H109,1)+I110*COUNTIFS($Z$1:Z109,3,$I$1:I109,1)</f>
        <v>0</v>
      </c>
      <c r="S110">
        <f>IF(E110="",0,COUNTIFS($Z$1:Z109,1,$E$1:E109,E110))</f>
        <v>0</v>
      </c>
      <c r="T110">
        <f>IF(E110="",0,COUNTIFS($Z$1:Z109,2,$E$1:E109,E110))</f>
        <v>0</v>
      </c>
      <c r="U110">
        <f>IF(E110="",0,COUNTIFS($Z$1:Z109,3,$E$1:E109,E110))</f>
        <v>0</v>
      </c>
      <c r="V110">
        <f>SUMIF($Z$1:Z109,1,$D$1:D109)</f>
        <v>-0.542654302435963</v>
      </c>
      <c r="W110">
        <f>SUMIF($Z$1:Z109,2,$D$1:D109)</f>
        <v>0.592439100824577</v>
      </c>
      <c r="X110">
        <f>SUMIF($Z$1:Z109,3,$D$1:D109)</f>
        <v>-0.0497847983886244</v>
      </c>
      <c r="Y110">
        <f>IF(B110="",0,INDEX('①名簿入力'!$AL$4:$AL$153,B110))</f>
        <v>0</v>
      </c>
      <c r="Z110" t="str">
        <f>IF(B110="","",MATCH(MIN(AA110:AC110),AA110:AC110,0))</f>
        <v/>
      </c>
      <c r="AA110" t="str">
        <f>IF(B110="","",IF(J110&gt;=$AE$2,1E+15,M110*1E+10+P110*1E+8+ROUND(100*(D110*V110+$AF$5*Y110*AI110+$AF$4*S110),0)+1E+6))</f>
        <v/>
      </c>
      <c r="AB110" t="str">
        <f>IF(B110="","",IF(K110&gt;=$AF$2,1E+15,N110*1E+10+Q110*1E+8+ROUND(100*(D110*W110+$AF$5*Y110*AJ110+$AF$4*T110),0)+1E+6))</f>
        <v/>
      </c>
      <c r="AC110" t="str">
        <f>IF(B110="","",IF(L110&gt;=$AG$2,1E+15,O110*1E+10+R110*1E+8+ROUND(100*(D110*X110+$AF$5*Y110*AK110+$AF$4*U110),0)+1E+6))</f>
        <v/>
      </c>
      <c r="AI110">
        <f>SUMIFS($Y$1:Y109,$Z$1:Z109,1,$C$1:C109,C110)</f>
        <v>0</v>
      </c>
      <c r="AJ110">
        <f>SUMIFS($Y$1:Y109,$Z$1:Z109,2,$C$1:C109,C110)</f>
        <v>0</v>
      </c>
      <c r="AK110">
        <f>SUMIFS($Y$1:Y109,$Z$1:Z109,3,$C$1:C109,C110)</f>
        <v>0</v>
      </c>
    </row>
    <row r="111">
      <c r="A111" t="n">
        <v>110</v>
      </c>
      <c r="B111" t="str">
        <f>IFERROR(MATCH(A111,'①名簿入力'!$AF$4:$AF$153,0),"")</f>
        <v/>
      </c>
      <c r="C111" t="str">
        <f>IF(B111="","",INDEX('①名簿入力'!$X$4:$X$153,B111))</f>
        <v/>
      </c>
      <c r="D111" t="str">
        <f>IF(B111="","",(INDEX('①名簿入力'!$AD$4:$AD$153,B111)-'設定'!$C$37)/'設定'!$C$38)</f>
        <v/>
      </c>
      <c r="E111" t="str">
        <f>IF(B111="","",INDEX('①名簿入力'!$B$4:$B$153,B111)&amp;"")</f>
        <v/>
      </c>
      <c r="F111">
        <f>IF(B111="",0,INDEX('①名簿入力'!$Y$4:$Y$153,B111))</f>
        <v>0</v>
      </c>
      <c r="G111">
        <f>IF(B111="",0,INDEX('①名簿入力'!$Z$4:$Z$153,B111))</f>
        <v>0</v>
      </c>
      <c r="H111">
        <f>IF(B111="",0,INDEX('①名簿入力'!$AA$4:$AA$153,B111))</f>
        <v>0</v>
      </c>
      <c r="I111">
        <f>IF(B111="",0,INDEX('①名簿入力'!$AB$4:$AB$153,B111))</f>
        <v>0</v>
      </c>
      <c r="J111">
        <f>COUNTIF($Z$1:Z110,1)</f>
        <v>35</v>
      </c>
      <c r="K111">
        <f>COUNTIF($Z$1:Z110,2)</f>
        <v>35</v>
      </c>
      <c r="L111">
        <f>COUNTIF($Z$1:Z110,3)</f>
        <v>35</v>
      </c>
      <c r="M111">
        <f>COUNTIFS($Z$1:Z110,1,$C$1:C110,C111)</f>
        <v>0</v>
      </c>
      <c r="N111">
        <f>COUNTIFS($Z$1:Z110,2,$C$1:C110,C111)</f>
        <v>0</v>
      </c>
      <c r="O111">
        <f>COUNTIFS($Z$1:Z110,3,$C$1:C110,C111)</f>
        <v>0</v>
      </c>
      <c r="P111">
        <f>F111*COUNTIFS($Z$1:Z110,1,$F$1:F110,1)+G111*COUNTIFS($Z$1:Z110,1,$G$1:G110,1)+H111*COUNTIFS($Z$1:Z110,1,$H$1:H110,1)+I111*COUNTIFS($Z$1:Z110,1,$I$1:I110,1)</f>
        <v>0</v>
      </c>
      <c r="Q111">
        <f>F111*COUNTIFS($Z$1:Z110,2,$F$1:F110,1)+G111*COUNTIFS($Z$1:Z110,2,$G$1:G110,1)+H111*COUNTIFS($Z$1:Z110,2,$H$1:H110,1)+I111*COUNTIFS($Z$1:Z110,2,$I$1:I110,1)</f>
        <v>0</v>
      </c>
      <c r="R111">
        <f>F111*COUNTIFS($Z$1:Z110,3,$F$1:F110,1)+G111*COUNTIFS($Z$1:Z110,3,$G$1:G110,1)+H111*COUNTIFS($Z$1:Z110,3,$H$1:H110,1)+I111*COUNTIFS($Z$1:Z110,3,$I$1:I110,1)</f>
        <v>0</v>
      </c>
      <c r="S111">
        <f>IF(E111="",0,COUNTIFS($Z$1:Z110,1,$E$1:E110,E111))</f>
        <v>0</v>
      </c>
      <c r="T111">
        <f>IF(E111="",0,COUNTIFS($Z$1:Z110,2,$E$1:E110,E111))</f>
        <v>0</v>
      </c>
      <c r="U111">
        <f>IF(E111="",0,COUNTIFS($Z$1:Z110,3,$E$1:E110,E111))</f>
        <v>0</v>
      </c>
      <c r="V111">
        <f>SUMIF($Z$1:Z110,1,$D$1:D110)</f>
        <v>-0.542654302435963</v>
      </c>
      <c r="W111">
        <f>SUMIF($Z$1:Z110,2,$D$1:D110)</f>
        <v>0.592439100824577</v>
      </c>
      <c r="X111">
        <f>SUMIF($Z$1:Z110,3,$D$1:D110)</f>
        <v>-0.0497847983886244</v>
      </c>
      <c r="Y111">
        <f>IF(B111="",0,INDEX('①名簿入力'!$AL$4:$AL$153,B111))</f>
        <v>0</v>
      </c>
      <c r="Z111" t="str">
        <f>IF(B111="","",MATCH(MIN(AA111:AC111),AA111:AC111,0))</f>
        <v/>
      </c>
      <c r="AA111" t="str">
        <f>IF(B111="","",IF(J111&gt;=$AE$2,1E+15,M111*1E+10+P111*1E+8+ROUND(100*(D111*V111+$AF$5*Y111*AI111+$AF$4*S111),0)+1E+6))</f>
        <v/>
      </c>
      <c r="AB111" t="str">
        <f>IF(B111="","",IF(K111&gt;=$AF$2,1E+15,N111*1E+10+Q111*1E+8+ROUND(100*(D111*W111+$AF$5*Y111*AJ111+$AF$4*T111),0)+1E+6))</f>
        <v/>
      </c>
      <c r="AC111" t="str">
        <f>IF(B111="","",IF(L111&gt;=$AG$2,1E+15,O111*1E+10+R111*1E+8+ROUND(100*(D111*X111+$AF$5*Y111*AK111+$AF$4*U111),0)+1E+6))</f>
        <v/>
      </c>
      <c r="AI111">
        <f>SUMIFS($Y$1:Y110,$Z$1:Z110,1,$C$1:C110,C111)</f>
        <v>0</v>
      </c>
      <c r="AJ111">
        <f>SUMIFS($Y$1:Y110,$Z$1:Z110,2,$C$1:C110,C111)</f>
        <v>0</v>
      </c>
      <c r="AK111">
        <f>SUMIFS($Y$1:Y110,$Z$1:Z110,3,$C$1:C110,C111)</f>
        <v>0</v>
      </c>
    </row>
    <row r="112">
      <c r="A112" t="n">
        <v>111</v>
      </c>
      <c r="B112" t="str">
        <f>IFERROR(MATCH(A112,'①名簿入力'!$AF$4:$AF$153,0),"")</f>
        <v/>
      </c>
      <c r="C112" t="str">
        <f>IF(B112="","",INDEX('①名簿入力'!$X$4:$X$153,B112))</f>
        <v/>
      </c>
      <c r="D112" t="str">
        <f>IF(B112="","",(INDEX('①名簿入力'!$AD$4:$AD$153,B112)-'設定'!$C$37)/'設定'!$C$38)</f>
        <v/>
      </c>
      <c r="E112" t="str">
        <f>IF(B112="","",INDEX('①名簿入力'!$B$4:$B$153,B112)&amp;"")</f>
        <v/>
      </c>
      <c r="F112">
        <f>IF(B112="",0,INDEX('①名簿入力'!$Y$4:$Y$153,B112))</f>
        <v>0</v>
      </c>
      <c r="G112">
        <f>IF(B112="",0,INDEX('①名簿入力'!$Z$4:$Z$153,B112))</f>
        <v>0</v>
      </c>
      <c r="H112">
        <f>IF(B112="",0,INDEX('①名簿入力'!$AA$4:$AA$153,B112))</f>
        <v>0</v>
      </c>
      <c r="I112">
        <f>IF(B112="",0,INDEX('①名簿入力'!$AB$4:$AB$153,B112))</f>
        <v>0</v>
      </c>
      <c r="J112">
        <f>COUNTIF($Z$1:Z111,1)</f>
        <v>35</v>
      </c>
      <c r="K112">
        <f>COUNTIF($Z$1:Z111,2)</f>
        <v>35</v>
      </c>
      <c r="L112">
        <f>COUNTIF($Z$1:Z111,3)</f>
        <v>35</v>
      </c>
      <c r="M112">
        <f>COUNTIFS($Z$1:Z111,1,$C$1:C111,C112)</f>
        <v>0</v>
      </c>
      <c r="N112">
        <f>COUNTIFS($Z$1:Z111,2,$C$1:C111,C112)</f>
        <v>0</v>
      </c>
      <c r="O112">
        <f>COUNTIFS($Z$1:Z111,3,$C$1:C111,C112)</f>
        <v>0</v>
      </c>
      <c r="P112">
        <f>F112*COUNTIFS($Z$1:Z111,1,$F$1:F111,1)+G112*COUNTIFS($Z$1:Z111,1,$G$1:G111,1)+H112*COUNTIFS($Z$1:Z111,1,$H$1:H111,1)+I112*COUNTIFS($Z$1:Z111,1,$I$1:I111,1)</f>
        <v>0</v>
      </c>
      <c r="Q112">
        <f>F112*COUNTIFS($Z$1:Z111,2,$F$1:F111,1)+G112*COUNTIFS($Z$1:Z111,2,$G$1:G111,1)+H112*COUNTIFS($Z$1:Z111,2,$H$1:H111,1)+I112*COUNTIFS($Z$1:Z111,2,$I$1:I111,1)</f>
        <v>0</v>
      </c>
      <c r="R112">
        <f>F112*COUNTIFS($Z$1:Z111,3,$F$1:F111,1)+G112*COUNTIFS($Z$1:Z111,3,$G$1:G111,1)+H112*COUNTIFS($Z$1:Z111,3,$H$1:H111,1)+I112*COUNTIFS($Z$1:Z111,3,$I$1:I111,1)</f>
        <v>0</v>
      </c>
      <c r="S112">
        <f>IF(E112="",0,COUNTIFS($Z$1:Z111,1,$E$1:E111,E112))</f>
        <v>0</v>
      </c>
      <c r="T112">
        <f>IF(E112="",0,COUNTIFS($Z$1:Z111,2,$E$1:E111,E112))</f>
        <v>0</v>
      </c>
      <c r="U112">
        <f>IF(E112="",0,COUNTIFS($Z$1:Z111,3,$E$1:E111,E112))</f>
        <v>0</v>
      </c>
      <c r="V112">
        <f>SUMIF($Z$1:Z111,1,$D$1:D111)</f>
        <v>-0.542654302435963</v>
      </c>
      <c r="W112">
        <f>SUMIF($Z$1:Z111,2,$D$1:D111)</f>
        <v>0.592439100824577</v>
      </c>
      <c r="X112">
        <f>SUMIF($Z$1:Z111,3,$D$1:D111)</f>
        <v>-0.0497847983886244</v>
      </c>
      <c r="Y112">
        <f>IF(B112="",0,INDEX('①名簿入力'!$AL$4:$AL$153,B112))</f>
        <v>0</v>
      </c>
      <c r="Z112" t="str">
        <f>IF(B112="","",MATCH(MIN(AA112:AC112),AA112:AC112,0))</f>
        <v/>
      </c>
      <c r="AA112" t="str">
        <f>IF(B112="","",IF(J112&gt;=$AE$2,1E+15,M112*1E+10+P112*1E+8+ROUND(100*(D112*V112+$AF$5*Y112*AI112+$AF$4*S112),0)+1E+6))</f>
        <v/>
      </c>
      <c r="AB112" t="str">
        <f>IF(B112="","",IF(K112&gt;=$AF$2,1E+15,N112*1E+10+Q112*1E+8+ROUND(100*(D112*W112+$AF$5*Y112*AJ112+$AF$4*T112),0)+1E+6))</f>
        <v/>
      </c>
      <c r="AC112" t="str">
        <f>IF(B112="","",IF(L112&gt;=$AG$2,1E+15,O112*1E+10+R112*1E+8+ROUND(100*(D112*X112+$AF$5*Y112*AK112+$AF$4*U112),0)+1E+6))</f>
        <v/>
      </c>
      <c r="AI112">
        <f>SUMIFS($Y$1:Y111,$Z$1:Z111,1,$C$1:C111,C112)</f>
        <v>0</v>
      </c>
      <c r="AJ112">
        <f>SUMIFS($Y$1:Y111,$Z$1:Z111,2,$C$1:C111,C112)</f>
        <v>0</v>
      </c>
      <c r="AK112">
        <f>SUMIFS($Y$1:Y111,$Z$1:Z111,3,$C$1:C111,C112)</f>
        <v>0</v>
      </c>
    </row>
    <row r="113">
      <c r="A113" t="n">
        <v>112</v>
      </c>
      <c r="B113" t="str">
        <f>IFERROR(MATCH(A113,'①名簿入力'!$AF$4:$AF$153,0),"")</f>
        <v/>
      </c>
      <c r="C113" t="str">
        <f>IF(B113="","",INDEX('①名簿入力'!$X$4:$X$153,B113))</f>
        <v/>
      </c>
      <c r="D113" t="str">
        <f>IF(B113="","",(INDEX('①名簿入力'!$AD$4:$AD$153,B113)-'設定'!$C$37)/'設定'!$C$38)</f>
        <v/>
      </c>
      <c r="E113" t="str">
        <f>IF(B113="","",INDEX('①名簿入力'!$B$4:$B$153,B113)&amp;"")</f>
        <v/>
      </c>
      <c r="F113">
        <f>IF(B113="",0,INDEX('①名簿入力'!$Y$4:$Y$153,B113))</f>
        <v>0</v>
      </c>
      <c r="G113">
        <f>IF(B113="",0,INDEX('①名簿入力'!$Z$4:$Z$153,B113))</f>
        <v>0</v>
      </c>
      <c r="H113">
        <f>IF(B113="",0,INDEX('①名簿入力'!$AA$4:$AA$153,B113))</f>
        <v>0</v>
      </c>
      <c r="I113">
        <f>IF(B113="",0,INDEX('①名簿入力'!$AB$4:$AB$153,B113))</f>
        <v>0</v>
      </c>
      <c r="J113">
        <f>COUNTIF($Z$1:Z112,1)</f>
        <v>35</v>
      </c>
      <c r="K113">
        <f>COUNTIF($Z$1:Z112,2)</f>
        <v>35</v>
      </c>
      <c r="L113">
        <f>COUNTIF($Z$1:Z112,3)</f>
        <v>35</v>
      </c>
      <c r="M113">
        <f>COUNTIFS($Z$1:Z112,1,$C$1:C112,C113)</f>
        <v>0</v>
      </c>
      <c r="N113">
        <f>COUNTIFS($Z$1:Z112,2,$C$1:C112,C113)</f>
        <v>0</v>
      </c>
      <c r="O113">
        <f>COUNTIFS($Z$1:Z112,3,$C$1:C112,C113)</f>
        <v>0</v>
      </c>
      <c r="P113">
        <f>F113*COUNTIFS($Z$1:Z112,1,$F$1:F112,1)+G113*COUNTIFS($Z$1:Z112,1,$G$1:G112,1)+H113*COUNTIFS($Z$1:Z112,1,$H$1:H112,1)+I113*COUNTIFS($Z$1:Z112,1,$I$1:I112,1)</f>
        <v>0</v>
      </c>
      <c r="Q113">
        <f>F113*COUNTIFS($Z$1:Z112,2,$F$1:F112,1)+G113*COUNTIFS($Z$1:Z112,2,$G$1:G112,1)+H113*COUNTIFS($Z$1:Z112,2,$H$1:H112,1)+I113*COUNTIFS($Z$1:Z112,2,$I$1:I112,1)</f>
        <v>0</v>
      </c>
      <c r="R113">
        <f>F113*COUNTIFS($Z$1:Z112,3,$F$1:F112,1)+G113*COUNTIFS($Z$1:Z112,3,$G$1:G112,1)+H113*COUNTIFS($Z$1:Z112,3,$H$1:H112,1)+I113*COUNTIFS($Z$1:Z112,3,$I$1:I112,1)</f>
        <v>0</v>
      </c>
      <c r="S113">
        <f>IF(E113="",0,COUNTIFS($Z$1:Z112,1,$E$1:E112,E113))</f>
        <v>0</v>
      </c>
      <c r="T113">
        <f>IF(E113="",0,COUNTIFS($Z$1:Z112,2,$E$1:E112,E113))</f>
        <v>0</v>
      </c>
      <c r="U113">
        <f>IF(E113="",0,COUNTIFS($Z$1:Z112,3,$E$1:E112,E113))</f>
        <v>0</v>
      </c>
      <c r="V113">
        <f>SUMIF($Z$1:Z112,1,$D$1:D112)</f>
        <v>-0.542654302435963</v>
      </c>
      <c r="W113">
        <f>SUMIF($Z$1:Z112,2,$D$1:D112)</f>
        <v>0.592439100824577</v>
      </c>
      <c r="X113">
        <f>SUMIF($Z$1:Z112,3,$D$1:D112)</f>
        <v>-0.0497847983886244</v>
      </c>
      <c r="Y113">
        <f>IF(B113="",0,INDEX('①名簿入力'!$AL$4:$AL$153,B113))</f>
        <v>0</v>
      </c>
      <c r="Z113" t="str">
        <f>IF(B113="","",MATCH(MIN(AA113:AC113),AA113:AC113,0))</f>
        <v/>
      </c>
      <c r="AA113" t="str">
        <f>IF(B113="","",IF(J113&gt;=$AE$2,1E+15,M113*1E+10+P113*1E+8+ROUND(100*(D113*V113+$AF$5*Y113*AI113+$AF$4*S113),0)+1E+6))</f>
        <v/>
      </c>
      <c r="AB113" t="str">
        <f>IF(B113="","",IF(K113&gt;=$AF$2,1E+15,N113*1E+10+Q113*1E+8+ROUND(100*(D113*W113+$AF$5*Y113*AJ113+$AF$4*T113),0)+1E+6))</f>
        <v/>
      </c>
      <c r="AC113" t="str">
        <f>IF(B113="","",IF(L113&gt;=$AG$2,1E+15,O113*1E+10+R113*1E+8+ROUND(100*(D113*X113+$AF$5*Y113*AK113+$AF$4*U113),0)+1E+6))</f>
        <v/>
      </c>
      <c r="AI113">
        <f>SUMIFS($Y$1:Y112,$Z$1:Z112,1,$C$1:C112,C113)</f>
        <v>0</v>
      </c>
      <c r="AJ113">
        <f>SUMIFS($Y$1:Y112,$Z$1:Z112,2,$C$1:C112,C113)</f>
        <v>0</v>
      </c>
      <c r="AK113">
        <f>SUMIFS($Y$1:Y112,$Z$1:Z112,3,$C$1:C112,C113)</f>
        <v>0</v>
      </c>
    </row>
    <row r="114">
      <c r="A114" t="n">
        <v>113</v>
      </c>
      <c r="B114" t="str">
        <f>IFERROR(MATCH(A114,'①名簿入力'!$AF$4:$AF$153,0),"")</f>
        <v/>
      </c>
      <c r="C114" t="str">
        <f>IF(B114="","",INDEX('①名簿入力'!$X$4:$X$153,B114))</f>
        <v/>
      </c>
      <c r="D114" t="str">
        <f>IF(B114="","",(INDEX('①名簿入力'!$AD$4:$AD$153,B114)-'設定'!$C$37)/'設定'!$C$38)</f>
        <v/>
      </c>
      <c r="E114" t="str">
        <f>IF(B114="","",INDEX('①名簿入力'!$B$4:$B$153,B114)&amp;"")</f>
        <v/>
      </c>
      <c r="F114">
        <f>IF(B114="",0,INDEX('①名簿入力'!$Y$4:$Y$153,B114))</f>
        <v>0</v>
      </c>
      <c r="G114">
        <f>IF(B114="",0,INDEX('①名簿入力'!$Z$4:$Z$153,B114))</f>
        <v>0</v>
      </c>
      <c r="H114">
        <f>IF(B114="",0,INDEX('①名簿入力'!$AA$4:$AA$153,B114))</f>
        <v>0</v>
      </c>
      <c r="I114">
        <f>IF(B114="",0,INDEX('①名簿入力'!$AB$4:$AB$153,B114))</f>
        <v>0</v>
      </c>
      <c r="J114">
        <f>COUNTIF($Z$1:Z113,1)</f>
        <v>35</v>
      </c>
      <c r="K114">
        <f>COUNTIF($Z$1:Z113,2)</f>
        <v>35</v>
      </c>
      <c r="L114">
        <f>COUNTIF($Z$1:Z113,3)</f>
        <v>35</v>
      </c>
      <c r="M114">
        <f>COUNTIFS($Z$1:Z113,1,$C$1:C113,C114)</f>
        <v>0</v>
      </c>
      <c r="N114">
        <f>COUNTIFS($Z$1:Z113,2,$C$1:C113,C114)</f>
        <v>0</v>
      </c>
      <c r="O114">
        <f>COUNTIFS($Z$1:Z113,3,$C$1:C113,C114)</f>
        <v>0</v>
      </c>
      <c r="P114">
        <f>F114*COUNTIFS($Z$1:Z113,1,$F$1:F113,1)+G114*COUNTIFS($Z$1:Z113,1,$G$1:G113,1)+H114*COUNTIFS($Z$1:Z113,1,$H$1:H113,1)+I114*COUNTIFS($Z$1:Z113,1,$I$1:I113,1)</f>
        <v>0</v>
      </c>
      <c r="Q114">
        <f>F114*COUNTIFS($Z$1:Z113,2,$F$1:F113,1)+G114*COUNTIFS($Z$1:Z113,2,$G$1:G113,1)+H114*COUNTIFS($Z$1:Z113,2,$H$1:H113,1)+I114*COUNTIFS($Z$1:Z113,2,$I$1:I113,1)</f>
        <v>0</v>
      </c>
      <c r="R114">
        <f>F114*COUNTIFS($Z$1:Z113,3,$F$1:F113,1)+G114*COUNTIFS($Z$1:Z113,3,$G$1:G113,1)+H114*COUNTIFS($Z$1:Z113,3,$H$1:H113,1)+I114*COUNTIFS($Z$1:Z113,3,$I$1:I113,1)</f>
        <v>0</v>
      </c>
      <c r="S114">
        <f>IF(E114="",0,COUNTIFS($Z$1:Z113,1,$E$1:E113,E114))</f>
        <v>0</v>
      </c>
      <c r="T114">
        <f>IF(E114="",0,COUNTIFS($Z$1:Z113,2,$E$1:E113,E114))</f>
        <v>0</v>
      </c>
      <c r="U114">
        <f>IF(E114="",0,COUNTIFS($Z$1:Z113,3,$E$1:E113,E114))</f>
        <v>0</v>
      </c>
      <c r="V114">
        <f>SUMIF($Z$1:Z113,1,$D$1:D113)</f>
        <v>-0.542654302435963</v>
      </c>
      <c r="W114">
        <f>SUMIF($Z$1:Z113,2,$D$1:D113)</f>
        <v>0.592439100824577</v>
      </c>
      <c r="X114">
        <f>SUMIF($Z$1:Z113,3,$D$1:D113)</f>
        <v>-0.0497847983886244</v>
      </c>
      <c r="Y114">
        <f>IF(B114="",0,INDEX('①名簿入力'!$AL$4:$AL$153,B114))</f>
        <v>0</v>
      </c>
      <c r="Z114" t="str">
        <f>IF(B114="","",MATCH(MIN(AA114:AC114),AA114:AC114,0))</f>
        <v/>
      </c>
      <c r="AA114" t="str">
        <f>IF(B114="","",IF(J114&gt;=$AE$2,1E+15,M114*1E+10+P114*1E+8+ROUND(100*(D114*V114+$AF$5*Y114*AI114+$AF$4*S114),0)+1E+6))</f>
        <v/>
      </c>
      <c r="AB114" t="str">
        <f>IF(B114="","",IF(K114&gt;=$AF$2,1E+15,N114*1E+10+Q114*1E+8+ROUND(100*(D114*W114+$AF$5*Y114*AJ114+$AF$4*T114),0)+1E+6))</f>
        <v/>
      </c>
      <c r="AC114" t="str">
        <f>IF(B114="","",IF(L114&gt;=$AG$2,1E+15,O114*1E+10+R114*1E+8+ROUND(100*(D114*X114+$AF$5*Y114*AK114+$AF$4*U114),0)+1E+6))</f>
        <v/>
      </c>
      <c r="AI114">
        <f>SUMIFS($Y$1:Y113,$Z$1:Z113,1,$C$1:C113,C114)</f>
        <v>0</v>
      </c>
      <c r="AJ114">
        <f>SUMIFS($Y$1:Y113,$Z$1:Z113,2,$C$1:C113,C114)</f>
        <v>0</v>
      </c>
      <c r="AK114">
        <f>SUMIFS($Y$1:Y113,$Z$1:Z113,3,$C$1:C113,C114)</f>
        <v>0</v>
      </c>
    </row>
    <row r="115">
      <c r="A115" t="n">
        <v>114</v>
      </c>
      <c r="B115" t="str">
        <f>IFERROR(MATCH(A115,'①名簿入力'!$AF$4:$AF$153,0),"")</f>
        <v/>
      </c>
      <c r="C115" t="str">
        <f>IF(B115="","",INDEX('①名簿入力'!$X$4:$X$153,B115))</f>
        <v/>
      </c>
      <c r="D115" t="str">
        <f>IF(B115="","",(INDEX('①名簿入力'!$AD$4:$AD$153,B115)-'設定'!$C$37)/'設定'!$C$38)</f>
        <v/>
      </c>
      <c r="E115" t="str">
        <f>IF(B115="","",INDEX('①名簿入力'!$B$4:$B$153,B115)&amp;"")</f>
        <v/>
      </c>
      <c r="F115">
        <f>IF(B115="",0,INDEX('①名簿入力'!$Y$4:$Y$153,B115))</f>
        <v>0</v>
      </c>
      <c r="G115">
        <f>IF(B115="",0,INDEX('①名簿入力'!$Z$4:$Z$153,B115))</f>
        <v>0</v>
      </c>
      <c r="H115">
        <f>IF(B115="",0,INDEX('①名簿入力'!$AA$4:$AA$153,B115))</f>
        <v>0</v>
      </c>
      <c r="I115">
        <f>IF(B115="",0,INDEX('①名簿入力'!$AB$4:$AB$153,B115))</f>
        <v>0</v>
      </c>
      <c r="J115">
        <f>COUNTIF($Z$1:Z114,1)</f>
        <v>35</v>
      </c>
      <c r="K115">
        <f>COUNTIF($Z$1:Z114,2)</f>
        <v>35</v>
      </c>
      <c r="L115">
        <f>COUNTIF($Z$1:Z114,3)</f>
        <v>35</v>
      </c>
      <c r="M115">
        <f>COUNTIFS($Z$1:Z114,1,$C$1:C114,C115)</f>
        <v>0</v>
      </c>
      <c r="N115">
        <f>COUNTIFS($Z$1:Z114,2,$C$1:C114,C115)</f>
        <v>0</v>
      </c>
      <c r="O115">
        <f>COUNTIFS($Z$1:Z114,3,$C$1:C114,C115)</f>
        <v>0</v>
      </c>
      <c r="P115">
        <f>F115*COUNTIFS($Z$1:Z114,1,$F$1:F114,1)+G115*COUNTIFS($Z$1:Z114,1,$G$1:G114,1)+H115*COUNTIFS($Z$1:Z114,1,$H$1:H114,1)+I115*COUNTIFS($Z$1:Z114,1,$I$1:I114,1)</f>
        <v>0</v>
      </c>
      <c r="Q115">
        <f>F115*COUNTIFS($Z$1:Z114,2,$F$1:F114,1)+G115*COUNTIFS($Z$1:Z114,2,$G$1:G114,1)+H115*COUNTIFS($Z$1:Z114,2,$H$1:H114,1)+I115*COUNTIFS($Z$1:Z114,2,$I$1:I114,1)</f>
        <v>0</v>
      </c>
      <c r="R115">
        <f>F115*COUNTIFS($Z$1:Z114,3,$F$1:F114,1)+G115*COUNTIFS($Z$1:Z114,3,$G$1:G114,1)+H115*COUNTIFS($Z$1:Z114,3,$H$1:H114,1)+I115*COUNTIFS($Z$1:Z114,3,$I$1:I114,1)</f>
        <v>0</v>
      </c>
      <c r="S115">
        <f>IF(E115="",0,COUNTIFS($Z$1:Z114,1,$E$1:E114,E115))</f>
        <v>0</v>
      </c>
      <c r="T115">
        <f>IF(E115="",0,COUNTIFS($Z$1:Z114,2,$E$1:E114,E115))</f>
        <v>0</v>
      </c>
      <c r="U115">
        <f>IF(E115="",0,COUNTIFS($Z$1:Z114,3,$E$1:E114,E115))</f>
        <v>0</v>
      </c>
      <c r="V115">
        <f>SUMIF($Z$1:Z114,1,$D$1:D114)</f>
        <v>-0.542654302435963</v>
      </c>
      <c r="W115">
        <f>SUMIF($Z$1:Z114,2,$D$1:D114)</f>
        <v>0.592439100824577</v>
      </c>
      <c r="X115">
        <f>SUMIF($Z$1:Z114,3,$D$1:D114)</f>
        <v>-0.0497847983886244</v>
      </c>
      <c r="Y115">
        <f>IF(B115="",0,INDEX('①名簿入力'!$AL$4:$AL$153,B115))</f>
        <v>0</v>
      </c>
      <c r="Z115" t="str">
        <f>IF(B115="","",MATCH(MIN(AA115:AC115),AA115:AC115,0))</f>
        <v/>
      </c>
      <c r="AA115" t="str">
        <f>IF(B115="","",IF(J115&gt;=$AE$2,1E+15,M115*1E+10+P115*1E+8+ROUND(100*(D115*V115+$AF$5*Y115*AI115+$AF$4*S115),0)+1E+6))</f>
        <v/>
      </c>
      <c r="AB115" t="str">
        <f>IF(B115="","",IF(K115&gt;=$AF$2,1E+15,N115*1E+10+Q115*1E+8+ROUND(100*(D115*W115+$AF$5*Y115*AJ115+$AF$4*T115),0)+1E+6))</f>
        <v/>
      </c>
      <c r="AC115" t="str">
        <f>IF(B115="","",IF(L115&gt;=$AG$2,1E+15,O115*1E+10+R115*1E+8+ROUND(100*(D115*X115+$AF$5*Y115*AK115+$AF$4*U115),0)+1E+6))</f>
        <v/>
      </c>
      <c r="AI115">
        <f>SUMIFS($Y$1:Y114,$Z$1:Z114,1,$C$1:C114,C115)</f>
        <v>0</v>
      </c>
      <c r="AJ115">
        <f>SUMIFS($Y$1:Y114,$Z$1:Z114,2,$C$1:C114,C115)</f>
        <v>0</v>
      </c>
      <c r="AK115">
        <f>SUMIFS($Y$1:Y114,$Z$1:Z114,3,$C$1:C114,C115)</f>
        <v>0</v>
      </c>
    </row>
    <row r="116">
      <c r="A116" t="n">
        <v>115</v>
      </c>
      <c r="B116" t="str">
        <f>IFERROR(MATCH(A116,'①名簿入力'!$AF$4:$AF$153,0),"")</f>
        <v/>
      </c>
      <c r="C116" t="str">
        <f>IF(B116="","",INDEX('①名簿入力'!$X$4:$X$153,B116))</f>
        <v/>
      </c>
      <c r="D116" t="str">
        <f>IF(B116="","",(INDEX('①名簿入力'!$AD$4:$AD$153,B116)-'設定'!$C$37)/'設定'!$C$38)</f>
        <v/>
      </c>
      <c r="E116" t="str">
        <f>IF(B116="","",INDEX('①名簿入力'!$B$4:$B$153,B116)&amp;"")</f>
        <v/>
      </c>
      <c r="F116">
        <f>IF(B116="",0,INDEX('①名簿入力'!$Y$4:$Y$153,B116))</f>
        <v>0</v>
      </c>
      <c r="G116">
        <f>IF(B116="",0,INDEX('①名簿入力'!$Z$4:$Z$153,B116))</f>
        <v>0</v>
      </c>
      <c r="H116">
        <f>IF(B116="",0,INDEX('①名簿入力'!$AA$4:$AA$153,B116))</f>
        <v>0</v>
      </c>
      <c r="I116">
        <f>IF(B116="",0,INDEX('①名簿入力'!$AB$4:$AB$153,B116))</f>
        <v>0</v>
      </c>
      <c r="J116">
        <f>COUNTIF($Z$1:Z115,1)</f>
        <v>35</v>
      </c>
      <c r="K116">
        <f>COUNTIF($Z$1:Z115,2)</f>
        <v>35</v>
      </c>
      <c r="L116">
        <f>COUNTIF($Z$1:Z115,3)</f>
        <v>35</v>
      </c>
      <c r="M116">
        <f>COUNTIFS($Z$1:Z115,1,$C$1:C115,C116)</f>
        <v>0</v>
      </c>
      <c r="N116">
        <f>COUNTIFS($Z$1:Z115,2,$C$1:C115,C116)</f>
        <v>0</v>
      </c>
      <c r="O116">
        <f>COUNTIFS($Z$1:Z115,3,$C$1:C115,C116)</f>
        <v>0</v>
      </c>
      <c r="P116">
        <f>F116*COUNTIFS($Z$1:Z115,1,$F$1:F115,1)+G116*COUNTIFS($Z$1:Z115,1,$G$1:G115,1)+H116*COUNTIFS($Z$1:Z115,1,$H$1:H115,1)+I116*COUNTIFS($Z$1:Z115,1,$I$1:I115,1)</f>
        <v>0</v>
      </c>
      <c r="Q116">
        <f>F116*COUNTIFS($Z$1:Z115,2,$F$1:F115,1)+G116*COUNTIFS($Z$1:Z115,2,$G$1:G115,1)+H116*COUNTIFS($Z$1:Z115,2,$H$1:H115,1)+I116*COUNTIFS($Z$1:Z115,2,$I$1:I115,1)</f>
        <v>0</v>
      </c>
      <c r="R116">
        <f>F116*COUNTIFS($Z$1:Z115,3,$F$1:F115,1)+G116*COUNTIFS($Z$1:Z115,3,$G$1:G115,1)+H116*COUNTIFS($Z$1:Z115,3,$H$1:H115,1)+I116*COUNTIFS($Z$1:Z115,3,$I$1:I115,1)</f>
        <v>0</v>
      </c>
      <c r="S116">
        <f>IF(E116="",0,COUNTIFS($Z$1:Z115,1,$E$1:E115,E116))</f>
        <v>0</v>
      </c>
      <c r="T116">
        <f>IF(E116="",0,COUNTIFS($Z$1:Z115,2,$E$1:E115,E116))</f>
        <v>0</v>
      </c>
      <c r="U116">
        <f>IF(E116="",0,COUNTIFS($Z$1:Z115,3,$E$1:E115,E116))</f>
        <v>0</v>
      </c>
      <c r="V116">
        <f>SUMIF($Z$1:Z115,1,$D$1:D115)</f>
        <v>-0.542654302435963</v>
      </c>
      <c r="W116">
        <f>SUMIF($Z$1:Z115,2,$D$1:D115)</f>
        <v>0.592439100824577</v>
      </c>
      <c r="X116">
        <f>SUMIF($Z$1:Z115,3,$D$1:D115)</f>
        <v>-0.0497847983886244</v>
      </c>
      <c r="Y116">
        <f>IF(B116="",0,INDEX('①名簿入力'!$AL$4:$AL$153,B116))</f>
        <v>0</v>
      </c>
      <c r="Z116" t="str">
        <f>IF(B116="","",MATCH(MIN(AA116:AC116),AA116:AC116,0))</f>
        <v/>
      </c>
      <c r="AA116" t="str">
        <f>IF(B116="","",IF(J116&gt;=$AE$2,1E+15,M116*1E+10+P116*1E+8+ROUND(100*(D116*V116+$AF$5*Y116*AI116+$AF$4*S116),0)+1E+6))</f>
        <v/>
      </c>
      <c r="AB116" t="str">
        <f>IF(B116="","",IF(K116&gt;=$AF$2,1E+15,N116*1E+10+Q116*1E+8+ROUND(100*(D116*W116+$AF$5*Y116*AJ116+$AF$4*T116),0)+1E+6))</f>
        <v/>
      </c>
      <c r="AC116" t="str">
        <f>IF(B116="","",IF(L116&gt;=$AG$2,1E+15,O116*1E+10+R116*1E+8+ROUND(100*(D116*X116+$AF$5*Y116*AK116+$AF$4*U116),0)+1E+6))</f>
        <v/>
      </c>
      <c r="AI116">
        <f>SUMIFS($Y$1:Y115,$Z$1:Z115,1,$C$1:C115,C116)</f>
        <v>0</v>
      </c>
      <c r="AJ116">
        <f>SUMIFS($Y$1:Y115,$Z$1:Z115,2,$C$1:C115,C116)</f>
        <v>0</v>
      </c>
      <c r="AK116">
        <f>SUMIFS($Y$1:Y115,$Z$1:Z115,3,$C$1:C115,C116)</f>
        <v>0</v>
      </c>
    </row>
    <row r="117">
      <c r="A117" t="n">
        <v>116</v>
      </c>
      <c r="B117" t="str">
        <f>IFERROR(MATCH(A117,'①名簿入力'!$AF$4:$AF$153,0),"")</f>
        <v/>
      </c>
      <c r="C117" t="str">
        <f>IF(B117="","",INDEX('①名簿入力'!$X$4:$X$153,B117))</f>
        <v/>
      </c>
      <c r="D117" t="str">
        <f>IF(B117="","",(INDEX('①名簿入力'!$AD$4:$AD$153,B117)-'設定'!$C$37)/'設定'!$C$38)</f>
        <v/>
      </c>
      <c r="E117" t="str">
        <f>IF(B117="","",INDEX('①名簿入力'!$B$4:$B$153,B117)&amp;"")</f>
        <v/>
      </c>
      <c r="F117">
        <f>IF(B117="",0,INDEX('①名簿入力'!$Y$4:$Y$153,B117))</f>
        <v>0</v>
      </c>
      <c r="G117">
        <f>IF(B117="",0,INDEX('①名簿入力'!$Z$4:$Z$153,B117))</f>
        <v>0</v>
      </c>
      <c r="H117">
        <f>IF(B117="",0,INDEX('①名簿入力'!$AA$4:$AA$153,B117))</f>
        <v>0</v>
      </c>
      <c r="I117">
        <f>IF(B117="",0,INDEX('①名簿入力'!$AB$4:$AB$153,B117))</f>
        <v>0</v>
      </c>
      <c r="J117">
        <f>COUNTIF($Z$1:Z116,1)</f>
        <v>35</v>
      </c>
      <c r="K117">
        <f>COUNTIF($Z$1:Z116,2)</f>
        <v>35</v>
      </c>
      <c r="L117">
        <f>COUNTIF($Z$1:Z116,3)</f>
        <v>35</v>
      </c>
      <c r="M117">
        <f>COUNTIFS($Z$1:Z116,1,$C$1:C116,C117)</f>
        <v>0</v>
      </c>
      <c r="N117">
        <f>COUNTIFS($Z$1:Z116,2,$C$1:C116,C117)</f>
        <v>0</v>
      </c>
      <c r="O117">
        <f>COUNTIFS($Z$1:Z116,3,$C$1:C116,C117)</f>
        <v>0</v>
      </c>
      <c r="P117">
        <f>F117*COUNTIFS($Z$1:Z116,1,$F$1:F116,1)+G117*COUNTIFS($Z$1:Z116,1,$G$1:G116,1)+H117*COUNTIFS($Z$1:Z116,1,$H$1:H116,1)+I117*COUNTIFS($Z$1:Z116,1,$I$1:I116,1)</f>
        <v>0</v>
      </c>
      <c r="Q117">
        <f>F117*COUNTIFS($Z$1:Z116,2,$F$1:F116,1)+G117*COUNTIFS($Z$1:Z116,2,$G$1:G116,1)+H117*COUNTIFS($Z$1:Z116,2,$H$1:H116,1)+I117*COUNTIFS($Z$1:Z116,2,$I$1:I116,1)</f>
        <v>0</v>
      </c>
      <c r="R117">
        <f>F117*COUNTIFS($Z$1:Z116,3,$F$1:F116,1)+G117*COUNTIFS($Z$1:Z116,3,$G$1:G116,1)+H117*COUNTIFS($Z$1:Z116,3,$H$1:H116,1)+I117*COUNTIFS($Z$1:Z116,3,$I$1:I116,1)</f>
        <v>0</v>
      </c>
      <c r="S117">
        <f>IF(E117="",0,COUNTIFS($Z$1:Z116,1,$E$1:E116,E117))</f>
        <v>0</v>
      </c>
      <c r="T117">
        <f>IF(E117="",0,COUNTIFS($Z$1:Z116,2,$E$1:E116,E117))</f>
        <v>0</v>
      </c>
      <c r="U117">
        <f>IF(E117="",0,COUNTIFS($Z$1:Z116,3,$E$1:E116,E117))</f>
        <v>0</v>
      </c>
      <c r="V117">
        <f>SUMIF($Z$1:Z116,1,$D$1:D116)</f>
        <v>-0.542654302435963</v>
      </c>
      <c r="W117">
        <f>SUMIF($Z$1:Z116,2,$D$1:D116)</f>
        <v>0.592439100824577</v>
      </c>
      <c r="X117">
        <f>SUMIF($Z$1:Z116,3,$D$1:D116)</f>
        <v>-0.0497847983886244</v>
      </c>
      <c r="Y117">
        <f>IF(B117="",0,INDEX('①名簿入力'!$AL$4:$AL$153,B117))</f>
        <v>0</v>
      </c>
      <c r="Z117" t="str">
        <f>IF(B117="","",MATCH(MIN(AA117:AC117),AA117:AC117,0))</f>
        <v/>
      </c>
      <c r="AA117" t="str">
        <f>IF(B117="","",IF(J117&gt;=$AE$2,1E+15,M117*1E+10+P117*1E+8+ROUND(100*(D117*V117+$AF$5*Y117*AI117+$AF$4*S117),0)+1E+6))</f>
        <v/>
      </c>
      <c r="AB117" t="str">
        <f>IF(B117="","",IF(K117&gt;=$AF$2,1E+15,N117*1E+10+Q117*1E+8+ROUND(100*(D117*W117+$AF$5*Y117*AJ117+$AF$4*T117),0)+1E+6))</f>
        <v/>
      </c>
      <c r="AC117" t="str">
        <f>IF(B117="","",IF(L117&gt;=$AG$2,1E+15,O117*1E+10+R117*1E+8+ROUND(100*(D117*X117+$AF$5*Y117*AK117+$AF$4*U117),0)+1E+6))</f>
        <v/>
      </c>
      <c r="AI117">
        <f>SUMIFS($Y$1:Y116,$Z$1:Z116,1,$C$1:C116,C117)</f>
        <v>0</v>
      </c>
      <c r="AJ117">
        <f>SUMIFS($Y$1:Y116,$Z$1:Z116,2,$C$1:C116,C117)</f>
        <v>0</v>
      </c>
      <c r="AK117">
        <f>SUMIFS($Y$1:Y116,$Z$1:Z116,3,$C$1:C116,C117)</f>
        <v>0</v>
      </c>
    </row>
    <row r="118">
      <c r="A118" t="n">
        <v>117</v>
      </c>
      <c r="B118" t="str">
        <f>IFERROR(MATCH(A118,'①名簿入力'!$AF$4:$AF$153,0),"")</f>
        <v/>
      </c>
      <c r="C118" t="str">
        <f>IF(B118="","",INDEX('①名簿入力'!$X$4:$X$153,B118))</f>
        <v/>
      </c>
      <c r="D118" t="str">
        <f>IF(B118="","",(INDEX('①名簿入力'!$AD$4:$AD$153,B118)-'設定'!$C$37)/'設定'!$C$38)</f>
        <v/>
      </c>
      <c r="E118" t="str">
        <f>IF(B118="","",INDEX('①名簿入力'!$B$4:$B$153,B118)&amp;"")</f>
        <v/>
      </c>
      <c r="F118">
        <f>IF(B118="",0,INDEX('①名簿入力'!$Y$4:$Y$153,B118))</f>
        <v>0</v>
      </c>
      <c r="G118">
        <f>IF(B118="",0,INDEX('①名簿入力'!$Z$4:$Z$153,B118))</f>
        <v>0</v>
      </c>
      <c r="H118">
        <f>IF(B118="",0,INDEX('①名簿入力'!$AA$4:$AA$153,B118))</f>
        <v>0</v>
      </c>
      <c r="I118">
        <f>IF(B118="",0,INDEX('①名簿入力'!$AB$4:$AB$153,B118))</f>
        <v>0</v>
      </c>
      <c r="J118">
        <f>COUNTIF($Z$1:Z117,1)</f>
        <v>35</v>
      </c>
      <c r="K118">
        <f>COUNTIF($Z$1:Z117,2)</f>
        <v>35</v>
      </c>
      <c r="L118">
        <f>COUNTIF($Z$1:Z117,3)</f>
        <v>35</v>
      </c>
      <c r="M118">
        <f>COUNTIFS($Z$1:Z117,1,$C$1:C117,C118)</f>
        <v>0</v>
      </c>
      <c r="N118">
        <f>COUNTIFS($Z$1:Z117,2,$C$1:C117,C118)</f>
        <v>0</v>
      </c>
      <c r="O118">
        <f>COUNTIFS($Z$1:Z117,3,$C$1:C117,C118)</f>
        <v>0</v>
      </c>
      <c r="P118">
        <f>F118*COUNTIFS($Z$1:Z117,1,$F$1:F117,1)+G118*COUNTIFS($Z$1:Z117,1,$G$1:G117,1)+H118*COUNTIFS($Z$1:Z117,1,$H$1:H117,1)+I118*COUNTIFS($Z$1:Z117,1,$I$1:I117,1)</f>
        <v>0</v>
      </c>
      <c r="Q118">
        <f>F118*COUNTIFS($Z$1:Z117,2,$F$1:F117,1)+G118*COUNTIFS($Z$1:Z117,2,$G$1:G117,1)+H118*COUNTIFS($Z$1:Z117,2,$H$1:H117,1)+I118*COUNTIFS($Z$1:Z117,2,$I$1:I117,1)</f>
        <v>0</v>
      </c>
      <c r="R118">
        <f>F118*COUNTIFS($Z$1:Z117,3,$F$1:F117,1)+G118*COUNTIFS($Z$1:Z117,3,$G$1:G117,1)+H118*COUNTIFS($Z$1:Z117,3,$H$1:H117,1)+I118*COUNTIFS($Z$1:Z117,3,$I$1:I117,1)</f>
        <v>0</v>
      </c>
      <c r="S118">
        <f>IF(E118="",0,COUNTIFS($Z$1:Z117,1,$E$1:E117,E118))</f>
        <v>0</v>
      </c>
      <c r="T118">
        <f>IF(E118="",0,COUNTIFS($Z$1:Z117,2,$E$1:E117,E118))</f>
        <v>0</v>
      </c>
      <c r="U118">
        <f>IF(E118="",0,COUNTIFS($Z$1:Z117,3,$E$1:E117,E118))</f>
        <v>0</v>
      </c>
      <c r="V118">
        <f>SUMIF($Z$1:Z117,1,$D$1:D117)</f>
        <v>-0.542654302435963</v>
      </c>
      <c r="W118">
        <f>SUMIF($Z$1:Z117,2,$D$1:D117)</f>
        <v>0.592439100824577</v>
      </c>
      <c r="X118">
        <f>SUMIF($Z$1:Z117,3,$D$1:D117)</f>
        <v>-0.0497847983886244</v>
      </c>
      <c r="Y118">
        <f>IF(B118="",0,INDEX('①名簿入力'!$AL$4:$AL$153,B118))</f>
        <v>0</v>
      </c>
      <c r="Z118" t="str">
        <f>IF(B118="","",MATCH(MIN(AA118:AC118),AA118:AC118,0))</f>
        <v/>
      </c>
      <c r="AA118" t="str">
        <f>IF(B118="","",IF(J118&gt;=$AE$2,1E+15,M118*1E+10+P118*1E+8+ROUND(100*(D118*V118+$AF$5*Y118*AI118+$AF$4*S118),0)+1E+6))</f>
        <v/>
      </c>
      <c r="AB118" t="str">
        <f>IF(B118="","",IF(K118&gt;=$AF$2,1E+15,N118*1E+10+Q118*1E+8+ROUND(100*(D118*W118+$AF$5*Y118*AJ118+$AF$4*T118),0)+1E+6))</f>
        <v/>
      </c>
      <c r="AC118" t="str">
        <f>IF(B118="","",IF(L118&gt;=$AG$2,1E+15,O118*1E+10+R118*1E+8+ROUND(100*(D118*X118+$AF$5*Y118*AK118+$AF$4*U118),0)+1E+6))</f>
        <v/>
      </c>
      <c r="AI118">
        <f>SUMIFS($Y$1:Y117,$Z$1:Z117,1,$C$1:C117,C118)</f>
        <v>0</v>
      </c>
      <c r="AJ118">
        <f>SUMIFS($Y$1:Y117,$Z$1:Z117,2,$C$1:C117,C118)</f>
        <v>0</v>
      </c>
      <c r="AK118">
        <f>SUMIFS($Y$1:Y117,$Z$1:Z117,3,$C$1:C117,C118)</f>
        <v>0</v>
      </c>
    </row>
    <row r="119">
      <c r="A119" t="n">
        <v>118</v>
      </c>
      <c r="B119" t="str">
        <f>IFERROR(MATCH(A119,'①名簿入力'!$AF$4:$AF$153,0),"")</f>
        <v/>
      </c>
      <c r="C119" t="str">
        <f>IF(B119="","",INDEX('①名簿入力'!$X$4:$X$153,B119))</f>
        <v/>
      </c>
      <c r="D119" t="str">
        <f>IF(B119="","",(INDEX('①名簿入力'!$AD$4:$AD$153,B119)-'設定'!$C$37)/'設定'!$C$38)</f>
        <v/>
      </c>
      <c r="E119" t="str">
        <f>IF(B119="","",INDEX('①名簿入力'!$B$4:$B$153,B119)&amp;"")</f>
        <v/>
      </c>
      <c r="F119">
        <f>IF(B119="",0,INDEX('①名簿入力'!$Y$4:$Y$153,B119))</f>
        <v>0</v>
      </c>
      <c r="G119">
        <f>IF(B119="",0,INDEX('①名簿入力'!$Z$4:$Z$153,B119))</f>
        <v>0</v>
      </c>
      <c r="H119">
        <f>IF(B119="",0,INDEX('①名簿入力'!$AA$4:$AA$153,B119))</f>
        <v>0</v>
      </c>
      <c r="I119">
        <f>IF(B119="",0,INDEX('①名簿入力'!$AB$4:$AB$153,B119))</f>
        <v>0</v>
      </c>
      <c r="J119">
        <f>COUNTIF($Z$1:Z118,1)</f>
        <v>35</v>
      </c>
      <c r="K119">
        <f>COUNTIF($Z$1:Z118,2)</f>
        <v>35</v>
      </c>
      <c r="L119">
        <f>COUNTIF($Z$1:Z118,3)</f>
        <v>35</v>
      </c>
      <c r="M119">
        <f>COUNTIFS($Z$1:Z118,1,$C$1:C118,C119)</f>
        <v>0</v>
      </c>
      <c r="N119">
        <f>COUNTIFS($Z$1:Z118,2,$C$1:C118,C119)</f>
        <v>0</v>
      </c>
      <c r="O119">
        <f>COUNTIFS($Z$1:Z118,3,$C$1:C118,C119)</f>
        <v>0</v>
      </c>
      <c r="P119">
        <f>F119*COUNTIFS($Z$1:Z118,1,$F$1:F118,1)+G119*COUNTIFS($Z$1:Z118,1,$G$1:G118,1)+H119*COUNTIFS($Z$1:Z118,1,$H$1:H118,1)+I119*COUNTIFS($Z$1:Z118,1,$I$1:I118,1)</f>
        <v>0</v>
      </c>
      <c r="Q119">
        <f>F119*COUNTIFS($Z$1:Z118,2,$F$1:F118,1)+G119*COUNTIFS($Z$1:Z118,2,$G$1:G118,1)+H119*COUNTIFS($Z$1:Z118,2,$H$1:H118,1)+I119*COUNTIFS($Z$1:Z118,2,$I$1:I118,1)</f>
        <v>0</v>
      </c>
      <c r="R119">
        <f>F119*COUNTIFS($Z$1:Z118,3,$F$1:F118,1)+G119*COUNTIFS($Z$1:Z118,3,$G$1:G118,1)+H119*COUNTIFS($Z$1:Z118,3,$H$1:H118,1)+I119*COUNTIFS($Z$1:Z118,3,$I$1:I118,1)</f>
        <v>0</v>
      </c>
      <c r="S119">
        <f>IF(E119="",0,COUNTIFS($Z$1:Z118,1,$E$1:E118,E119))</f>
        <v>0</v>
      </c>
      <c r="T119">
        <f>IF(E119="",0,COUNTIFS($Z$1:Z118,2,$E$1:E118,E119))</f>
        <v>0</v>
      </c>
      <c r="U119">
        <f>IF(E119="",0,COUNTIFS($Z$1:Z118,3,$E$1:E118,E119))</f>
        <v>0</v>
      </c>
      <c r="V119">
        <f>SUMIF($Z$1:Z118,1,$D$1:D118)</f>
        <v>-0.542654302435963</v>
      </c>
      <c r="W119">
        <f>SUMIF($Z$1:Z118,2,$D$1:D118)</f>
        <v>0.592439100824577</v>
      </c>
      <c r="X119">
        <f>SUMIF($Z$1:Z118,3,$D$1:D118)</f>
        <v>-0.0497847983886244</v>
      </c>
      <c r="Y119">
        <f>IF(B119="",0,INDEX('①名簿入力'!$AL$4:$AL$153,B119))</f>
        <v>0</v>
      </c>
      <c r="Z119" t="str">
        <f>IF(B119="","",MATCH(MIN(AA119:AC119),AA119:AC119,0))</f>
        <v/>
      </c>
      <c r="AA119" t="str">
        <f>IF(B119="","",IF(J119&gt;=$AE$2,1E+15,M119*1E+10+P119*1E+8+ROUND(100*(D119*V119+$AF$5*Y119*AI119+$AF$4*S119),0)+1E+6))</f>
        <v/>
      </c>
      <c r="AB119" t="str">
        <f>IF(B119="","",IF(K119&gt;=$AF$2,1E+15,N119*1E+10+Q119*1E+8+ROUND(100*(D119*W119+$AF$5*Y119*AJ119+$AF$4*T119),0)+1E+6))</f>
        <v/>
      </c>
      <c r="AC119" t="str">
        <f>IF(B119="","",IF(L119&gt;=$AG$2,1E+15,O119*1E+10+R119*1E+8+ROUND(100*(D119*X119+$AF$5*Y119*AK119+$AF$4*U119),0)+1E+6))</f>
        <v/>
      </c>
      <c r="AI119">
        <f>SUMIFS($Y$1:Y118,$Z$1:Z118,1,$C$1:C118,C119)</f>
        <v>0</v>
      </c>
      <c r="AJ119">
        <f>SUMIFS($Y$1:Y118,$Z$1:Z118,2,$C$1:C118,C119)</f>
        <v>0</v>
      </c>
      <c r="AK119">
        <f>SUMIFS($Y$1:Y118,$Z$1:Z118,3,$C$1:C118,C119)</f>
        <v>0</v>
      </c>
    </row>
    <row r="120">
      <c r="A120" t="n">
        <v>119</v>
      </c>
      <c r="B120" t="str">
        <f>IFERROR(MATCH(A120,'①名簿入力'!$AF$4:$AF$153,0),"")</f>
        <v/>
      </c>
      <c r="C120" t="str">
        <f>IF(B120="","",INDEX('①名簿入力'!$X$4:$X$153,B120))</f>
        <v/>
      </c>
      <c r="D120" t="str">
        <f>IF(B120="","",(INDEX('①名簿入力'!$AD$4:$AD$153,B120)-'設定'!$C$37)/'設定'!$C$38)</f>
        <v/>
      </c>
      <c r="E120" t="str">
        <f>IF(B120="","",INDEX('①名簿入力'!$B$4:$B$153,B120)&amp;"")</f>
        <v/>
      </c>
      <c r="F120">
        <f>IF(B120="",0,INDEX('①名簿入力'!$Y$4:$Y$153,B120))</f>
        <v>0</v>
      </c>
      <c r="G120">
        <f>IF(B120="",0,INDEX('①名簿入力'!$Z$4:$Z$153,B120))</f>
        <v>0</v>
      </c>
      <c r="H120">
        <f>IF(B120="",0,INDEX('①名簿入力'!$AA$4:$AA$153,B120))</f>
        <v>0</v>
      </c>
      <c r="I120">
        <f>IF(B120="",0,INDEX('①名簿入力'!$AB$4:$AB$153,B120))</f>
        <v>0</v>
      </c>
      <c r="J120">
        <f>COUNTIF($Z$1:Z119,1)</f>
        <v>35</v>
      </c>
      <c r="K120">
        <f>COUNTIF($Z$1:Z119,2)</f>
        <v>35</v>
      </c>
      <c r="L120">
        <f>COUNTIF($Z$1:Z119,3)</f>
        <v>35</v>
      </c>
      <c r="M120">
        <f>COUNTIFS($Z$1:Z119,1,$C$1:C119,C120)</f>
        <v>0</v>
      </c>
      <c r="N120">
        <f>COUNTIFS($Z$1:Z119,2,$C$1:C119,C120)</f>
        <v>0</v>
      </c>
      <c r="O120">
        <f>COUNTIFS($Z$1:Z119,3,$C$1:C119,C120)</f>
        <v>0</v>
      </c>
      <c r="P120">
        <f>F120*COUNTIFS($Z$1:Z119,1,$F$1:F119,1)+G120*COUNTIFS($Z$1:Z119,1,$G$1:G119,1)+H120*COUNTIFS($Z$1:Z119,1,$H$1:H119,1)+I120*COUNTIFS($Z$1:Z119,1,$I$1:I119,1)</f>
        <v>0</v>
      </c>
      <c r="Q120">
        <f>F120*COUNTIFS($Z$1:Z119,2,$F$1:F119,1)+G120*COUNTIFS($Z$1:Z119,2,$G$1:G119,1)+H120*COUNTIFS($Z$1:Z119,2,$H$1:H119,1)+I120*COUNTIFS($Z$1:Z119,2,$I$1:I119,1)</f>
        <v>0</v>
      </c>
      <c r="R120">
        <f>F120*COUNTIFS($Z$1:Z119,3,$F$1:F119,1)+G120*COUNTIFS($Z$1:Z119,3,$G$1:G119,1)+H120*COUNTIFS($Z$1:Z119,3,$H$1:H119,1)+I120*COUNTIFS($Z$1:Z119,3,$I$1:I119,1)</f>
        <v>0</v>
      </c>
      <c r="S120">
        <f>IF(E120="",0,COUNTIFS($Z$1:Z119,1,$E$1:E119,E120))</f>
        <v>0</v>
      </c>
      <c r="T120">
        <f>IF(E120="",0,COUNTIFS($Z$1:Z119,2,$E$1:E119,E120))</f>
        <v>0</v>
      </c>
      <c r="U120">
        <f>IF(E120="",0,COUNTIFS($Z$1:Z119,3,$E$1:E119,E120))</f>
        <v>0</v>
      </c>
      <c r="V120">
        <f>SUMIF($Z$1:Z119,1,$D$1:D119)</f>
        <v>-0.542654302435963</v>
      </c>
      <c r="W120">
        <f>SUMIF($Z$1:Z119,2,$D$1:D119)</f>
        <v>0.592439100824577</v>
      </c>
      <c r="X120">
        <f>SUMIF($Z$1:Z119,3,$D$1:D119)</f>
        <v>-0.0497847983886244</v>
      </c>
      <c r="Y120">
        <f>IF(B120="",0,INDEX('①名簿入力'!$AL$4:$AL$153,B120))</f>
        <v>0</v>
      </c>
      <c r="Z120" t="str">
        <f>IF(B120="","",MATCH(MIN(AA120:AC120),AA120:AC120,0))</f>
        <v/>
      </c>
      <c r="AA120" t="str">
        <f>IF(B120="","",IF(J120&gt;=$AE$2,1E+15,M120*1E+10+P120*1E+8+ROUND(100*(D120*V120+$AF$5*Y120*AI120+$AF$4*S120),0)+1E+6))</f>
        <v/>
      </c>
      <c r="AB120" t="str">
        <f>IF(B120="","",IF(K120&gt;=$AF$2,1E+15,N120*1E+10+Q120*1E+8+ROUND(100*(D120*W120+$AF$5*Y120*AJ120+$AF$4*T120),0)+1E+6))</f>
        <v/>
      </c>
      <c r="AC120" t="str">
        <f>IF(B120="","",IF(L120&gt;=$AG$2,1E+15,O120*1E+10+R120*1E+8+ROUND(100*(D120*X120+$AF$5*Y120*AK120+$AF$4*U120),0)+1E+6))</f>
        <v/>
      </c>
      <c r="AI120">
        <f>SUMIFS($Y$1:Y119,$Z$1:Z119,1,$C$1:C119,C120)</f>
        <v>0</v>
      </c>
      <c r="AJ120">
        <f>SUMIFS($Y$1:Y119,$Z$1:Z119,2,$C$1:C119,C120)</f>
        <v>0</v>
      </c>
      <c r="AK120">
        <f>SUMIFS($Y$1:Y119,$Z$1:Z119,3,$C$1:C119,C120)</f>
        <v>0</v>
      </c>
    </row>
    <row r="121">
      <c r="A121" t="n">
        <v>120</v>
      </c>
      <c r="B121" t="str">
        <f>IFERROR(MATCH(A121,'①名簿入力'!$AF$4:$AF$153,0),"")</f>
        <v/>
      </c>
      <c r="C121" t="str">
        <f>IF(B121="","",INDEX('①名簿入力'!$X$4:$X$153,B121))</f>
        <v/>
      </c>
      <c r="D121" t="str">
        <f>IF(B121="","",(INDEX('①名簿入力'!$AD$4:$AD$153,B121)-'設定'!$C$37)/'設定'!$C$38)</f>
        <v/>
      </c>
      <c r="E121" t="str">
        <f>IF(B121="","",INDEX('①名簿入力'!$B$4:$B$153,B121)&amp;"")</f>
        <v/>
      </c>
      <c r="F121">
        <f>IF(B121="",0,INDEX('①名簿入力'!$Y$4:$Y$153,B121))</f>
        <v>0</v>
      </c>
      <c r="G121">
        <f>IF(B121="",0,INDEX('①名簿入力'!$Z$4:$Z$153,B121))</f>
        <v>0</v>
      </c>
      <c r="H121">
        <f>IF(B121="",0,INDEX('①名簿入力'!$AA$4:$AA$153,B121))</f>
        <v>0</v>
      </c>
      <c r="I121">
        <f>IF(B121="",0,INDEX('①名簿入力'!$AB$4:$AB$153,B121))</f>
        <v>0</v>
      </c>
      <c r="J121">
        <f>COUNTIF($Z$1:Z120,1)</f>
        <v>35</v>
      </c>
      <c r="K121">
        <f>COUNTIF($Z$1:Z120,2)</f>
        <v>35</v>
      </c>
      <c r="L121">
        <f>COUNTIF($Z$1:Z120,3)</f>
        <v>35</v>
      </c>
      <c r="M121">
        <f>COUNTIFS($Z$1:Z120,1,$C$1:C120,C121)</f>
        <v>0</v>
      </c>
      <c r="N121">
        <f>COUNTIFS($Z$1:Z120,2,$C$1:C120,C121)</f>
        <v>0</v>
      </c>
      <c r="O121">
        <f>COUNTIFS($Z$1:Z120,3,$C$1:C120,C121)</f>
        <v>0</v>
      </c>
      <c r="P121">
        <f>F121*COUNTIFS($Z$1:Z120,1,$F$1:F120,1)+G121*COUNTIFS($Z$1:Z120,1,$G$1:G120,1)+H121*COUNTIFS($Z$1:Z120,1,$H$1:H120,1)+I121*COUNTIFS($Z$1:Z120,1,$I$1:I120,1)</f>
        <v>0</v>
      </c>
      <c r="Q121">
        <f>F121*COUNTIFS($Z$1:Z120,2,$F$1:F120,1)+G121*COUNTIFS($Z$1:Z120,2,$G$1:G120,1)+H121*COUNTIFS($Z$1:Z120,2,$H$1:H120,1)+I121*COUNTIFS($Z$1:Z120,2,$I$1:I120,1)</f>
        <v>0</v>
      </c>
      <c r="R121">
        <f>F121*COUNTIFS($Z$1:Z120,3,$F$1:F120,1)+G121*COUNTIFS($Z$1:Z120,3,$G$1:G120,1)+H121*COUNTIFS($Z$1:Z120,3,$H$1:H120,1)+I121*COUNTIFS($Z$1:Z120,3,$I$1:I120,1)</f>
        <v>0</v>
      </c>
      <c r="S121">
        <f>IF(E121="",0,COUNTIFS($Z$1:Z120,1,$E$1:E120,E121))</f>
        <v>0</v>
      </c>
      <c r="T121">
        <f>IF(E121="",0,COUNTIFS($Z$1:Z120,2,$E$1:E120,E121))</f>
        <v>0</v>
      </c>
      <c r="U121">
        <f>IF(E121="",0,COUNTIFS($Z$1:Z120,3,$E$1:E120,E121))</f>
        <v>0</v>
      </c>
      <c r="V121">
        <f>SUMIF($Z$1:Z120,1,$D$1:D120)</f>
        <v>-0.542654302435963</v>
      </c>
      <c r="W121">
        <f>SUMIF($Z$1:Z120,2,$D$1:D120)</f>
        <v>0.592439100824577</v>
      </c>
      <c r="X121">
        <f>SUMIF($Z$1:Z120,3,$D$1:D120)</f>
        <v>-0.0497847983886244</v>
      </c>
      <c r="Y121">
        <f>IF(B121="",0,INDEX('①名簿入力'!$AL$4:$AL$153,B121))</f>
        <v>0</v>
      </c>
      <c r="Z121" t="str">
        <f>IF(B121="","",MATCH(MIN(AA121:AC121),AA121:AC121,0))</f>
        <v/>
      </c>
      <c r="AA121" t="str">
        <f>IF(B121="","",IF(J121&gt;=$AE$2,1E+15,M121*1E+10+P121*1E+8+ROUND(100*(D121*V121+$AF$5*Y121*AI121+$AF$4*S121),0)+1E+6))</f>
        <v/>
      </c>
      <c r="AB121" t="str">
        <f>IF(B121="","",IF(K121&gt;=$AF$2,1E+15,N121*1E+10+Q121*1E+8+ROUND(100*(D121*W121+$AF$5*Y121*AJ121+$AF$4*T121),0)+1E+6))</f>
        <v/>
      </c>
      <c r="AC121" t="str">
        <f>IF(B121="","",IF(L121&gt;=$AG$2,1E+15,O121*1E+10+R121*1E+8+ROUND(100*(D121*X121+$AF$5*Y121*AK121+$AF$4*U121),0)+1E+6))</f>
        <v/>
      </c>
      <c r="AI121">
        <f>SUMIFS($Y$1:Y120,$Z$1:Z120,1,$C$1:C120,C121)</f>
        <v>0</v>
      </c>
      <c r="AJ121">
        <f>SUMIFS($Y$1:Y120,$Z$1:Z120,2,$C$1:C120,C121)</f>
        <v>0</v>
      </c>
      <c r="AK121">
        <f>SUMIFS($Y$1:Y120,$Z$1:Z120,3,$C$1:C120,C121)</f>
        <v>0</v>
      </c>
    </row>
    <row r="122">
      <c r="A122" t="n">
        <v>121</v>
      </c>
      <c r="B122" t="str">
        <f>IFERROR(MATCH(A122,'①名簿入力'!$AF$4:$AF$153,0),"")</f>
        <v/>
      </c>
      <c r="C122" t="str">
        <f>IF(B122="","",INDEX('①名簿入力'!$X$4:$X$153,B122))</f>
        <v/>
      </c>
      <c r="D122" t="str">
        <f>IF(B122="","",(INDEX('①名簿入力'!$AD$4:$AD$153,B122)-'設定'!$C$37)/'設定'!$C$38)</f>
        <v/>
      </c>
      <c r="E122" t="str">
        <f>IF(B122="","",INDEX('①名簿入力'!$B$4:$B$153,B122)&amp;"")</f>
        <v/>
      </c>
      <c r="F122">
        <f>IF(B122="",0,INDEX('①名簿入力'!$Y$4:$Y$153,B122))</f>
        <v>0</v>
      </c>
      <c r="G122">
        <f>IF(B122="",0,INDEX('①名簿入力'!$Z$4:$Z$153,B122))</f>
        <v>0</v>
      </c>
      <c r="H122">
        <f>IF(B122="",0,INDEX('①名簿入力'!$AA$4:$AA$153,B122))</f>
        <v>0</v>
      </c>
      <c r="I122">
        <f>IF(B122="",0,INDEX('①名簿入力'!$AB$4:$AB$153,B122))</f>
        <v>0</v>
      </c>
      <c r="J122">
        <f>COUNTIF($Z$1:Z121,1)</f>
        <v>35</v>
      </c>
      <c r="K122">
        <f>COUNTIF($Z$1:Z121,2)</f>
        <v>35</v>
      </c>
      <c r="L122">
        <f>COUNTIF($Z$1:Z121,3)</f>
        <v>35</v>
      </c>
      <c r="M122">
        <f>COUNTIFS($Z$1:Z121,1,$C$1:C121,C122)</f>
        <v>0</v>
      </c>
      <c r="N122">
        <f>COUNTIFS($Z$1:Z121,2,$C$1:C121,C122)</f>
        <v>0</v>
      </c>
      <c r="O122">
        <f>COUNTIFS($Z$1:Z121,3,$C$1:C121,C122)</f>
        <v>0</v>
      </c>
      <c r="P122">
        <f>F122*COUNTIFS($Z$1:Z121,1,$F$1:F121,1)+G122*COUNTIFS($Z$1:Z121,1,$G$1:G121,1)+H122*COUNTIFS($Z$1:Z121,1,$H$1:H121,1)+I122*COUNTIFS($Z$1:Z121,1,$I$1:I121,1)</f>
        <v>0</v>
      </c>
      <c r="Q122">
        <f>F122*COUNTIFS($Z$1:Z121,2,$F$1:F121,1)+G122*COUNTIFS($Z$1:Z121,2,$G$1:G121,1)+H122*COUNTIFS($Z$1:Z121,2,$H$1:H121,1)+I122*COUNTIFS($Z$1:Z121,2,$I$1:I121,1)</f>
        <v>0</v>
      </c>
      <c r="R122">
        <f>F122*COUNTIFS($Z$1:Z121,3,$F$1:F121,1)+G122*COUNTIFS($Z$1:Z121,3,$G$1:G121,1)+H122*COUNTIFS($Z$1:Z121,3,$H$1:H121,1)+I122*COUNTIFS($Z$1:Z121,3,$I$1:I121,1)</f>
        <v>0</v>
      </c>
      <c r="S122">
        <f>IF(E122="",0,COUNTIFS($Z$1:Z121,1,$E$1:E121,E122))</f>
        <v>0</v>
      </c>
      <c r="T122">
        <f>IF(E122="",0,COUNTIFS($Z$1:Z121,2,$E$1:E121,E122))</f>
        <v>0</v>
      </c>
      <c r="U122">
        <f>IF(E122="",0,COUNTIFS($Z$1:Z121,3,$E$1:E121,E122))</f>
        <v>0</v>
      </c>
      <c r="V122">
        <f>SUMIF($Z$1:Z121,1,$D$1:D121)</f>
        <v>-0.542654302435963</v>
      </c>
      <c r="W122">
        <f>SUMIF($Z$1:Z121,2,$D$1:D121)</f>
        <v>0.592439100824577</v>
      </c>
      <c r="X122">
        <f>SUMIF($Z$1:Z121,3,$D$1:D121)</f>
        <v>-0.0497847983886244</v>
      </c>
      <c r="Y122">
        <f>IF(B122="",0,INDEX('①名簿入力'!$AL$4:$AL$153,B122))</f>
        <v>0</v>
      </c>
      <c r="Z122" t="str">
        <f>IF(B122="","",MATCH(MIN(AA122:AC122),AA122:AC122,0))</f>
        <v/>
      </c>
      <c r="AA122" t="str">
        <f>IF(B122="","",IF(J122&gt;=$AE$2,1E+15,M122*1E+10+P122*1E+8+ROUND(100*(D122*V122+$AF$5*Y122*AI122+$AF$4*S122),0)+1E+6))</f>
        <v/>
      </c>
      <c r="AB122" t="str">
        <f>IF(B122="","",IF(K122&gt;=$AF$2,1E+15,N122*1E+10+Q122*1E+8+ROUND(100*(D122*W122+$AF$5*Y122*AJ122+$AF$4*T122),0)+1E+6))</f>
        <v/>
      </c>
      <c r="AC122" t="str">
        <f>IF(B122="","",IF(L122&gt;=$AG$2,1E+15,O122*1E+10+R122*1E+8+ROUND(100*(D122*X122+$AF$5*Y122*AK122+$AF$4*U122),0)+1E+6))</f>
        <v/>
      </c>
      <c r="AI122">
        <f>SUMIFS($Y$1:Y121,$Z$1:Z121,1,$C$1:C121,C122)</f>
        <v>0</v>
      </c>
      <c r="AJ122">
        <f>SUMIFS($Y$1:Y121,$Z$1:Z121,2,$C$1:C121,C122)</f>
        <v>0</v>
      </c>
      <c r="AK122">
        <f>SUMIFS($Y$1:Y121,$Z$1:Z121,3,$C$1:C121,C122)</f>
        <v>0</v>
      </c>
    </row>
    <row r="123">
      <c r="A123" t="n">
        <v>122</v>
      </c>
      <c r="B123" t="str">
        <f>IFERROR(MATCH(A123,'①名簿入力'!$AF$4:$AF$153,0),"")</f>
        <v/>
      </c>
      <c r="C123" t="str">
        <f>IF(B123="","",INDEX('①名簿入力'!$X$4:$X$153,B123))</f>
        <v/>
      </c>
      <c r="D123" t="str">
        <f>IF(B123="","",(INDEX('①名簿入力'!$AD$4:$AD$153,B123)-'設定'!$C$37)/'設定'!$C$38)</f>
        <v/>
      </c>
      <c r="E123" t="str">
        <f>IF(B123="","",INDEX('①名簿入力'!$B$4:$B$153,B123)&amp;"")</f>
        <v/>
      </c>
      <c r="F123">
        <f>IF(B123="",0,INDEX('①名簿入力'!$Y$4:$Y$153,B123))</f>
        <v>0</v>
      </c>
      <c r="G123">
        <f>IF(B123="",0,INDEX('①名簿入力'!$Z$4:$Z$153,B123))</f>
        <v>0</v>
      </c>
      <c r="H123">
        <f>IF(B123="",0,INDEX('①名簿入力'!$AA$4:$AA$153,B123))</f>
        <v>0</v>
      </c>
      <c r="I123">
        <f>IF(B123="",0,INDEX('①名簿入力'!$AB$4:$AB$153,B123))</f>
        <v>0</v>
      </c>
      <c r="J123">
        <f>COUNTIF($Z$1:Z122,1)</f>
        <v>35</v>
      </c>
      <c r="K123">
        <f>COUNTIF($Z$1:Z122,2)</f>
        <v>35</v>
      </c>
      <c r="L123">
        <f>COUNTIF($Z$1:Z122,3)</f>
        <v>35</v>
      </c>
      <c r="M123">
        <f>COUNTIFS($Z$1:Z122,1,$C$1:C122,C123)</f>
        <v>0</v>
      </c>
      <c r="N123">
        <f>COUNTIFS($Z$1:Z122,2,$C$1:C122,C123)</f>
        <v>0</v>
      </c>
      <c r="O123">
        <f>COUNTIFS($Z$1:Z122,3,$C$1:C122,C123)</f>
        <v>0</v>
      </c>
      <c r="P123">
        <f>F123*COUNTIFS($Z$1:Z122,1,$F$1:F122,1)+G123*COUNTIFS($Z$1:Z122,1,$G$1:G122,1)+H123*COUNTIFS($Z$1:Z122,1,$H$1:H122,1)+I123*COUNTIFS($Z$1:Z122,1,$I$1:I122,1)</f>
        <v>0</v>
      </c>
      <c r="Q123">
        <f>F123*COUNTIFS($Z$1:Z122,2,$F$1:F122,1)+G123*COUNTIFS($Z$1:Z122,2,$G$1:G122,1)+H123*COUNTIFS($Z$1:Z122,2,$H$1:H122,1)+I123*COUNTIFS($Z$1:Z122,2,$I$1:I122,1)</f>
        <v>0</v>
      </c>
      <c r="R123">
        <f>F123*COUNTIFS($Z$1:Z122,3,$F$1:F122,1)+G123*COUNTIFS($Z$1:Z122,3,$G$1:G122,1)+H123*COUNTIFS($Z$1:Z122,3,$H$1:H122,1)+I123*COUNTIFS($Z$1:Z122,3,$I$1:I122,1)</f>
        <v>0</v>
      </c>
      <c r="S123">
        <f>IF(E123="",0,COUNTIFS($Z$1:Z122,1,$E$1:E122,E123))</f>
        <v>0</v>
      </c>
      <c r="T123">
        <f>IF(E123="",0,COUNTIFS($Z$1:Z122,2,$E$1:E122,E123))</f>
        <v>0</v>
      </c>
      <c r="U123">
        <f>IF(E123="",0,COUNTIFS($Z$1:Z122,3,$E$1:E122,E123))</f>
        <v>0</v>
      </c>
      <c r="V123">
        <f>SUMIF($Z$1:Z122,1,$D$1:D122)</f>
        <v>-0.542654302435963</v>
      </c>
      <c r="W123">
        <f>SUMIF($Z$1:Z122,2,$D$1:D122)</f>
        <v>0.592439100824577</v>
      </c>
      <c r="X123">
        <f>SUMIF($Z$1:Z122,3,$D$1:D122)</f>
        <v>-0.0497847983886244</v>
      </c>
      <c r="Y123">
        <f>IF(B123="",0,INDEX('①名簿入力'!$AL$4:$AL$153,B123))</f>
        <v>0</v>
      </c>
      <c r="Z123" t="str">
        <f>IF(B123="","",MATCH(MIN(AA123:AC123),AA123:AC123,0))</f>
        <v/>
      </c>
      <c r="AA123" t="str">
        <f>IF(B123="","",IF(J123&gt;=$AE$2,1E+15,M123*1E+10+P123*1E+8+ROUND(100*(D123*V123+$AF$5*Y123*AI123+$AF$4*S123),0)+1E+6))</f>
        <v/>
      </c>
      <c r="AB123" t="str">
        <f>IF(B123="","",IF(K123&gt;=$AF$2,1E+15,N123*1E+10+Q123*1E+8+ROUND(100*(D123*W123+$AF$5*Y123*AJ123+$AF$4*T123),0)+1E+6))</f>
        <v/>
      </c>
      <c r="AC123" t="str">
        <f>IF(B123="","",IF(L123&gt;=$AG$2,1E+15,O123*1E+10+R123*1E+8+ROUND(100*(D123*X123+$AF$5*Y123*AK123+$AF$4*U123),0)+1E+6))</f>
        <v/>
      </c>
      <c r="AI123">
        <f>SUMIFS($Y$1:Y122,$Z$1:Z122,1,$C$1:C122,C123)</f>
        <v>0</v>
      </c>
      <c r="AJ123">
        <f>SUMIFS($Y$1:Y122,$Z$1:Z122,2,$C$1:C122,C123)</f>
        <v>0</v>
      </c>
      <c r="AK123">
        <f>SUMIFS($Y$1:Y122,$Z$1:Z122,3,$C$1:C122,C123)</f>
        <v>0</v>
      </c>
    </row>
    <row r="124">
      <c r="A124" t="n">
        <v>123</v>
      </c>
      <c r="B124" t="str">
        <f>IFERROR(MATCH(A124,'①名簿入力'!$AF$4:$AF$153,0),"")</f>
        <v/>
      </c>
      <c r="C124" t="str">
        <f>IF(B124="","",INDEX('①名簿入力'!$X$4:$X$153,B124))</f>
        <v/>
      </c>
      <c r="D124" t="str">
        <f>IF(B124="","",(INDEX('①名簿入力'!$AD$4:$AD$153,B124)-'設定'!$C$37)/'設定'!$C$38)</f>
        <v/>
      </c>
      <c r="E124" t="str">
        <f>IF(B124="","",INDEX('①名簿入力'!$B$4:$B$153,B124)&amp;"")</f>
        <v/>
      </c>
      <c r="F124">
        <f>IF(B124="",0,INDEX('①名簿入力'!$Y$4:$Y$153,B124))</f>
        <v>0</v>
      </c>
      <c r="G124">
        <f>IF(B124="",0,INDEX('①名簿入力'!$Z$4:$Z$153,B124))</f>
        <v>0</v>
      </c>
      <c r="H124">
        <f>IF(B124="",0,INDEX('①名簿入力'!$AA$4:$AA$153,B124))</f>
        <v>0</v>
      </c>
      <c r="I124">
        <f>IF(B124="",0,INDEX('①名簿入力'!$AB$4:$AB$153,B124))</f>
        <v>0</v>
      </c>
      <c r="J124">
        <f>COUNTIF($Z$1:Z123,1)</f>
        <v>35</v>
      </c>
      <c r="K124">
        <f>COUNTIF($Z$1:Z123,2)</f>
        <v>35</v>
      </c>
      <c r="L124">
        <f>COUNTIF($Z$1:Z123,3)</f>
        <v>35</v>
      </c>
      <c r="M124">
        <f>COUNTIFS($Z$1:Z123,1,$C$1:C123,C124)</f>
        <v>0</v>
      </c>
      <c r="N124">
        <f>COUNTIFS($Z$1:Z123,2,$C$1:C123,C124)</f>
        <v>0</v>
      </c>
      <c r="O124">
        <f>COUNTIFS($Z$1:Z123,3,$C$1:C123,C124)</f>
        <v>0</v>
      </c>
      <c r="P124">
        <f>F124*COUNTIFS($Z$1:Z123,1,$F$1:F123,1)+G124*COUNTIFS($Z$1:Z123,1,$G$1:G123,1)+H124*COUNTIFS($Z$1:Z123,1,$H$1:H123,1)+I124*COUNTIFS($Z$1:Z123,1,$I$1:I123,1)</f>
        <v>0</v>
      </c>
      <c r="Q124">
        <f>F124*COUNTIFS($Z$1:Z123,2,$F$1:F123,1)+G124*COUNTIFS($Z$1:Z123,2,$G$1:G123,1)+H124*COUNTIFS($Z$1:Z123,2,$H$1:H123,1)+I124*COUNTIFS($Z$1:Z123,2,$I$1:I123,1)</f>
        <v>0</v>
      </c>
      <c r="R124">
        <f>F124*COUNTIFS($Z$1:Z123,3,$F$1:F123,1)+G124*COUNTIFS($Z$1:Z123,3,$G$1:G123,1)+H124*COUNTIFS($Z$1:Z123,3,$H$1:H123,1)+I124*COUNTIFS($Z$1:Z123,3,$I$1:I123,1)</f>
        <v>0</v>
      </c>
      <c r="S124">
        <f>IF(E124="",0,COUNTIFS($Z$1:Z123,1,$E$1:E123,E124))</f>
        <v>0</v>
      </c>
      <c r="T124">
        <f>IF(E124="",0,COUNTIFS($Z$1:Z123,2,$E$1:E123,E124))</f>
        <v>0</v>
      </c>
      <c r="U124">
        <f>IF(E124="",0,COUNTIFS($Z$1:Z123,3,$E$1:E123,E124))</f>
        <v>0</v>
      </c>
      <c r="V124">
        <f>SUMIF($Z$1:Z123,1,$D$1:D123)</f>
        <v>-0.542654302435963</v>
      </c>
      <c r="W124">
        <f>SUMIF($Z$1:Z123,2,$D$1:D123)</f>
        <v>0.592439100824577</v>
      </c>
      <c r="X124">
        <f>SUMIF($Z$1:Z123,3,$D$1:D123)</f>
        <v>-0.0497847983886244</v>
      </c>
      <c r="Y124">
        <f>IF(B124="",0,INDEX('①名簿入力'!$AL$4:$AL$153,B124))</f>
        <v>0</v>
      </c>
      <c r="Z124" t="str">
        <f>IF(B124="","",MATCH(MIN(AA124:AC124),AA124:AC124,0))</f>
        <v/>
      </c>
      <c r="AA124" t="str">
        <f>IF(B124="","",IF(J124&gt;=$AE$2,1E+15,M124*1E+10+P124*1E+8+ROUND(100*(D124*V124+$AF$5*Y124*AI124+$AF$4*S124),0)+1E+6))</f>
        <v/>
      </c>
      <c r="AB124" t="str">
        <f>IF(B124="","",IF(K124&gt;=$AF$2,1E+15,N124*1E+10+Q124*1E+8+ROUND(100*(D124*W124+$AF$5*Y124*AJ124+$AF$4*T124),0)+1E+6))</f>
        <v/>
      </c>
      <c r="AC124" t="str">
        <f>IF(B124="","",IF(L124&gt;=$AG$2,1E+15,O124*1E+10+R124*1E+8+ROUND(100*(D124*X124+$AF$5*Y124*AK124+$AF$4*U124),0)+1E+6))</f>
        <v/>
      </c>
      <c r="AI124">
        <f>SUMIFS($Y$1:Y123,$Z$1:Z123,1,$C$1:C123,C124)</f>
        <v>0</v>
      </c>
      <c r="AJ124">
        <f>SUMIFS($Y$1:Y123,$Z$1:Z123,2,$C$1:C123,C124)</f>
        <v>0</v>
      </c>
      <c r="AK124">
        <f>SUMIFS($Y$1:Y123,$Z$1:Z123,3,$C$1:C123,C124)</f>
        <v>0</v>
      </c>
    </row>
    <row r="125">
      <c r="A125" t="n">
        <v>124</v>
      </c>
      <c r="B125" t="str">
        <f>IFERROR(MATCH(A125,'①名簿入力'!$AF$4:$AF$153,0),"")</f>
        <v/>
      </c>
      <c r="C125" t="str">
        <f>IF(B125="","",INDEX('①名簿入力'!$X$4:$X$153,B125))</f>
        <v/>
      </c>
      <c r="D125" t="str">
        <f>IF(B125="","",(INDEX('①名簿入力'!$AD$4:$AD$153,B125)-'設定'!$C$37)/'設定'!$C$38)</f>
        <v/>
      </c>
      <c r="E125" t="str">
        <f>IF(B125="","",INDEX('①名簿入力'!$B$4:$B$153,B125)&amp;"")</f>
        <v/>
      </c>
      <c r="F125">
        <f>IF(B125="",0,INDEX('①名簿入力'!$Y$4:$Y$153,B125))</f>
        <v>0</v>
      </c>
      <c r="G125">
        <f>IF(B125="",0,INDEX('①名簿入力'!$Z$4:$Z$153,B125))</f>
        <v>0</v>
      </c>
      <c r="H125">
        <f>IF(B125="",0,INDEX('①名簿入力'!$AA$4:$AA$153,B125))</f>
        <v>0</v>
      </c>
      <c r="I125">
        <f>IF(B125="",0,INDEX('①名簿入力'!$AB$4:$AB$153,B125))</f>
        <v>0</v>
      </c>
      <c r="J125">
        <f>COUNTIF($Z$1:Z124,1)</f>
        <v>35</v>
      </c>
      <c r="K125">
        <f>COUNTIF($Z$1:Z124,2)</f>
        <v>35</v>
      </c>
      <c r="L125">
        <f>COUNTIF($Z$1:Z124,3)</f>
        <v>35</v>
      </c>
      <c r="M125">
        <f>COUNTIFS($Z$1:Z124,1,$C$1:C124,C125)</f>
        <v>0</v>
      </c>
      <c r="N125">
        <f>COUNTIFS($Z$1:Z124,2,$C$1:C124,C125)</f>
        <v>0</v>
      </c>
      <c r="O125">
        <f>COUNTIFS($Z$1:Z124,3,$C$1:C124,C125)</f>
        <v>0</v>
      </c>
      <c r="P125">
        <f>F125*COUNTIFS($Z$1:Z124,1,$F$1:F124,1)+G125*COUNTIFS($Z$1:Z124,1,$G$1:G124,1)+H125*COUNTIFS($Z$1:Z124,1,$H$1:H124,1)+I125*COUNTIFS($Z$1:Z124,1,$I$1:I124,1)</f>
        <v>0</v>
      </c>
      <c r="Q125">
        <f>F125*COUNTIFS($Z$1:Z124,2,$F$1:F124,1)+G125*COUNTIFS($Z$1:Z124,2,$G$1:G124,1)+H125*COUNTIFS($Z$1:Z124,2,$H$1:H124,1)+I125*COUNTIFS($Z$1:Z124,2,$I$1:I124,1)</f>
        <v>0</v>
      </c>
      <c r="R125">
        <f>F125*COUNTIFS($Z$1:Z124,3,$F$1:F124,1)+G125*COUNTIFS($Z$1:Z124,3,$G$1:G124,1)+H125*COUNTIFS($Z$1:Z124,3,$H$1:H124,1)+I125*COUNTIFS($Z$1:Z124,3,$I$1:I124,1)</f>
        <v>0</v>
      </c>
      <c r="S125">
        <f>IF(E125="",0,COUNTIFS($Z$1:Z124,1,$E$1:E124,E125))</f>
        <v>0</v>
      </c>
      <c r="T125">
        <f>IF(E125="",0,COUNTIFS($Z$1:Z124,2,$E$1:E124,E125))</f>
        <v>0</v>
      </c>
      <c r="U125">
        <f>IF(E125="",0,COUNTIFS($Z$1:Z124,3,$E$1:E124,E125))</f>
        <v>0</v>
      </c>
      <c r="V125">
        <f>SUMIF($Z$1:Z124,1,$D$1:D124)</f>
        <v>-0.542654302435963</v>
      </c>
      <c r="W125">
        <f>SUMIF($Z$1:Z124,2,$D$1:D124)</f>
        <v>0.592439100824577</v>
      </c>
      <c r="X125">
        <f>SUMIF($Z$1:Z124,3,$D$1:D124)</f>
        <v>-0.0497847983886244</v>
      </c>
      <c r="Y125">
        <f>IF(B125="",0,INDEX('①名簿入力'!$AL$4:$AL$153,B125))</f>
        <v>0</v>
      </c>
      <c r="Z125" t="str">
        <f>IF(B125="","",MATCH(MIN(AA125:AC125),AA125:AC125,0))</f>
        <v/>
      </c>
      <c r="AA125" t="str">
        <f>IF(B125="","",IF(J125&gt;=$AE$2,1E+15,M125*1E+10+P125*1E+8+ROUND(100*(D125*V125+$AF$5*Y125*AI125+$AF$4*S125),0)+1E+6))</f>
        <v/>
      </c>
      <c r="AB125" t="str">
        <f>IF(B125="","",IF(K125&gt;=$AF$2,1E+15,N125*1E+10+Q125*1E+8+ROUND(100*(D125*W125+$AF$5*Y125*AJ125+$AF$4*T125),0)+1E+6))</f>
        <v/>
      </c>
      <c r="AC125" t="str">
        <f>IF(B125="","",IF(L125&gt;=$AG$2,1E+15,O125*1E+10+R125*1E+8+ROUND(100*(D125*X125+$AF$5*Y125*AK125+$AF$4*U125),0)+1E+6))</f>
        <v/>
      </c>
      <c r="AI125">
        <f>SUMIFS($Y$1:Y124,$Z$1:Z124,1,$C$1:C124,C125)</f>
        <v>0</v>
      </c>
      <c r="AJ125">
        <f>SUMIFS($Y$1:Y124,$Z$1:Z124,2,$C$1:C124,C125)</f>
        <v>0</v>
      </c>
      <c r="AK125">
        <f>SUMIFS($Y$1:Y124,$Z$1:Z124,3,$C$1:C124,C125)</f>
        <v>0</v>
      </c>
    </row>
    <row r="126">
      <c r="A126" t="n">
        <v>125</v>
      </c>
      <c r="B126" t="str">
        <f>IFERROR(MATCH(A126,'①名簿入力'!$AF$4:$AF$153,0),"")</f>
        <v/>
      </c>
      <c r="C126" t="str">
        <f>IF(B126="","",INDEX('①名簿入力'!$X$4:$X$153,B126))</f>
        <v/>
      </c>
      <c r="D126" t="str">
        <f>IF(B126="","",(INDEX('①名簿入力'!$AD$4:$AD$153,B126)-'設定'!$C$37)/'設定'!$C$38)</f>
        <v/>
      </c>
      <c r="E126" t="str">
        <f>IF(B126="","",INDEX('①名簿入力'!$B$4:$B$153,B126)&amp;"")</f>
        <v/>
      </c>
      <c r="F126">
        <f>IF(B126="",0,INDEX('①名簿入力'!$Y$4:$Y$153,B126))</f>
        <v>0</v>
      </c>
      <c r="G126">
        <f>IF(B126="",0,INDEX('①名簿入力'!$Z$4:$Z$153,B126))</f>
        <v>0</v>
      </c>
      <c r="H126">
        <f>IF(B126="",0,INDEX('①名簿入力'!$AA$4:$AA$153,B126))</f>
        <v>0</v>
      </c>
      <c r="I126">
        <f>IF(B126="",0,INDEX('①名簿入力'!$AB$4:$AB$153,B126))</f>
        <v>0</v>
      </c>
      <c r="J126">
        <f>COUNTIF($Z$1:Z125,1)</f>
        <v>35</v>
      </c>
      <c r="K126">
        <f>COUNTIF($Z$1:Z125,2)</f>
        <v>35</v>
      </c>
      <c r="L126">
        <f>COUNTIF($Z$1:Z125,3)</f>
        <v>35</v>
      </c>
      <c r="M126">
        <f>COUNTIFS($Z$1:Z125,1,$C$1:C125,C126)</f>
        <v>0</v>
      </c>
      <c r="N126">
        <f>COUNTIFS($Z$1:Z125,2,$C$1:C125,C126)</f>
        <v>0</v>
      </c>
      <c r="O126">
        <f>COUNTIFS($Z$1:Z125,3,$C$1:C125,C126)</f>
        <v>0</v>
      </c>
      <c r="P126">
        <f>F126*COUNTIFS($Z$1:Z125,1,$F$1:F125,1)+G126*COUNTIFS($Z$1:Z125,1,$G$1:G125,1)+H126*COUNTIFS($Z$1:Z125,1,$H$1:H125,1)+I126*COUNTIFS($Z$1:Z125,1,$I$1:I125,1)</f>
        <v>0</v>
      </c>
      <c r="Q126">
        <f>F126*COUNTIFS($Z$1:Z125,2,$F$1:F125,1)+G126*COUNTIFS($Z$1:Z125,2,$G$1:G125,1)+H126*COUNTIFS($Z$1:Z125,2,$H$1:H125,1)+I126*COUNTIFS($Z$1:Z125,2,$I$1:I125,1)</f>
        <v>0</v>
      </c>
      <c r="R126">
        <f>F126*COUNTIFS($Z$1:Z125,3,$F$1:F125,1)+G126*COUNTIFS($Z$1:Z125,3,$G$1:G125,1)+H126*COUNTIFS($Z$1:Z125,3,$H$1:H125,1)+I126*COUNTIFS($Z$1:Z125,3,$I$1:I125,1)</f>
        <v>0</v>
      </c>
      <c r="S126">
        <f>IF(E126="",0,COUNTIFS($Z$1:Z125,1,$E$1:E125,E126))</f>
        <v>0</v>
      </c>
      <c r="T126">
        <f>IF(E126="",0,COUNTIFS($Z$1:Z125,2,$E$1:E125,E126))</f>
        <v>0</v>
      </c>
      <c r="U126">
        <f>IF(E126="",0,COUNTIFS($Z$1:Z125,3,$E$1:E125,E126))</f>
        <v>0</v>
      </c>
      <c r="V126">
        <f>SUMIF($Z$1:Z125,1,$D$1:D125)</f>
        <v>-0.542654302435963</v>
      </c>
      <c r="W126">
        <f>SUMIF($Z$1:Z125,2,$D$1:D125)</f>
        <v>0.592439100824577</v>
      </c>
      <c r="X126">
        <f>SUMIF($Z$1:Z125,3,$D$1:D125)</f>
        <v>-0.0497847983886244</v>
      </c>
      <c r="Y126">
        <f>IF(B126="",0,INDEX('①名簿入力'!$AL$4:$AL$153,B126))</f>
        <v>0</v>
      </c>
      <c r="Z126" t="str">
        <f>IF(B126="","",MATCH(MIN(AA126:AC126),AA126:AC126,0))</f>
        <v/>
      </c>
      <c r="AA126" t="str">
        <f>IF(B126="","",IF(J126&gt;=$AE$2,1E+15,M126*1E+10+P126*1E+8+ROUND(100*(D126*V126+$AF$5*Y126*AI126+$AF$4*S126),0)+1E+6))</f>
        <v/>
      </c>
      <c r="AB126" t="str">
        <f>IF(B126="","",IF(K126&gt;=$AF$2,1E+15,N126*1E+10+Q126*1E+8+ROUND(100*(D126*W126+$AF$5*Y126*AJ126+$AF$4*T126),0)+1E+6))</f>
        <v/>
      </c>
      <c r="AC126" t="str">
        <f>IF(B126="","",IF(L126&gt;=$AG$2,1E+15,O126*1E+10+R126*1E+8+ROUND(100*(D126*X126+$AF$5*Y126*AK126+$AF$4*U126),0)+1E+6))</f>
        <v/>
      </c>
      <c r="AI126">
        <f>SUMIFS($Y$1:Y125,$Z$1:Z125,1,$C$1:C125,C126)</f>
        <v>0</v>
      </c>
      <c r="AJ126">
        <f>SUMIFS($Y$1:Y125,$Z$1:Z125,2,$C$1:C125,C126)</f>
        <v>0</v>
      </c>
      <c r="AK126">
        <f>SUMIFS($Y$1:Y125,$Z$1:Z125,3,$C$1:C125,C126)</f>
        <v>0</v>
      </c>
    </row>
    <row r="127">
      <c r="A127" t="n">
        <v>126</v>
      </c>
      <c r="B127" t="str">
        <f>IFERROR(MATCH(A127,'①名簿入力'!$AF$4:$AF$153,0),"")</f>
        <v/>
      </c>
      <c r="C127" t="str">
        <f>IF(B127="","",INDEX('①名簿入力'!$X$4:$X$153,B127))</f>
        <v/>
      </c>
      <c r="D127" t="str">
        <f>IF(B127="","",(INDEX('①名簿入力'!$AD$4:$AD$153,B127)-'設定'!$C$37)/'設定'!$C$38)</f>
        <v/>
      </c>
      <c r="E127" t="str">
        <f>IF(B127="","",INDEX('①名簿入力'!$B$4:$B$153,B127)&amp;"")</f>
        <v/>
      </c>
      <c r="F127">
        <f>IF(B127="",0,INDEX('①名簿入力'!$Y$4:$Y$153,B127))</f>
        <v>0</v>
      </c>
      <c r="G127">
        <f>IF(B127="",0,INDEX('①名簿入力'!$Z$4:$Z$153,B127))</f>
        <v>0</v>
      </c>
      <c r="H127">
        <f>IF(B127="",0,INDEX('①名簿入力'!$AA$4:$AA$153,B127))</f>
        <v>0</v>
      </c>
      <c r="I127">
        <f>IF(B127="",0,INDEX('①名簿入力'!$AB$4:$AB$153,B127))</f>
        <v>0</v>
      </c>
      <c r="J127">
        <f>COUNTIF($Z$1:Z126,1)</f>
        <v>35</v>
      </c>
      <c r="K127">
        <f>COUNTIF($Z$1:Z126,2)</f>
        <v>35</v>
      </c>
      <c r="L127">
        <f>COUNTIF($Z$1:Z126,3)</f>
        <v>35</v>
      </c>
      <c r="M127">
        <f>COUNTIFS($Z$1:Z126,1,$C$1:C126,C127)</f>
        <v>0</v>
      </c>
      <c r="N127">
        <f>COUNTIFS($Z$1:Z126,2,$C$1:C126,C127)</f>
        <v>0</v>
      </c>
      <c r="O127">
        <f>COUNTIFS($Z$1:Z126,3,$C$1:C126,C127)</f>
        <v>0</v>
      </c>
      <c r="P127">
        <f>F127*COUNTIFS($Z$1:Z126,1,$F$1:F126,1)+G127*COUNTIFS($Z$1:Z126,1,$G$1:G126,1)+H127*COUNTIFS($Z$1:Z126,1,$H$1:H126,1)+I127*COUNTIFS($Z$1:Z126,1,$I$1:I126,1)</f>
        <v>0</v>
      </c>
      <c r="Q127">
        <f>F127*COUNTIFS($Z$1:Z126,2,$F$1:F126,1)+G127*COUNTIFS($Z$1:Z126,2,$G$1:G126,1)+H127*COUNTIFS($Z$1:Z126,2,$H$1:H126,1)+I127*COUNTIFS($Z$1:Z126,2,$I$1:I126,1)</f>
        <v>0</v>
      </c>
      <c r="R127">
        <f>F127*COUNTIFS($Z$1:Z126,3,$F$1:F126,1)+G127*COUNTIFS($Z$1:Z126,3,$G$1:G126,1)+H127*COUNTIFS($Z$1:Z126,3,$H$1:H126,1)+I127*COUNTIFS($Z$1:Z126,3,$I$1:I126,1)</f>
        <v>0</v>
      </c>
      <c r="S127">
        <f>IF(E127="",0,COUNTIFS($Z$1:Z126,1,$E$1:E126,E127))</f>
        <v>0</v>
      </c>
      <c r="T127">
        <f>IF(E127="",0,COUNTIFS($Z$1:Z126,2,$E$1:E126,E127))</f>
        <v>0</v>
      </c>
      <c r="U127">
        <f>IF(E127="",0,COUNTIFS($Z$1:Z126,3,$E$1:E126,E127))</f>
        <v>0</v>
      </c>
      <c r="V127">
        <f>SUMIF($Z$1:Z126,1,$D$1:D126)</f>
        <v>-0.542654302435963</v>
      </c>
      <c r="W127">
        <f>SUMIF($Z$1:Z126,2,$D$1:D126)</f>
        <v>0.592439100824577</v>
      </c>
      <c r="X127">
        <f>SUMIF($Z$1:Z126,3,$D$1:D126)</f>
        <v>-0.0497847983886244</v>
      </c>
      <c r="Y127">
        <f>IF(B127="",0,INDEX('①名簿入力'!$AL$4:$AL$153,B127))</f>
        <v>0</v>
      </c>
      <c r="Z127" t="str">
        <f>IF(B127="","",MATCH(MIN(AA127:AC127),AA127:AC127,0))</f>
        <v/>
      </c>
      <c r="AA127" t="str">
        <f>IF(B127="","",IF(J127&gt;=$AE$2,1E+15,M127*1E+10+P127*1E+8+ROUND(100*(D127*V127+$AF$5*Y127*AI127+$AF$4*S127),0)+1E+6))</f>
        <v/>
      </c>
      <c r="AB127" t="str">
        <f>IF(B127="","",IF(K127&gt;=$AF$2,1E+15,N127*1E+10+Q127*1E+8+ROUND(100*(D127*W127+$AF$5*Y127*AJ127+$AF$4*T127),0)+1E+6))</f>
        <v/>
      </c>
      <c r="AC127" t="str">
        <f>IF(B127="","",IF(L127&gt;=$AG$2,1E+15,O127*1E+10+R127*1E+8+ROUND(100*(D127*X127+$AF$5*Y127*AK127+$AF$4*U127),0)+1E+6))</f>
        <v/>
      </c>
      <c r="AI127">
        <f>SUMIFS($Y$1:Y126,$Z$1:Z126,1,$C$1:C126,C127)</f>
        <v>0</v>
      </c>
      <c r="AJ127">
        <f>SUMIFS($Y$1:Y126,$Z$1:Z126,2,$C$1:C126,C127)</f>
        <v>0</v>
      </c>
      <c r="AK127">
        <f>SUMIFS($Y$1:Y126,$Z$1:Z126,3,$C$1:C126,C127)</f>
        <v>0</v>
      </c>
    </row>
    <row r="128">
      <c r="A128" t="n">
        <v>127</v>
      </c>
      <c r="B128" t="str">
        <f>IFERROR(MATCH(A128,'①名簿入力'!$AF$4:$AF$153,0),"")</f>
        <v/>
      </c>
      <c r="C128" t="str">
        <f>IF(B128="","",INDEX('①名簿入力'!$X$4:$X$153,B128))</f>
        <v/>
      </c>
      <c r="D128" t="str">
        <f>IF(B128="","",(INDEX('①名簿入力'!$AD$4:$AD$153,B128)-'設定'!$C$37)/'設定'!$C$38)</f>
        <v/>
      </c>
      <c r="E128" t="str">
        <f>IF(B128="","",INDEX('①名簿入力'!$B$4:$B$153,B128)&amp;"")</f>
        <v/>
      </c>
      <c r="F128">
        <f>IF(B128="",0,INDEX('①名簿入力'!$Y$4:$Y$153,B128))</f>
        <v>0</v>
      </c>
      <c r="G128">
        <f>IF(B128="",0,INDEX('①名簿入力'!$Z$4:$Z$153,B128))</f>
        <v>0</v>
      </c>
      <c r="H128">
        <f>IF(B128="",0,INDEX('①名簿入力'!$AA$4:$AA$153,B128))</f>
        <v>0</v>
      </c>
      <c r="I128">
        <f>IF(B128="",0,INDEX('①名簿入力'!$AB$4:$AB$153,B128))</f>
        <v>0</v>
      </c>
      <c r="J128">
        <f>COUNTIF($Z$1:Z127,1)</f>
        <v>35</v>
      </c>
      <c r="K128">
        <f>COUNTIF($Z$1:Z127,2)</f>
        <v>35</v>
      </c>
      <c r="L128">
        <f>COUNTIF($Z$1:Z127,3)</f>
        <v>35</v>
      </c>
      <c r="M128">
        <f>COUNTIFS($Z$1:Z127,1,$C$1:C127,C128)</f>
        <v>0</v>
      </c>
      <c r="N128">
        <f>COUNTIFS($Z$1:Z127,2,$C$1:C127,C128)</f>
        <v>0</v>
      </c>
      <c r="O128">
        <f>COUNTIFS($Z$1:Z127,3,$C$1:C127,C128)</f>
        <v>0</v>
      </c>
      <c r="P128">
        <f>F128*COUNTIFS($Z$1:Z127,1,$F$1:F127,1)+G128*COUNTIFS($Z$1:Z127,1,$G$1:G127,1)+H128*COUNTIFS($Z$1:Z127,1,$H$1:H127,1)+I128*COUNTIFS($Z$1:Z127,1,$I$1:I127,1)</f>
        <v>0</v>
      </c>
      <c r="Q128">
        <f>F128*COUNTIFS($Z$1:Z127,2,$F$1:F127,1)+G128*COUNTIFS($Z$1:Z127,2,$G$1:G127,1)+H128*COUNTIFS($Z$1:Z127,2,$H$1:H127,1)+I128*COUNTIFS($Z$1:Z127,2,$I$1:I127,1)</f>
        <v>0</v>
      </c>
      <c r="R128">
        <f>F128*COUNTIFS($Z$1:Z127,3,$F$1:F127,1)+G128*COUNTIFS($Z$1:Z127,3,$G$1:G127,1)+H128*COUNTIFS($Z$1:Z127,3,$H$1:H127,1)+I128*COUNTIFS($Z$1:Z127,3,$I$1:I127,1)</f>
        <v>0</v>
      </c>
      <c r="S128">
        <f>IF(E128="",0,COUNTIFS($Z$1:Z127,1,$E$1:E127,E128))</f>
        <v>0</v>
      </c>
      <c r="T128">
        <f>IF(E128="",0,COUNTIFS($Z$1:Z127,2,$E$1:E127,E128))</f>
        <v>0</v>
      </c>
      <c r="U128">
        <f>IF(E128="",0,COUNTIFS($Z$1:Z127,3,$E$1:E127,E128))</f>
        <v>0</v>
      </c>
      <c r="V128">
        <f>SUMIF($Z$1:Z127,1,$D$1:D127)</f>
        <v>-0.542654302435963</v>
      </c>
      <c r="W128">
        <f>SUMIF($Z$1:Z127,2,$D$1:D127)</f>
        <v>0.592439100824577</v>
      </c>
      <c r="X128">
        <f>SUMIF($Z$1:Z127,3,$D$1:D127)</f>
        <v>-0.0497847983886244</v>
      </c>
      <c r="Y128">
        <f>IF(B128="",0,INDEX('①名簿入力'!$AL$4:$AL$153,B128))</f>
        <v>0</v>
      </c>
      <c r="Z128" t="str">
        <f>IF(B128="","",MATCH(MIN(AA128:AC128),AA128:AC128,0))</f>
        <v/>
      </c>
      <c r="AA128" t="str">
        <f>IF(B128="","",IF(J128&gt;=$AE$2,1E+15,M128*1E+10+P128*1E+8+ROUND(100*(D128*V128+$AF$5*Y128*AI128+$AF$4*S128),0)+1E+6))</f>
        <v/>
      </c>
      <c r="AB128" t="str">
        <f>IF(B128="","",IF(K128&gt;=$AF$2,1E+15,N128*1E+10+Q128*1E+8+ROUND(100*(D128*W128+$AF$5*Y128*AJ128+$AF$4*T128),0)+1E+6))</f>
        <v/>
      </c>
      <c r="AC128" t="str">
        <f>IF(B128="","",IF(L128&gt;=$AG$2,1E+15,O128*1E+10+R128*1E+8+ROUND(100*(D128*X128+$AF$5*Y128*AK128+$AF$4*U128),0)+1E+6))</f>
        <v/>
      </c>
      <c r="AI128">
        <f>SUMIFS($Y$1:Y127,$Z$1:Z127,1,$C$1:C127,C128)</f>
        <v>0</v>
      </c>
      <c r="AJ128">
        <f>SUMIFS($Y$1:Y127,$Z$1:Z127,2,$C$1:C127,C128)</f>
        <v>0</v>
      </c>
      <c r="AK128">
        <f>SUMIFS($Y$1:Y127,$Z$1:Z127,3,$C$1:C127,C128)</f>
        <v>0</v>
      </c>
    </row>
    <row r="129">
      <c r="A129" t="n">
        <v>128</v>
      </c>
      <c r="B129" t="str">
        <f>IFERROR(MATCH(A129,'①名簿入力'!$AF$4:$AF$153,0),"")</f>
        <v/>
      </c>
      <c r="C129" t="str">
        <f>IF(B129="","",INDEX('①名簿入力'!$X$4:$X$153,B129))</f>
        <v/>
      </c>
      <c r="D129" t="str">
        <f>IF(B129="","",(INDEX('①名簿入力'!$AD$4:$AD$153,B129)-'設定'!$C$37)/'設定'!$C$38)</f>
        <v/>
      </c>
      <c r="E129" t="str">
        <f>IF(B129="","",INDEX('①名簿入力'!$B$4:$B$153,B129)&amp;"")</f>
        <v/>
      </c>
      <c r="F129">
        <f>IF(B129="",0,INDEX('①名簿入力'!$Y$4:$Y$153,B129))</f>
        <v>0</v>
      </c>
      <c r="G129">
        <f>IF(B129="",0,INDEX('①名簿入力'!$Z$4:$Z$153,B129))</f>
        <v>0</v>
      </c>
      <c r="H129">
        <f>IF(B129="",0,INDEX('①名簿入力'!$AA$4:$AA$153,B129))</f>
        <v>0</v>
      </c>
      <c r="I129">
        <f>IF(B129="",0,INDEX('①名簿入力'!$AB$4:$AB$153,B129))</f>
        <v>0</v>
      </c>
      <c r="J129">
        <f>COUNTIF($Z$1:Z128,1)</f>
        <v>35</v>
      </c>
      <c r="K129">
        <f>COUNTIF($Z$1:Z128,2)</f>
        <v>35</v>
      </c>
      <c r="L129">
        <f>COUNTIF($Z$1:Z128,3)</f>
        <v>35</v>
      </c>
      <c r="M129">
        <f>COUNTIFS($Z$1:Z128,1,$C$1:C128,C129)</f>
        <v>0</v>
      </c>
      <c r="N129">
        <f>COUNTIFS($Z$1:Z128,2,$C$1:C128,C129)</f>
        <v>0</v>
      </c>
      <c r="O129">
        <f>COUNTIFS($Z$1:Z128,3,$C$1:C128,C129)</f>
        <v>0</v>
      </c>
      <c r="P129">
        <f>F129*COUNTIFS($Z$1:Z128,1,$F$1:F128,1)+G129*COUNTIFS($Z$1:Z128,1,$G$1:G128,1)+H129*COUNTIFS($Z$1:Z128,1,$H$1:H128,1)+I129*COUNTIFS($Z$1:Z128,1,$I$1:I128,1)</f>
        <v>0</v>
      </c>
      <c r="Q129">
        <f>F129*COUNTIFS($Z$1:Z128,2,$F$1:F128,1)+G129*COUNTIFS($Z$1:Z128,2,$G$1:G128,1)+H129*COUNTIFS($Z$1:Z128,2,$H$1:H128,1)+I129*COUNTIFS($Z$1:Z128,2,$I$1:I128,1)</f>
        <v>0</v>
      </c>
      <c r="R129">
        <f>F129*COUNTIFS($Z$1:Z128,3,$F$1:F128,1)+G129*COUNTIFS($Z$1:Z128,3,$G$1:G128,1)+H129*COUNTIFS($Z$1:Z128,3,$H$1:H128,1)+I129*COUNTIFS($Z$1:Z128,3,$I$1:I128,1)</f>
        <v>0</v>
      </c>
      <c r="S129">
        <f>IF(E129="",0,COUNTIFS($Z$1:Z128,1,$E$1:E128,E129))</f>
        <v>0</v>
      </c>
      <c r="T129">
        <f>IF(E129="",0,COUNTIFS($Z$1:Z128,2,$E$1:E128,E129))</f>
        <v>0</v>
      </c>
      <c r="U129">
        <f>IF(E129="",0,COUNTIFS($Z$1:Z128,3,$E$1:E128,E129))</f>
        <v>0</v>
      </c>
      <c r="V129">
        <f>SUMIF($Z$1:Z128,1,$D$1:D128)</f>
        <v>-0.542654302435963</v>
      </c>
      <c r="W129">
        <f>SUMIF($Z$1:Z128,2,$D$1:D128)</f>
        <v>0.592439100824577</v>
      </c>
      <c r="X129">
        <f>SUMIF($Z$1:Z128,3,$D$1:D128)</f>
        <v>-0.0497847983886244</v>
      </c>
      <c r="Y129">
        <f>IF(B129="",0,INDEX('①名簿入力'!$AL$4:$AL$153,B129))</f>
        <v>0</v>
      </c>
      <c r="Z129" t="str">
        <f>IF(B129="","",MATCH(MIN(AA129:AC129),AA129:AC129,0))</f>
        <v/>
      </c>
      <c r="AA129" t="str">
        <f>IF(B129="","",IF(J129&gt;=$AE$2,1E+15,M129*1E+10+P129*1E+8+ROUND(100*(D129*V129+$AF$5*Y129*AI129+$AF$4*S129),0)+1E+6))</f>
        <v/>
      </c>
      <c r="AB129" t="str">
        <f>IF(B129="","",IF(K129&gt;=$AF$2,1E+15,N129*1E+10+Q129*1E+8+ROUND(100*(D129*W129+$AF$5*Y129*AJ129+$AF$4*T129),0)+1E+6))</f>
        <v/>
      </c>
      <c r="AC129" t="str">
        <f>IF(B129="","",IF(L129&gt;=$AG$2,1E+15,O129*1E+10+R129*1E+8+ROUND(100*(D129*X129+$AF$5*Y129*AK129+$AF$4*U129),0)+1E+6))</f>
        <v/>
      </c>
      <c r="AI129">
        <f>SUMIFS($Y$1:Y128,$Z$1:Z128,1,$C$1:C128,C129)</f>
        <v>0</v>
      </c>
      <c r="AJ129">
        <f>SUMIFS($Y$1:Y128,$Z$1:Z128,2,$C$1:C128,C129)</f>
        <v>0</v>
      </c>
      <c r="AK129">
        <f>SUMIFS($Y$1:Y128,$Z$1:Z128,3,$C$1:C128,C129)</f>
        <v>0</v>
      </c>
    </row>
    <row r="130">
      <c r="A130" t="n">
        <v>129</v>
      </c>
      <c r="B130" t="str">
        <f>IFERROR(MATCH(A130,'①名簿入力'!$AF$4:$AF$153,0),"")</f>
        <v/>
      </c>
      <c r="C130" t="str">
        <f>IF(B130="","",INDEX('①名簿入力'!$X$4:$X$153,B130))</f>
        <v/>
      </c>
      <c r="D130" t="str">
        <f>IF(B130="","",(INDEX('①名簿入力'!$AD$4:$AD$153,B130)-'設定'!$C$37)/'設定'!$C$38)</f>
        <v/>
      </c>
      <c r="E130" t="str">
        <f>IF(B130="","",INDEX('①名簿入力'!$B$4:$B$153,B130)&amp;"")</f>
        <v/>
      </c>
      <c r="F130">
        <f>IF(B130="",0,INDEX('①名簿入力'!$Y$4:$Y$153,B130))</f>
        <v>0</v>
      </c>
      <c r="G130">
        <f>IF(B130="",0,INDEX('①名簿入力'!$Z$4:$Z$153,B130))</f>
        <v>0</v>
      </c>
      <c r="H130">
        <f>IF(B130="",0,INDEX('①名簿入力'!$AA$4:$AA$153,B130))</f>
        <v>0</v>
      </c>
      <c r="I130">
        <f>IF(B130="",0,INDEX('①名簿入力'!$AB$4:$AB$153,B130))</f>
        <v>0</v>
      </c>
      <c r="J130">
        <f>COUNTIF($Z$1:Z129,1)</f>
        <v>35</v>
      </c>
      <c r="K130">
        <f>COUNTIF($Z$1:Z129,2)</f>
        <v>35</v>
      </c>
      <c r="L130">
        <f>COUNTIF($Z$1:Z129,3)</f>
        <v>35</v>
      </c>
      <c r="M130">
        <f>COUNTIFS($Z$1:Z129,1,$C$1:C129,C130)</f>
        <v>0</v>
      </c>
      <c r="N130">
        <f>COUNTIFS($Z$1:Z129,2,$C$1:C129,C130)</f>
        <v>0</v>
      </c>
      <c r="O130">
        <f>COUNTIFS($Z$1:Z129,3,$C$1:C129,C130)</f>
        <v>0</v>
      </c>
      <c r="P130">
        <f>F130*COUNTIFS($Z$1:Z129,1,$F$1:F129,1)+G130*COUNTIFS($Z$1:Z129,1,$G$1:G129,1)+H130*COUNTIFS($Z$1:Z129,1,$H$1:H129,1)+I130*COUNTIFS($Z$1:Z129,1,$I$1:I129,1)</f>
        <v>0</v>
      </c>
      <c r="Q130">
        <f>F130*COUNTIFS($Z$1:Z129,2,$F$1:F129,1)+G130*COUNTIFS($Z$1:Z129,2,$G$1:G129,1)+H130*COUNTIFS($Z$1:Z129,2,$H$1:H129,1)+I130*COUNTIFS($Z$1:Z129,2,$I$1:I129,1)</f>
        <v>0</v>
      </c>
      <c r="R130">
        <f>F130*COUNTIFS($Z$1:Z129,3,$F$1:F129,1)+G130*COUNTIFS($Z$1:Z129,3,$G$1:G129,1)+H130*COUNTIFS($Z$1:Z129,3,$H$1:H129,1)+I130*COUNTIFS($Z$1:Z129,3,$I$1:I129,1)</f>
        <v>0</v>
      </c>
      <c r="S130">
        <f>IF(E130="",0,COUNTIFS($Z$1:Z129,1,$E$1:E129,E130))</f>
        <v>0</v>
      </c>
      <c r="T130">
        <f>IF(E130="",0,COUNTIFS($Z$1:Z129,2,$E$1:E129,E130))</f>
        <v>0</v>
      </c>
      <c r="U130">
        <f>IF(E130="",0,COUNTIFS($Z$1:Z129,3,$E$1:E129,E130))</f>
        <v>0</v>
      </c>
      <c r="V130">
        <f>SUMIF($Z$1:Z129,1,$D$1:D129)</f>
        <v>-0.542654302435963</v>
      </c>
      <c r="W130">
        <f>SUMIF($Z$1:Z129,2,$D$1:D129)</f>
        <v>0.592439100824577</v>
      </c>
      <c r="X130">
        <f>SUMIF($Z$1:Z129,3,$D$1:D129)</f>
        <v>-0.0497847983886244</v>
      </c>
      <c r="Y130">
        <f>IF(B130="",0,INDEX('①名簿入力'!$AL$4:$AL$153,B130))</f>
        <v>0</v>
      </c>
      <c r="Z130" t="str">
        <f>IF(B130="","",MATCH(MIN(AA130:AC130),AA130:AC130,0))</f>
        <v/>
      </c>
      <c r="AA130" t="str">
        <f>IF(B130="","",IF(J130&gt;=$AE$2,1E+15,M130*1E+10+P130*1E+8+ROUND(100*(D130*V130+$AF$5*Y130*AI130+$AF$4*S130),0)+1E+6))</f>
        <v/>
      </c>
      <c r="AB130" t="str">
        <f>IF(B130="","",IF(K130&gt;=$AF$2,1E+15,N130*1E+10+Q130*1E+8+ROUND(100*(D130*W130+$AF$5*Y130*AJ130+$AF$4*T130),0)+1E+6))</f>
        <v/>
      </c>
      <c r="AC130" t="str">
        <f>IF(B130="","",IF(L130&gt;=$AG$2,1E+15,O130*1E+10+R130*1E+8+ROUND(100*(D130*X130+$AF$5*Y130*AK130+$AF$4*U130),0)+1E+6))</f>
        <v/>
      </c>
      <c r="AI130">
        <f>SUMIFS($Y$1:Y129,$Z$1:Z129,1,$C$1:C129,C130)</f>
        <v>0</v>
      </c>
      <c r="AJ130">
        <f>SUMIFS($Y$1:Y129,$Z$1:Z129,2,$C$1:C129,C130)</f>
        <v>0</v>
      </c>
      <c r="AK130">
        <f>SUMIFS($Y$1:Y129,$Z$1:Z129,3,$C$1:C129,C130)</f>
        <v>0</v>
      </c>
    </row>
    <row r="131">
      <c r="A131" t="n">
        <v>130</v>
      </c>
      <c r="B131" t="str">
        <f>IFERROR(MATCH(A131,'①名簿入力'!$AF$4:$AF$153,0),"")</f>
        <v/>
      </c>
      <c r="C131" t="str">
        <f>IF(B131="","",INDEX('①名簿入力'!$X$4:$X$153,B131))</f>
        <v/>
      </c>
      <c r="D131" t="str">
        <f>IF(B131="","",(INDEX('①名簿入力'!$AD$4:$AD$153,B131)-'設定'!$C$37)/'設定'!$C$38)</f>
        <v/>
      </c>
      <c r="E131" t="str">
        <f>IF(B131="","",INDEX('①名簿入力'!$B$4:$B$153,B131)&amp;"")</f>
        <v/>
      </c>
      <c r="F131">
        <f>IF(B131="",0,INDEX('①名簿入力'!$Y$4:$Y$153,B131))</f>
        <v>0</v>
      </c>
      <c r="G131">
        <f>IF(B131="",0,INDEX('①名簿入力'!$Z$4:$Z$153,B131))</f>
        <v>0</v>
      </c>
      <c r="H131">
        <f>IF(B131="",0,INDEX('①名簿入力'!$AA$4:$AA$153,B131))</f>
        <v>0</v>
      </c>
      <c r="I131">
        <f>IF(B131="",0,INDEX('①名簿入力'!$AB$4:$AB$153,B131))</f>
        <v>0</v>
      </c>
      <c r="J131">
        <f>COUNTIF($Z$1:Z130,1)</f>
        <v>35</v>
      </c>
      <c r="K131">
        <f>COUNTIF($Z$1:Z130,2)</f>
        <v>35</v>
      </c>
      <c r="L131">
        <f>COUNTIF($Z$1:Z130,3)</f>
        <v>35</v>
      </c>
      <c r="M131">
        <f>COUNTIFS($Z$1:Z130,1,$C$1:C130,C131)</f>
        <v>0</v>
      </c>
      <c r="N131">
        <f>COUNTIFS($Z$1:Z130,2,$C$1:C130,C131)</f>
        <v>0</v>
      </c>
      <c r="O131">
        <f>COUNTIFS($Z$1:Z130,3,$C$1:C130,C131)</f>
        <v>0</v>
      </c>
      <c r="P131">
        <f>F131*COUNTIFS($Z$1:Z130,1,$F$1:F130,1)+G131*COUNTIFS($Z$1:Z130,1,$G$1:G130,1)+H131*COUNTIFS($Z$1:Z130,1,$H$1:H130,1)+I131*COUNTIFS($Z$1:Z130,1,$I$1:I130,1)</f>
        <v>0</v>
      </c>
      <c r="Q131">
        <f>F131*COUNTIFS($Z$1:Z130,2,$F$1:F130,1)+G131*COUNTIFS($Z$1:Z130,2,$G$1:G130,1)+H131*COUNTIFS($Z$1:Z130,2,$H$1:H130,1)+I131*COUNTIFS($Z$1:Z130,2,$I$1:I130,1)</f>
        <v>0</v>
      </c>
      <c r="R131">
        <f>F131*COUNTIFS($Z$1:Z130,3,$F$1:F130,1)+G131*COUNTIFS($Z$1:Z130,3,$G$1:G130,1)+H131*COUNTIFS($Z$1:Z130,3,$H$1:H130,1)+I131*COUNTIFS($Z$1:Z130,3,$I$1:I130,1)</f>
        <v>0</v>
      </c>
      <c r="S131">
        <f>IF(E131="",0,COUNTIFS($Z$1:Z130,1,$E$1:E130,E131))</f>
        <v>0</v>
      </c>
      <c r="T131">
        <f>IF(E131="",0,COUNTIFS($Z$1:Z130,2,$E$1:E130,E131))</f>
        <v>0</v>
      </c>
      <c r="U131">
        <f>IF(E131="",0,COUNTIFS($Z$1:Z130,3,$E$1:E130,E131))</f>
        <v>0</v>
      </c>
      <c r="V131">
        <f>SUMIF($Z$1:Z130,1,$D$1:D130)</f>
        <v>-0.542654302435963</v>
      </c>
      <c r="W131">
        <f>SUMIF($Z$1:Z130,2,$D$1:D130)</f>
        <v>0.592439100824577</v>
      </c>
      <c r="X131">
        <f>SUMIF($Z$1:Z130,3,$D$1:D130)</f>
        <v>-0.0497847983886244</v>
      </c>
      <c r="Y131">
        <f>IF(B131="",0,INDEX('①名簿入力'!$AL$4:$AL$153,B131))</f>
        <v>0</v>
      </c>
      <c r="Z131" t="str">
        <f>IF(B131="","",MATCH(MIN(AA131:AC131),AA131:AC131,0))</f>
        <v/>
      </c>
      <c r="AA131" t="str">
        <f>IF(B131="","",IF(J131&gt;=$AE$2,1E+15,M131*1E+10+P131*1E+8+ROUND(100*(D131*V131+$AF$5*Y131*AI131+$AF$4*S131),0)+1E+6))</f>
        <v/>
      </c>
      <c r="AB131" t="str">
        <f>IF(B131="","",IF(K131&gt;=$AF$2,1E+15,N131*1E+10+Q131*1E+8+ROUND(100*(D131*W131+$AF$5*Y131*AJ131+$AF$4*T131),0)+1E+6))</f>
        <v/>
      </c>
      <c r="AC131" t="str">
        <f>IF(B131="","",IF(L131&gt;=$AG$2,1E+15,O131*1E+10+R131*1E+8+ROUND(100*(D131*X131+$AF$5*Y131*AK131+$AF$4*U131),0)+1E+6))</f>
        <v/>
      </c>
      <c r="AI131">
        <f>SUMIFS($Y$1:Y130,$Z$1:Z130,1,$C$1:C130,C131)</f>
        <v>0</v>
      </c>
      <c r="AJ131">
        <f>SUMIFS($Y$1:Y130,$Z$1:Z130,2,$C$1:C130,C131)</f>
        <v>0</v>
      </c>
      <c r="AK131">
        <f>SUMIFS($Y$1:Y130,$Z$1:Z130,3,$C$1:C130,C131)</f>
        <v>0</v>
      </c>
    </row>
    <row r="132">
      <c r="A132" t="n">
        <v>131</v>
      </c>
      <c r="B132" t="str">
        <f>IFERROR(MATCH(A132,'①名簿入力'!$AF$4:$AF$153,0),"")</f>
        <v/>
      </c>
      <c r="C132" t="str">
        <f>IF(B132="","",INDEX('①名簿入力'!$X$4:$X$153,B132))</f>
        <v/>
      </c>
      <c r="D132" t="str">
        <f>IF(B132="","",(INDEX('①名簿入力'!$AD$4:$AD$153,B132)-'設定'!$C$37)/'設定'!$C$38)</f>
        <v/>
      </c>
      <c r="E132" t="str">
        <f>IF(B132="","",INDEX('①名簿入力'!$B$4:$B$153,B132)&amp;"")</f>
        <v/>
      </c>
      <c r="F132">
        <f>IF(B132="",0,INDEX('①名簿入力'!$Y$4:$Y$153,B132))</f>
        <v>0</v>
      </c>
      <c r="G132">
        <f>IF(B132="",0,INDEX('①名簿入力'!$Z$4:$Z$153,B132))</f>
        <v>0</v>
      </c>
      <c r="H132">
        <f>IF(B132="",0,INDEX('①名簿入力'!$AA$4:$AA$153,B132))</f>
        <v>0</v>
      </c>
      <c r="I132">
        <f>IF(B132="",0,INDEX('①名簿入力'!$AB$4:$AB$153,B132))</f>
        <v>0</v>
      </c>
      <c r="J132">
        <f>COUNTIF($Z$1:Z131,1)</f>
        <v>35</v>
      </c>
      <c r="K132">
        <f>COUNTIF($Z$1:Z131,2)</f>
        <v>35</v>
      </c>
      <c r="L132">
        <f>COUNTIF($Z$1:Z131,3)</f>
        <v>35</v>
      </c>
      <c r="M132">
        <f>COUNTIFS($Z$1:Z131,1,$C$1:C131,C132)</f>
        <v>0</v>
      </c>
      <c r="N132">
        <f>COUNTIFS($Z$1:Z131,2,$C$1:C131,C132)</f>
        <v>0</v>
      </c>
      <c r="O132">
        <f>COUNTIFS($Z$1:Z131,3,$C$1:C131,C132)</f>
        <v>0</v>
      </c>
      <c r="P132">
        <f>F132*COUNTIFS($Z$1:Z131,1,$F$1:F131,1)+G132*COUNTIFS($Z$1:Z131,1,$G$1:G131,1)+H132*COUNTIFS($Z$1:Z131,1,$H$1:H131,1)+I132*COUNTIFS($Z$1:Z131,1,$I$1:I131,1)</f>
        <v>0</v>
      </c>
      <c r="Q132">
        <f>F132*COUNTIFS($Z$1:Z131,2,$F$1:F131,1)+G132*COUNTIFS($Z$1:Z131,2,$G$1:G131,1)+H132*COUNTIFS($Z$1:Z131,2,$H$1:H131,1)+I132*COUNTIFS($Z$1:Z131,2,$I$1:I131,1)</f>
        <v>0</v>
      </c>
      <c r="R132">
        <f>F132*COUNTIFS($Z$1:Z131,3,$F$1:F131,1)+G132*COUNTIFS($Z$1:Z131,3,$G$1:G131,1)+H132*COUNTIFS($Z$1:Z131,3,$H$1:H131,1)+I132*COUNTIFS($Z$1:Z131,3,$I$1:I131,1)</f>
        <v>0</v>
      </c>
      <c r="S132">
        <f>IF(E132="",0,COUNTIFS($Z$1:Z131,1,$E$1:E131,E132))</f>
        <v>0</v>
      </c>
      <c r="T132">
        <f>IF(E132="",0,COUNTIFS($Z$1:Z131,2,$E$1:E131,E132))</f>
        <v>0</v>
      </c>
      <c r="U132">
        <f>IF(E132="",0,COUNTIFS($Z$1:Z131,3,$E$1:E131,E132))</f>
        <v>0</v>
      </c>
      <c r="V132">
        <f>SUMIF($Z$1:Z131,1,$D$1:D131)</f>
        <v>-0.542654302435963</v>
      </c>
      <c r="W132">
        <f>SUMIF($Z$1:Z131,2,$D$1:D131)</f>
        <v>0.592439100824577</v>
      </c>
      <c r="X132">
        <f>SUMIF($Z$1:Z131,3,$D$1:D131)</f>
        <v>-0.0497847983886244</v>
      </c>
      <c r="Y132">
        <f>IF(B132="",0,INDEX('①名簿入力'!$AL$4:$AL$153,B132))</f>
        <v>0</v>
      </c>
      <c r="Z132" t="str">
        <f>IF(B132="","",MATCH(MIN(AA132:AC132),AA132:AC132,0))</f>
        <v/>
      </c>
      <c r="AA132" t="str">
        <f>IF(B132="","",IF(J132&gt;=$AE$2,1E+15,M132*1E+10+P132*1E+8+ROUND(100*(D132*V132+$AF$5*Y132*AI132+$AF$4*S132),0)+1E+6))</f>
        <v/>
      </c>
      <c r="AB132" t="str">
        <f>IF(B132="","",IF(K132&gt;=$AF$2,1E+15,N132*1E+10+Q132*1E+8+ROUND(100*(D132*W132+$AF$5*Y132*AJ132+$AF$4*T132),0)+1E+6))</f>
        <v/>
      </c>
      <c r="AC132" t="str">
        <f>IF(B132="","",IF(L132&gt;=$AG$2,1E+15,O132*1E+10+R132*1E+8+ROUND(100*(D132*X132+$AF$5*Y132*AK132+$AF$4*U132),0)+1E+6))</f>
        <v/>
      </c>
      <c r="AI132">
        <f>SUMIFS($Y$1:Y131,$Z$1:Z131,1,$C$1:C131,C132)</f>
        <v>0</v>
      </c>
      <c r="AJ132">
        <f>SUMIFS($Y$1:Y131,$Z$1:Z131,2,$C$1:C131,C132)</f>
        <v>0</v>
      </c>
      <c r="AK132">
        <f>SUMIFS($Y$1:Y131,$Z$1:Z131,3,$C$1:C131,C132)</f>
        <v>0</v>
      </c>
    </row>
    <row r="133">
      <c r="A133" t="n">
        <v>132</v>
      </c>
      <c r="B133" t="str">
        <f>IFERROR(MATCH(A133,'①名簿入力'!$AF$4:$AF$153,0),"")</f>
        <v/>
      </c>
      <c r="C133" t="str">
        <f>IF(B133="","",INDEX('①名簿入力'!$X$4:$X$153,B133))</f>
        <v/>
      </c>
      <c r="D133" t="str">
        <f>IF(B133="","",(INDEX('①名簿入力'!$AD$4:$AD$153,B133)-'設定'!$C$37)/'設定'!$C$38)</f>
        <v/>
      </c>
      <c r="E133" t="str">
        <f>IF(B133="","",INDEX('①名簿入力'!$B$4:$B$153,B133)&amp;"")</f>
        <v/>
      </c>
      <c r="F133">
        <f>IF(B133="",0,INDEX('①名簿入力'!$Y$4:$Y$153,B133))</f>
        <v>0</v>
      </c>
      <c r="G133">
        <f>IF(B133="",0,INDEX('①名簿入力'!$Z$4:$Z$153,B133))</f>
        <v>0</v>
      </c>
      <c r="H133">
        <f>IF(B133="",0,INDEX('①名簿入力'!$AA$4:$AA$153,B133))</f>
        <v>0</v>
      </c>
      <c r="I133">
        <f>IF(B133="",0,INDEX('①名簿入力'!$AB$4:$AB$153,B133))</f>
        <v>0</v>
      </c>
      <c r="J133">
        <f>COUNTIF($Z$1:Z132,1)</f>
        <v>35</v>
      </c>
      <c r="K133">
        <f>COUNTIF($Z$1:Z132,2)</f>
        <v>35</v>
      </c>
      <c r="L133">
        <f>COUNTIF($Z$1:Z132,3)</f>
        <v>35</v>
      </c>
      <c r="M133">
        <f>COUNTIFS($Z$1:Z132,1,$C$1:C132,C133)</f>
        <v>0</v>
      </c>
      <c r="N133">
        <f>COUNTIFS($Z$1:Z132,2,$C$1:C132,C133)</f>
        <v>0</v>
      </c>
      <c r="O133">
        <f>COUNTIFS($Z$1:Z132,3,$C$1:C132,C133)</f>
        <v>0</v>
      </c>
      <c r="P133">
        <f>F133*COUNTIFS($Z$1:Z132,1,$F$1:F132,1)+G133*COUNTIFS($Z$1:Z132,1,$G$1:G132,1)+H133*COUNTIFS($Z$1:Z132,1,$H$1:H132,1)+I133*COUNTIFS($Z$1:Z132,1,$I$1:I132,1)</f>
        <v>0</v>
      </c>
      <c r="Q133">
        <f>F133*COUNTIFS($Z$1:Z132,2,$F$1:F132,1)+G133*COUNTIFS($Z$1:Z132,2,$G$1:G132,1)+H133*COUNTIFS($Z$1:Z132,2,$H$1:H132,1)+I133*COUNTIFS($Z$1:Z132,2,$I$1:I132,1)</f>
        <v>0</v>
      </c>
      <c r="R133">
        <f>F133*COUNTIFS($Z$1:Z132,3,$F$1:F132,1)+G133*COUNTIFS($Z$1:Z132,3,$G$1:G132,1)+H133*COUNTIFS($Z$1:Z132,3,$H$1:H132,1)+I133*COUNTIFS($Z$1:Z132,3,$I$1:I132,1)</f>
        <v>0</v>
      </c>
      <c r="S133">
        <f>IF(E133="",0,COUNTIFS($Z$1:Z132,1,$E$1:E132,E133))</f>
        <v>0</v>
      </c>
      <c r="T133">
        <f>IF(E133="",0,COUNTIFS($Z$1:Z132,2,$E$1:E132,E133))</f>
        <v>0</v>
      </c>
      <c r="U133">
        <f>IF(E133="",0,COUNTIFS($Z$1:Z132,3,$E$1:E132,E133))</f>
        <v>0</v>
      </c>
      <c r="V133">
        <f>SUMIF($Z$1:Z132,1,$D$1:D132)</f>
        <v>-0.542654302435963</v>
      </c>
      <c r="W133">
        <f>SUMIF($Z$1:Z132,2,$D$1:D132)</f>
        <v>0.592439100824577</v>
      </c>
      <c r="X133">
        <f>SUMIF($Z$1:Z132,3,$D$1:D132)</f>
        <v>-0.0497847983886244</v>
      </c>
      <c r="Y133">
        <f>IF(B133="",0,INDEX('①名簿入力'!$AL$4:$AL$153,B133))</f>
        <v>0</v>
      </c>
      <c r="Z133" t="str">
        <f>IF(B133="","",MATCH(MIN(AA133:AC133),AA133:AC133,0))</f>
        <v/>
      </c>
      <c r="AA133" t="str">
        <f>IF(B133="","",IF(J133&gt;=$AE$2,1E+15,M133*1E+10+P133*1E+8+ROUND(100*(D133*V133+$AF$5*Y133*AI133+$AF$4*S133),0)+1E+6))</f>
        <v/>
      </c>
      <c r="AB133" t="str">
        <f>IF(B133="","",IF(K133&gt;=$AF$2,1E+15,N133*1E+10+Q133*1E+8+ROUND(100*(D133*W133+$AF$5*Y133*AJ133+$AF$4*T133),0)+1E+6))</f>
        <v/>
      </c>
      <c r="AC133" t="str">
        <f>IF(B133="","",IF(L133&gt;=$AG$2,1E+15,O133*1E+10+R133*1E+8+ROUND(100*(D133*X133+$AF$5*Y133*AK133+$AF$4*U133),0)+1E+6))</f>
        <v/>
      </c>
      <c r="AI133">
        <f>SUMIFS($Y$1:Y132,$Z$1:Z132,1,$C$1:C132,C133)</f>
        <v>0</v>
      </c>
      <c r="AJ133">
        <f>SUMIFS($Y$1:Y132,$Z$1:Z132,2,$C$1:C132,C133)</f>
        <v>0</v>
      </c>
      <c r="AK133">
        <f>SUMIFS($Y$1:Y132,$Z$1:Z132,3,$C$1:C132,C133)</f>
        <v>0</v>
      </c>
    </row>
    <row r="134">
      <c r="A134" t="n">
        <v>133</v>
      </c>
      <c r="B134" t="str">
        <f>IFERROR(MATCH(A134,'①名簿入力'!$AF$4:$AF$153,0),"")</f>
        <v/>
      </c>
      <c r="C134" t="str">
        <f>IF(B134="","",INDEX('①名簿入力'!$X$4:$X$153,B134))</f>
        <v/>
      </c>
      <c r="D134" t="str">
        <f>IF(B134="","",(INDEX('①名簿入力'!$AD$4:$AD$153,B134)-'設定'!$C$37)/'設定'!$C$38)</f>
        <v/>
      </c>
      <c r="E134" t="str">
        <f>IF(B134="","",INDEX('①名簿入力'!$B$4:$B$153,B134)&amp;"")</f>
        <v/>
      </c>
      <c r="F134">
        <f>IF(B134="",0,INDEX('①名簿入力'!$Y$4:$Y$153,B134))</f>
        <v>0</v>
      </c>
      <c r="G134">
        <f>IF(B134="",0,INDEX('①名簿入力'!$Z$4:$Z$153,B134))</f>
        <v>0</v>
      </c>
      <c r="H134">
        <f>IF(B134="",0,INDEX('①名簿入力'!$AA$4:$AA$153,B134))</f>
        <v>0</v>
      </c>
      <c r="I134">
        <f>IF(B134="",0,INDEX('①名簿入力'!$AB$4:$AB$153,B134))</f>
        <v>0</v>
      </c>
      <c r="J134">
        <f>COUNTIF($Z$1:Z133,1)</f>
        <v>35</v>
      </c>
      <c r="K134">
        <f>COUNTIF($Z$1:Z133,2)</f>
        <v>35</v>
      </c>
      <c r="L134">
        <f>COUNTIF($Z$1:Z133,3)</f>
        <v>35</v>
      </c>
      <c r="M134">
        <f>COUNTIFS($Z$1:Z133,1,$C$1:C133,C134)</f>
        <v>0</v>
      </c>
      <c r="N134">
        <f>COUNTIFS($Z$1:Z133,2,$C$1:C133,C134)</f>
        <v>0</v>
      </c>
      <c r="O134">
        <f>COUNTIFS($Z$1:Z133,3,$C$1:C133,C134)</f>
        <v>0</v>
      </c>
      <c r="P134">
        <f>F134*COUNTIFS($Z$1:Z133,1,$F$1:F133,1)+G134*COUNTIFS($Z$1:Z133,1,$G$1:G133,1)+H134*COUNTIFS($Z$1:Z133,1,$H$1:H133,1)+I134*COUNTIFS($Z$1:Z133,1,$I$1:I133,1)</f>
        <v>0</v>
      </c>
      <c r="Q134">
        <f>F134*COUNTIFS($Z$1:Z133,2,$F$1:F133,1)+G134*COUNTIFS($Z$1:Z133,2,$G$1:G133,1)+H134*COUNTIFS($Z$1:Z133,2,$H$1:H133,1)+I134*COUNTIFS($Z$1:Z133,2,$I$1:I133,1)</f>
        <v>0</v>
      </c>
      <c r="R134">
        <f>F134*COUNTIFS($Z$1:Z133,3,$F$1:F133,1)+G134*COUNTIFS($Z$1:Z133,3,$G$1:G133,1)+H134*COUNTIFS($Z$1:Z133,3,$H$1:H133,1)+I134*COUNTIFS($Z$1:Z133,3,$I$1:I133,1)</f>
        <v>0</v>
      </c>
      <c r="S134">
        <f>IF(E134="",0,COUNTIFS($Z$1:Z133,1,$E$1:E133,E134))</f>
        <v>0</v>
      </c>
      <c r="T134">
        <f>IF(E134="",0,COUNTIFS($Z$1:Z133,2,$E$1:E133,E134))</f>
        <v>0</v>
      </c>
      <c r="U134">
        <f>IF(E134="",0,COUNTIFS($Z$1:Z133,3,$E$1:E133,E134))</f>
        <v>0</v>
      </c>
      <c r="V134">
        <f>SUMIF($Z$1:Z133,1,$D$1:D133)</f>
        <v>-0.542654302435963</v>
      </c>
      <c r="W134">
        <f>SUMIF($Z$1:Z133,2,$D$1:D133)</f>
        <v>0.592439100824577</v>
      </c>
      <c r="X134">
        <f>SUMIF($Z$1:Z133,3,$D$1:D133)</f>
        <v>-0.0497847983886244</v>
      </c>
      <c r="Y134">
        <f>IF(B134="",0,INDEX('①名簿入力'!$AL$4:$AL$153,B134))</f>
        <v>0</v>
      </c>
      <c r="Z134" t="str">
        <f>IF(B134="","",MATCH(MIN(AA134:AC134),AA134:AC134,0))</f>
        <v/>
      </c>
      <c r="AA134" t="str">
        <f>IF(B134="","",IF(J134&gt;=$AE$2,1E+15,M134*1E+10+P134*1E+8+ROUND(100*(D134*V134+$AF$5*Y134*AI134+$AF$4*S134),0)+1E+6))</f>
        <v/>
      </c>
      <c r="AB134" t="str">
        <f>IF(B134="","",IF(K134&gt;=$AF$2,1E+15,N134*1E+10+Q134*1E+8+ROUND(100*(D134*W134+$AF$5*Y134*AJ134+$AF$4*T134),0)+1E+6))</f>
        <v/>
      </c>
      <c r="AC134" t="str">
        <f>IF(B134="","",IF(L134&gt;=$AG$2,1E+15,O134*1E+10+R134*1E+8+ROUND(100*(D134*X134+$AF$5*Y134*AK134+$AF$4*U134),0)+1E+6))</f>
        <v/>
      </c>
      <c r="AI134">
        <f>SUMIFS($Y$1:Y133,$Z$1:Z133,1,$C$1:C133,C134)</f>
        <v>0</v>
      </c>
      <c r="AJ134">
        <f>SUMIFS($Y$1:Y133,$Z$1:Z133,2,$C$1:C133,C134)</f>
        <v>0</v>
      </c>
      <c r="AK134">
        <f>SUMIFS($Y$1:Y133,$Z$1:Z133,3,$C$1:C133,C134)</f>
        <v>0</v>
      </c>
    </row>
    <row r="135">
      <c r="A135" t="n">
        <v>134</v>
      </c>
      <c r="B135" t="str">
        <f>IFERROR(MATCH(A135,'①名簿入力'!$AF$4:$AF$153,0),"")</f>
        <v/>
      </c>
      <c r="C135" t="str">
        <f>IF(B135="","",INDEX('①名簿入力'!$X$4:$X$153,B135))</f>
        <v/>
      </c>
      <c r="D135" t="str">
        <f>IF(B135="","",(INDEX('①名簿入力'!$AD$4:$AD$153,B135)-'設定'!$C$37)/'設定'!$C$38)</f>
        <v/>
      </c>
      <c r="E135" t="str">
        <f>IF(B135="","",INDEX('①名簿入力'!$B$4:$B$153,B135)&amp;"")</f>
        <v/>
      </c>
      <c r="F135">
        <f>IF(B135="",0,INDEX('①名簿入力'!$Y$4:$Y$153,B135))</f>
        <v>0</v>
      </c>
      <c r="G135">
        <f>IF(B135="",0,INDEX('①名簿入力'!$Z$4:$Z$153,B135))</f>
        <v>0</v>
      </c>
      <c r="H135">
        <f>IF(B135="",0,INDEX('①名簿入力'!$AA$4:$AA$153,B135))</f>
        <v>0</v>
      </c>
      <c r="I135">
        <f>IF(B135="",0,INDEX('①名簿入力'!$AB$4:$AB$153,B135))</f>
        <v>0</v>
      </c>
      <c r="J135">
        <f>COUNTIF($Z$1:Z134,1)</f>
        <v>35</v>
      </c>
      <c r="K135">
        <f>COUNTIF($Z$1:Z134,2)</f>
        <v>35</v>
      </c>
      <c r="L135">
        <f>COUNTIF($Z$1:Z134,3)</f>
        <v>35</v>
      </c>
      <c r="M135">
        <f>COUNTIFS($Z$1:Z134,1,$C$1:C134,C135)</f>
        <v>0</v>
      </c>
      <c r="N135">
        <f>COUNTIFS($Z$1:Z134,2,$C$1:C134,C135)</f>
        <v>0</v>
      </c>
      <c r="O135">
        <f>COUNTIFS($Z$1:Z134,3,$C$1:C134,C135)</f>
        <v>0</v>
      </c>
      <c r="P135">
        <f>F135*COUNTIFS($Z$1:Z134,1,$F$1:F134,1)+G135*COUNTIFS($Z$1:Z134,1,$G$1:G134,1)+H135*COUNTIFS($Z$1:Z134,1,$H$1:H134,1)+I135*COUNTIFS($Z$1:Z134,1,$I$1:I134,1)</f>
        <v>0</v>
      </c>
      <c r="Q135">
        <f>F135*COUNTIFS($Z$1:Z134,2,$F$1:F134,1)+G135*COUNTIFS($Z$1:Z134,2,$G$1:G134,1)+H135*COUNTIFS($Z$1:Z134,2,$H$1:H134,1)+I135*COUNTIFS($Z$1:Z134,2,$I$1:I134,1)</f>
        <v>0</v>
      </c>
      <c r="R135">
        <f>F135*COUNTIFS($Z$1:Z134,3,$F$1:F134,1)+G135*COUNTIFS($Z$1:Z134,3,$G$1:G134,1)+H135*COUNTIFS($Z$1:Z134,3,$H$1:H134,1)+I135*COUNTIFS($Z$1:Z134,3,$I$1:I134,1)</f>
        <v>0</v>
      </c>
      <c r="S135">
        <f>IF(E135="",0,COUNTIFS($Z$1:Z134,1,$E$1:E134,E135))</f>
        <v>0</v>
      </c>
      <c r="T135">
        <f>IF(E135="",0,COUNTIFS($Z$1:Z134,2,$E$1:E134,E135))</f>
        <v>0</v>
      </c>
      <c r="U135">
        <f>IF(E135="",0,COUNTIFS($Z$1:Z134,3,$E$1:E134,E135))</f>
        <v>0</v>
      </c>
      <c r="V135">
        <f>SUMIF($Z$1:Z134,1,$D$1:D134)</f>
        <v>-0.542654302435963</v>
      </c>
      <c r="W135">
        <f>SUMIF($Z$1:Z134,2,$D$1:D134)</f>
        <v>0.592439100824577</v>
      </c>
      <c r="X135">
        <f>SUMIF($Z$1:Z134,3,$D$1:D134)</f>
        <v>-0.0497847983886244</v>
      </c>
      <c r="Y135">
        <f>IF(B135="",0,INDEX('①名簿入力'!$AL$4:$AL$153,B135))</f>
        <v>0</v>
      </c>
      <c r="Z135" t="str">
        <f>IF(B135="","",MATCH(MIN(AA135:AC135),AA135:AC135,0))</f>
        <v/>
      </c>
      <c r="AA135" t="str">
        <f>IF(B135="","",IF(J135&gt;=$AE$2,1E+15,M135*1E+10+P135*1E+8+ROUND(100*(D135*V135+$AF$5*Y135*AI135+$AF$4*S135),0)+1E+6))</f>
        <v/>
      </c>
      <c r="AB135" t="str">
        <f>IF(B135="","",IF(K135&gt;=$AF$2,1E+15,N135*1E+10+Q135*1E+8+ROUND(100*(D135*W135+$AF$5*Y135*AJ135+$AF$4*T135),0)+1E+6))</f>
        <v/>
      </c>
      <c r="AC135" t="str">
        <f>IF(B135="","",IF(L135&gt;=$AG$2,1E+15,O135*1E+10+R135*1E+8+ROUND(100*(D135*X135+$AF$5*Y135*AK135+$AF$4*U135),0)+1E+6))</f>
        <v/>
      </c>
      <c r="AI135">
        <f>SUMIFS($Y$1:Y134,$Z$1:Z134,1,$C$1:C134,C135)</f>
        <v>0</v>
      </c>
      <c r="AJ135">
        <f>SUMIFS($Y$1:Y134,$Z$1:Z134,2,$C$1:C134,C135)</f>
        <v>0</v>
      </c>
      <c r="AK135">
        <f>SUMIFS($Y$1:Y134,$Z$1:Z134,3,$C$1:C134,C135)</f>
        <v>0</v>
      </c>
    </row>
    <row r="136">
      <c r="A136" t="n">
        <v>135</v>
      </c>
      <c r="B136" t="str">
        <f>IFERROR(MATCH(A136,'①名簿入力'!$AF$4:$AF$153,0),"")</f>
        <v/>
      </c>
      <c r="C136" t="str">
        <f>IF(B136="","",INDEX('①名簿入力'!$X$4:$X$153,B136))</f>
        <v/>
      </c>
      <c r="D136" t="str">
        <f>IF(B136="","",(INDEX('①名簿入力'!$AD$4:$AD$153,B136)-'設定'!$C$37)/'設定'!$C$38)</f>
        <v/>
      </c>
      <c r="E136" t="str">
        <f>IF(B136="","",INDEX('①名簿入力'!$B$4:$B$153,B136)&amp;"")</f>
        <v/>
      </c>
      <c r="F136">
        <f>IF(B136="",0,INDEX('①名簿入力'!$Y$4:$Y$153,B136))</f>
        <v>0</v>
      </c>
      <c r="G136">
        <f>IF(B136="",0,INDEX('①名簿入力'!$Z$4:$Z$153,B136))</f>
        <v>0</v>
      </c>
      <c r="H136">
        <f>IF(B136="",0,INDEX('①名簿入力'!$AA$4:$AA$153,B136))</f>
        <v>0</v>
      </c>
      <c r="I136">
        <f>IF(B136="",0,INDEX('①名簿入力'!$AB$4:$AB$153,B136))</f>
        <v>0</v>
      </c>
      <c r="J136">
        <f>COUNTIF($Z$1:Z135,1)</f>
        <v>35</v>
      </c>
      <c r="K136">
        <f>COUNTIF($Z$1:Z135,2)</f>
        <v>35</v>
      </c>
      <c r="L136">
        <f>COUNTIF($Z$1:Z135,3)</f>
        <v>35</v>
      </c>
      <c r="M136">
        <f>COUNTIFS($Z$1:Z135,1,$C$1:C135,C136)</f>
        <v>0</v>
      </c>
      <c r="N136">
        <f>COUNTIFS($Z$1:Z135,2,$C$1:C135,C136)</f>
        <v>0</v>
      </c>
      <c r="O136">
        <f>COUNTIFS($Z$1:Z135,3,$C$1:C135,C136)</f>
        <v>0</v>
      </c>
      <c r="P136">
        <f>F136*COUNTIFS($Z$1:Z135,1,$F$1:F135,1)+G136*COUNTIFS($Z$1:Z135,1,$G$1:G135,1)+H136*COUNTIFS($Z$1:Z135,1,$H$1:H135,1)+I136*COUNTIFS($Z$1:Z135,1,$I$1:I135,1)</f>
        <v>0</v>
      </c>
      <c r="Q136">
        <f>F136*COUNTIFS($Z$1:Z135,2,$F$1:F135,1)+G136*COUNTIFS($Z$1:Z135,2,$G$1:G135,1)+H136*COUNTIFS($Z$1:Z135,2,$H$1:H135,1)+I136*COUNTIFS($Z$1:Z135,2,$I$1:I135,1)</f>
        <v>0</v>
      </c>
      <c r="R136">
        <f>F136*COUNTIFS($Z$1:Z135,3,$F$1:F135,1)+G136*COUNTIFS($Z$1:Z135,3,$G$1:G135,1)+H136*COUNTIFS($Z$1:Z135,3,$H$1:H135,1)+I136*COUNTIFS($Z$1:Z135,3,$I$1:I135,1)</f>
        <v>0</v>
      </c>
      <c r="S136">
        <f>IF(E136="",0,COUNTIFS($Z$1:Z135,1,$E$1:E135,E136))</f>
        <v>0</v>
      </c>
      <c r="T136">
        <f>IF(E136="",0,COUNTIFS($Z$1:Z135,2,$E$1:E135,E136))</f>
        <v>0</v>
      </c>
      <c r="U136">
        <f>IF(E136="",0,COUNTIFS($Z$1:Z135,3,$E$1:E135,E136))</f>
        <v>0</v>
      </c>
      <c r="V136">
        <f>SUMIF($Z$1:Z135,1,$D$1:D135)</f>
        <v>-0.542654302435963</v>
      </c>
      <c r="W136">
        <f>SUMIF($Z$1:Z135,2,$D$1:D135)</f>
        <v>0.592439100824577</v>
      </c>
      <c r="X136">
        <f>SUMIF($Z$1:Z135,3,$D$1:D135)</f>
        <v>-0.0497847983886244</v>
      </c>
      <c r="Y136">
        <f>IF(B136="",0,INDEX('①名簿入力'!$AL$4:$AL$153,B136))</f>
        <v>0</v>
      </c>
      <c r="Z136" t="str">
        <f>IF(B136="","",MATCH(MIN(AA136:AC136),AA136:AC136,0))</f>
        <v/>
      </c>
      <c r="AA136" t="str">
        <f>IF(B136="","",IF(J136&gt;=$AE$2,1E+15,M136*1E+10+P136*1E+8+ROUND(100*(D136*V136+$AF$5*Y136*AI136+$AF$4*S136),0)+1E+6))</f>
        <v/>
      </c>
      <c r="AB136" t="str">
        <f>IF(B136="","",IF(K136&gt;=$AF$2,1E+15,N136*1E+10+Q136*1E+8+ROUND(100*(D136*W136+$AF$5*Y136*AJ136+$AF$4*T136),0)+1E+6))</f>
        <v/>
      </c>
      <c r="AC136" t="str">
        <f>IF(B136="","",IF(L136&gt;=$AG$2,1E+15,O136*1E+10+R136*1E+8+ROUND(100*(D136*X136+$AF$5*Y136*AK136+$AF$4*U136),0)+1E+6))</f>
        <v/>
      </c>
      <c r="AI136">
        <f>SUMIFS($Y$1:Y135,$Z$1:Z135,1,$C$1:C135,C136)</f>
        <v>0</v>
      </c>
      <c r="AJ136">
        <f>SUMIFS($Y$1:Y135,$Z$1:Z135,2,$C$1:C135,C136)</f>
        <v>0</v>
      </c>
      <c r="AK136">
        <f>SUMIFS($Y$1:Y135,$Z$1:Z135,3,$C$1:C135,C136)</f>
        <v>0</v>
      </c>
    </row>
    <row r="137">
      <c r="A137" t="n">
        <v>136</v>
      </c>
      <c r="B137" t="str">
        <f>IFERROR(MATCH(A137,'①名簿入力'!$AF$4:$AF$153,0),"")</f>
        <v/>
      </c>
      <c r="C137" t="str">
        <f>IF(B137="","",INDEX('①名簿入力'!$X$4:$X$153,B137))</f>
        <v/>
      </c>
      <c r="D137" t="str">
        <f>IF(B137="","",(INDEX('①名簿入力'!$AD$4:$AD$153,B137)-'設定'!$C$37)/'設定'!$C$38)</f>
        <v/>
      </c>
      <c r="E137" t="str">
        <f>IF(B137="","",INDEX('①名簿入力'!$B$4:$B$153,B137)&amp;"")</f>
        <v/>
      </c>
      <c r="F137">
        <f>IF(B137="",0,INDEX('①名簿入力'!$Y$4:$Y$153,B137))</f>
        <v>0</v>
      </c>
      <c r="G137">
        <f>IF(B137="",0,INDEX('①名簿入力'!$Z$4:$Z$153,B137))</f>
        <v>0</v>
      </c>
      <c r="H137">
        <f>IF(B137="",0,INDEX('①名簿入力'!$AA$4:$AA$153,B137))</f>
        <v>0</v>
      </c>
      <c r="I137">
        <f>IF(B137="",0,INDEX('①名簿入力'!$AB$4:$AB$153,B137))</f>
        <v>0</v>
      </c>
      <c r="J137">
        <f>COUNTIF($Z$1:Z136,1)</f>
        <v>35</v>
      </c>
      <c r="K137">
        <f>COUNTIF($Z$1:Z136,2)</f>
        <v>35</v>
      </c>
      <c r="L137">
        <f>COUNTIF($Z$1:Z136,3)</f>
        <v>35</v>
      </c>
      <c r="M137">
        <f>COUNTIFS($Z$1:Z136,1,$C$1:C136,C137)</f>
        <v>0</v>
      </c>
      <c r="N137">
        <f>COUNTIFS($Z$1:Z136,2,$C$1:C136,C137)</f>
        <v>0</v>
      </c>
      <c r="O137">
        <f>COUNTIFS($Z$1:Z136,3,$C$1:C136,C137)</f>
        <v>0</v>
      </c>
      <c r="P137">
        <f>F137*COUNTIFS($Z$1:Z136,1,$F$1:F136,1)+G137*COUNTIFS($Z$1:Z136,1,$G$1:G136,1)+H137*COUNTIFS($Z$1:Z136,1,$H$1:H136,1)+I137*COUNTIFS($Z$1:Z136,1,$I$1:I136,1)</f>
        <v>0</v>
      </c>
      <c r="Q137">
        <f>F137*COUNTIFS($Z$1:Z136,2,$F$1:F136,1)+G137*COUNTIFS($Z$1:Z136,2,$G$1:G136,1)+H137*COUNTIFS($Z$1:Z136,2,$H$1:H136,1)+I137*COUNTIFS($Z$1:Z136,2,$I$1:I136,1)</f>
        <v>0</v>
      </c>
      <c r="R137">
        <f>F137*COUNTIFS($Z$1:Z136,3,$F$1:F136,1)+G137*COUNTIFS($Z$1:Z136,3,$G$1:G136,1)+H137*COUNTIFS($Z$1:Z136,3,$H$1:H136,1)+I137*COUNTIFS($Z$1:Z136,3,$I$1:I136,1)</f>
        <v>0</v>
      </c>
      <c r="S137">
        <f>IF(E137="",0,COUNTIFS($Z$1:Z136,1,$E$1:E136,E137))</f>
        <v>0</v>
      </c>
      <c r="T137">
        <f>IF(E137="",0,COUNTIFS($Z$1:Z136,2,$E$1:E136,E137))</f>
        <v>0</v>
      </c>
      <c r="U137">
        <f>IF(E137="",0,COUNTIFS($Z$1:Z136,3,$E$1:E136,E137))</f>
        <v>0</v>
      </c>
      <c r="V137">
        <f>SUMIF($Z$1:Z136,1,$D$1:D136)</f>
        <v>-0.542654302435963</v>
      </c>
      <c r="W137">
        <f>SUMIF($Z$1:Z136,2,$D$1:D136)</f>
        <v>0.592439100824577</v>
      </c>
      <c r="X137">
        <f>SUMIF($Z$1:Z136,3,$D$1:D136)</f>
        <v>-0.0497847983886244</v>
      </c>
      <c r="Y137">
        <f>IF(B137="",0,INDEX('①名簿入力'!$AL$4:$AL$153,B137))</f>
        <v>0</v>
      </c>
      <c r="Z137" t="str">
        <f>IF(B137="","",MATCH(MIN(AA137:AC137),AA137:AC137,0))</f>
        <v/>
      </c>
      <c r="AA137" t="str">
        <f>IF(B137="","",IF(J137&gt;=$AE$2,1E+15,M137*1E+10+P137*1E+8+ROUND(100*(D137*V137+$AF$5*Y137*AI137+$AF$4*S137),0)+1E+6))</f>
        <v/>
      </c>
      <c r="AB137" t="str">
        <f>IF(B137="","",IF(K137&gt;=$AF$2,1E+15,N137*1E+10+Q137*1E+8+ROUND(100*(D137*W137+$AF$5*Y137*AJ137+$AF$4*T137),0)+1E+6))</f>
        <v/>
      </c>
      <c r="AC137" t="str">
        <f>IF(B137="","",IF(L137&gt;=$AG$2,1E+15,O137*1E+10+R137*1E+8+ROUND(100*(D137*X137+$AF$5*Y137*AK137+$AF$4*U137),0)+1E+6))</f>
        <v/>
      </c>
      <c r="AI137">
        <f>SUMIFS($Y$1:Y136,$Z$1:Z136,1,$C$1:C136,C137)</f>
        <v>0</v>
      </c>
      <c r="AJ137">
        <f>SUMIFS($Y$1:Y136,$Z$1:Z136,2,$C$1:C136,C137)</f>
        <v>0</v>
      </c>
      <c r="AK137">
        <f>SUMIFS($Y$1:Y136,$Z$1:Z136,3,$C$1:C136,C137)</f>
        <v>0</v>
      </c>
    </row>
    <row r="138">
      <c r="A138" t="n">
        <v>137</v>
      </c>
      <c r="B138" t="str">
        <f>IFERROR(MATCH(A138,'①名簿入力'!$AF$4:$AF$153,0),"")</f>
        <v/>
      </c>
      <c r="C138" t="str">
        <f>IF(B138="","",INDEX('①名簿入力'!$X$4:$X$153,B138))</f>
        <v/>
      </c>
      <c r="D138" t="str">
        <f>IF(B138="","",(INDEX('①名簿入力'!$AD$4:$AD$153,B138)-'設定'!$C$37)/'設定'!$C$38)</f>
        <v/>
      </c>
      <c r="E138" t="str">
        <f>IF(B138="","",INDEX('①名簿入力'!$B$4:$B$153,B138)&amp;"")</f>
        <v/>
      </c>
      <c r="F138">
        <f>IF(B138="",0,INDEX('①名簿入力'!$Y$4:$Y$153,B138))</f>
        <v>0</v>
      </c>
      <c r="G138">
        <f>IF(B138="",0,INDEX('①名簿入力'!$Z$4:$Z$153,B138))</f>
        <v>0</v>
      </c>
      <c r="H138">
        <f>IF(B138="",0,INDEX('①名簿入力'!$AA$4:$AA$153,B138))</f>
        <v>0</v>
      </c>
      <c r="I138">
        <f>IF(B138="",0,INDEX('①名簿入力'!$AB$4:$AB$153,B138))</f>
        <v>0</v>
      </c>
      <c r="J138">
        <f>COUNTIF($Z$1:Z137,1)</f>
        <v>35</v>
      </c>
      <c r="K138">
        <f>COUNTIF($Z$1:Z137,2)</f>
        <v>35</v>
      </c>
      <c r="L138">
        <f>COUNTIF($Z$1:Z137,3)</f>
        <v>35</v>
      </c>
      <c r="M138">
        <f>COUNTIFS($Z$1:Z137,1,$C$1:C137,C138)</f>
        <v>0</v>
      </c>
      <c r="N138">
        <f>COUNTIFS($Z$1:Z137,2,$C$1:C137,C138)</f>
        <v>0</v>
      </c>
      <c r="O138">
        <f>COUNTIFS($Z$1:Z137,3,$C$1:C137,C138)</f>
        <v>0</v>
      </c>
      <c r="P138">
        <f>F138*COUNTIFS($Z$1:Z137,1,$F$1:F137,1)+G138*COUNTIFS($Z$1:Z137,1,$G$1:G137,1)+H138*COUNTIFS($Z$1:Z137,1,$H$1:H137,1)+I138*COUNTIFS($Z$1:Z137,1,$I$1:I137,1)</f>
        <v>0</v>
      </c>
      <c r="Q138">
        <f>F138*COUNTIFS($Z$1:Z137,2,$F$1:F137,1)+G138*COUNTIFS($Z$1:Z137,2,$G$1:G137,1)+H138*COUNTIFS($Z$1:Z137,2,$H$1:H137,1)+I138*COUNTIFS($Z$1:Z137,2,$I$1:I137,1)</f>
        <v>0</v>
      </c>
      <c r="R138">
        <f>F138*COUNTIFS($Z$1:Z137,3,$F$1:F137,1)+G138*COUNTIFS($Z$1:Z137,3,$G$1:G137,1)+H138*COUNTIFS($Z$1:Z137,3,$H$1:H137,1)+I138*COUNTIFS($Z$1:Z137,3,$I$1:I137,1)</f>
        <v>0</v>
      </c>
      <c r="S138">
        <f>IF(E138="",0,COUNTIFS($Z$1:Z137,1,$E$1:E137,E138))</f>
        <v>0</v>
      </c>
      <c r="T138">
        <f>IF(E138="",0,COUNTIFS($Z$1:Z137,2,$E$1:E137,E138))</f>
        <v>0</v>
      </c>
      <c r="U138">
        <f>IF(E138="",0,COUNTIFS($Z$1:Z137,3,$E$1:E137,E138))</f>
        <v>0</v>
      </c>
      <c r="V138">
        <f>SUMIF($Z$1:Z137,1,$D$1:D137)</f>
        <v>-0.542654302435963</v>
      </c>
      <c r="W138">
        <f>SUMIF($Z$1:Z137,2,$D$1:D137)</f>
        <v>0.592439100824577</v>
      </c>
      <c r="X138">
        <f>SUMIF($Z$1:Z137,3,$D$1:D137)</f>
        <v>-0.0497847983886244</v>
      </c>
      <c r="Y138">
        <f>IF(B138="",0,INDEX('①名簿入力'!$AL$4:$AL$153,B138))</f>
        <v>0</v>
      </c>
      <c r="Z138" t="str">
        <f>IF(B138="","",MATCH(MIN(AA138:AC138),AA138:AC138,0))</f>
        <v/>
      </c>
      <c r="AA138" t="str">
        <f>IF(B138="","",IF(J138&gt;=$AE$2,1E+15,M138*1E+10+P138*1E+8+ROUND(100*(D138*V138+$AF$5*Y138*AI138+$AF$4*S138),0)+1E+6))</f>
        <v/>
      </c>
      <c r="AB138" t="str">
        <f>IF(B138="","",IF(K138&gt;=$AF$2,1E+15,N138*1E+10+Q138*1E+8+ROUND(100*(D138*W138+$AF$5*Y138*AJ138+$AF$4*T138),0)+1E+6))</f>
        <v/>
      </c>
      <c r="AC138" t="str">
        <f>IF(B138="","",IF(L138&gt;=$AG$2,1E+15,O138*1E+10+R138*1E+8+ROUND(100*(D138*X138+$AF$5*Y138*AK138+$AF$4*U138),0)+1E+6))</f>
        <v/>
      </c>
      <c r="AI138">
        <f>SUMIFS($Y$1:Y137,$Z$1:Z137,1,$C$1:C137,C138)</f>
        <v>0</v>
      </c>
      <c r="AJ138">
        <f>SUMIFS($Y$1:Y137,$Z$1:Z137,2,$C$1:C137,C138)</f>
        <v>0</v>
      </c>
      <c r="AK138">
        <f>SUMIFS($Y$1:Y137,$Z$1:Z137,3,$C$1:C137,C138)</f>
        <v>0</v>
      </c>
    </row>
    <row r="139">
      <c r="A139" t="n">
        <v>138</v>
      </c>
      <c r="B139" t="str">
        <f>IFERROR(MATCH(A139,'①名簿入力'!$AF$4:$AF$153,0),"")</f>
        <v/>
      </c>
      <c r="C139" t="str">
        <f>IF(B139="","",INDEX('①名簿入力'!$X$4:$X$153,B139))</f>
        <v/>
      </c>
      <c r="D139" t="str">
        <f>IF(B139="","",(INDEX('①名簿入力'!$AD$4:$AD$153,B139)-'設定'!$C$37)/'設定'!$C$38)</f>
        <v/>
      </c>
      <c r="E139" t="str">
        <f>IF(B139="","",INDEX('①名簿入力'!$B$4:$B$153,B139)&amp;"")</f>
        <v/>
      </c>
      <c r="F139">
        <f>IF(B139="",0,INDEX('①名簿入力'!$Y$4:$Y$153,B139))</f>
        <v>0</v>
      </c>
      <c r="G139">
        <f>IF(B139="",0,INDEX('①名簿入力'!$Z$4:$Z$153,B139))</f>
        <v>0</v>
      </c>
      <c r="H139">
        <f>IF(B139="",0,INDEX('①名簿入力'!$AA$4:$AA$153,B139))</f>
        <v>0</v>
      </c>
      <c r="I139">
        <f>IF(B139="",0,INDEX('①名簿入力'!$AB$4:$AB$153,B139))</f>
        <v>0</v>
      </c>
      <c r="J139">
        <f>COUNTIF($Z$1:Z138,1)</f>
        <v>35</v>
      </c>
      <c r="K139">
        <f>COUNTIF($Z$1:Z138,2)</f>
        <v>35</v>
      </c>
      <c r="L139">
        <f>COUNTIF($Z$1:Z138,3)</f>
        <v>35</v>
      </c>
      <c r="M139">
        <f>COUNTIFS($Z$1:Z138,1,$C$1:C138,C139)</f>
        <v>0</v>
      </c>
      <c r="N139">
        <f>COUNTIFS($Z$1:Z138,2,$C$1:C138,C139)</f>
        <v>0</v>
      </c>
      <c r="O139">
        <f>COUNTIFS($Z$1:Z138,3,$C$1:C138,C139)</f>
        <v>0</v>
      </c>
      <c r="P139">
        <f>F139*COUNTIFS($Z$1:Z138,1,$F$1:F138,1)+G139*COUNTIFS($Z$1:Z138,1,$G$1:G138,1)+H139*COUNTIFS($Z$1:Z138,1,$H$1:H138,1)+I139*COUNTIFS($Z$1:Z138,1,$I$1:I138,1)</f>
        <v>0</v>
      </c>
      <c r="Q139">
        <f>F139*COUNTIFS($Z$1:Z138,2,$F$1:F138,1)+G139*COUNTIFS($Z$1:Z138,2,$G$1:G138,1)+H139*COUNTIFS($Z$1:Z138,2,$H$1:H138,1)+I139*COUNTIFS($Z$1:Z138,2,$I$1:I138,1)</f>
        <v>0</v>
      </c>
      <c r="R139">
        <f>F139*COUNTIFS($Z$1:Z138,3,$F$1:F138,1)+G139*COUNTIFS($Z$1:Z138,3,$G$1:G138,1)+H139*COUNTIFS($Z$1:Z138,3,$H$1:H138,1)+I139*COUNTIFS($Z$1:Z138,3,$I$1:I138,1)</f>
        <v>0</v>
      </c>
      <c r="S139">
        <f>IF(E139="",0,COUNTIFS($Z$1:Z138,1,$E$1:E138,E139))</f>
        <v>0</v>
      </c>
      <c r="T139">
        <f>IF(E139="",0,COUNTIFS($Z$1:Z138,2,$E$1:E138,E139))</f>
        <v>0</v>
      </c>
      <c r="U139">
        <f>IF(E139="",0,COUNTIFS($Z$1:Z138,3,$E$1:E138,E139))</f>
        <v>0</v>
      </c>
      <c r="V139">
        <f>SUMIF($Z$1:Z138,1,$D$1:D138)</f>
        <v>-0.542654302435963</v>
      </c>
      <c r="W139">
        <f>SUMIF($Z$1:Z138,2,$D$1:D138)</f>
        <v>0.592439100824577</v>
      </c>
      <c r="X139">
        <f>SUMIF($Z$1:Z138,3,$D$1:D138)</f>
        <v>-0.0497847983886244</v>
      </c>
      <c r="Y139">
        <f>IF(B139="",0,INDEX('①名簿入力'!$AL$4:$AL$153,B139))</f>
        <v>0</v>
      </c>
      <c r="Z139" t="str">
        <f>IF(B139="","",MATCH(MIN(AA139:AC139),AA139:AC139,0))</f>
        <v/>
      </c>
      <c r="AA139" t="str">
        <f>IF(B139="","",IF(J139&gt;=$AE$2,1E+15,M139*1E+10+P139*1E+8+ROUND(100*(D139*V139+$AF$5*Y139*AI139+$AF$4*S139),0)+1E+6))</f>
        <v/>
      </c>
      <c r="AB139" t="str">
        <f>IF(B139="","",IF(K139&gt;=$AF$2,1E+15,N139*1E+10+Q139*1E+8+ROUND(100*(D139*W139+$AF$5*Y139*AJ139+$AF$4*T139),0)+1E+6))</f>
        <v/>
      </c>
      <c r="AC139" t="str">
        <f>IF(B139="","",IF(L139&gt;=$AG$2,1E+15,O139*1E+10+R139*1E+8+ROUND(100*(D139*X139+$AF$5*Y139*AK139+$AF$4*U139),0)+1E+6))</f>
        <v/>
      </c>
      <c r="AI139">
        <f>SUMIFS($Y$1:Y138,$Z$1:Z138,1,$C$1:C138,C139)</f>
        <v>0</v>
      </c>
      <c r="AJ139">
        <f>SUMIFS($Y$1:Y138,$Z$1:Z138,2,$C$1:C138,C139)</f>
        <v>0</v>
      </c>
      <c r="AK139">
        <f>SUMIFS($Y$1:Y138,$Z$1:Z138,3,$C$1:C138,C139)</f>
        <v>0</v>
      </c>
    </row>
    <row r="140">
      <c r="A140" t="n">
        <v>139</v>
      </c>
      <c r="B140" t="str">
        <f>IFERROR(MATCH(A140,'①名簿入力'!$AF$4:$AF$153,0),"")</f>
        <v/>
      </c>
      <c r="C140" t="str">
        <f>IF(B140="","",INDEX('①名簿入力'!$X$4:$X$153,B140))</f>
        <v/>
      </c>
      <c r="D140" t="str">
        <f>IF(B140="","",(INDEX('①名簿入力'!$AD$4:$AD$153,B140)-'設定'!$C$37)/'設定'!$C$38)</f>
        <v/>
      </c>
      <c r="E140" t="str">
        <f>IF(B140="","",INDEX('①名簿入力'!$B$4:$B$153,B140)&amp;"")</f>
        <v/>
      </c>
      <c r="F140">
        <f>IF(B140="",0,INDEX('①名簿入力'!$Y$4:$Y$153,B140))</f>
        <v>0</v>
      </c>
      <c r="G140">
        <f>IF(B140="",0,INDEX('①名簿入力'!$Z$4:$Z$153,B140))</f>
        <v>0</v>
      </c>
      <c r="H140">
        <f>IF(B140="",0,INDEX('①名簿入力'!$AA$4:$AA$153,B140))</f>
        <v>0</v>
      </c>
      <c r="I140">
        <f>IF(B140="",0,INDEX('①名簿入力'!$AB$4:$AB$153,B140))</f>
        <v>0</v>
      </c>
      <c r="J140">
        <f>COUNTIF($Z$1:Z139,1)</f>
        <v>35</v>
      </c>
      <c r="K140">
        <f>COUNTIF($Z$1:Z139,2)</f>
        <v>35</v>
      </c>
      <c r="L140">
        <f>COUNTIF($Z$1:Z139,3)</f>
        <v>35</v>
      </c>
      <c r="M140">
        <f>COUNTIFS($Z$1:Z139,1,$C$1:C139,C140)</f>
        <v>0</v>
      </c>
      <c r="N140">
        <f>COUNTIFS($Z$1:Z139,2,$C$1:C139,C140)</f>
        <v>0</v>
      </c>
      <c r="O140">
        <f>COUNTIFS($Z$1:Z139,3,$C$1:C139,C140)</f>
        <v>0</v>
      </c>
      <c r="P140">
        <f>F140*COUNTIFS($Z$1:Z139,1,$F$1:F139,1)+G140*COUNTIFS($Z$1:Z139,1,$G$1:G139,1)+H140*COUNTIFS($Z$1:Z139,1,$H$1:H139,1)+I140*COUNTIFS($Z$1:Z139,1,$I$1:I139,1)</f>
        <v>0</v>
      </c>
      <c r="Q140">
        <f>F140*COUNTIFS($Z$1:Z139,2,$F$1:F139,1)+G140*COUNTIFS($Z$1:Z139,2,$G$1:G139,1)+H140*COUNTIFS($Z$1:Z139,2,$H$1:H139,1)+I140*COUNTIFS($Z$1:Z139,2,$I$1:I139,1)</f>
        <v>0</v>
      </c>
      <c r="R140">
        <f>F140*COUNTIFS($Z$1:Z139,3,$F$1:F139,1)+G140*COUNTIFS($Z$1:Z139,3,$G$1:G139,1)+H140*COUNTIFS($Z$1:Z139,3,$H$1:H139,1)+I140*COUNTIFS($Z$1:Z139,3,$I$1:I139,1)</f>
        <v>0</v>
      </c>
      <c r="S140">
        <f>IF(E140="",0,COUNTIFS($Z$1:Z139,1,$E$1:E139,E140))</f>
        <v>0</v>
      </c>
      <c r="T140">
        <f>IF(E140="",0,COUNTIFS($Z$1:Z139,2,$E$1:E139,E140))</f>
        <v>0</v>
      </c>
      <c r="U140">
        <f>IF(E140="",0,COUNTIFS($Z$1:Z139,3,$E$1:E139,E140))</f>
        <v>0</v>
      </c>
      <c r="V140">
        <f>SUMIF($Z$1:Z139,1,$D$1:D139)</f>
        <v>-0.542654302435963</v>
      </c>
      <c r="W140">
        <f>SUMIF($Z$1:Z139,2,$D$1:D139)</f>
        <v>0.592439100824577</v>
      </c>
      <c r="X140">
        <f>SUMIF($Z$1:Z139,3,$D$1:D139)</f>
        <v>-0.0497847983886244</v>
      </c>
      <c r="Y140">
        <f>IF(B140="",0,INDEX('①名簿入力'!$AL$4:$AL$153,B140))</f>
        <v>0</v>
      </c>
      <c r="Z140" t="str">
        <f>IF(B140="","",MATCH(MIN(AA140:AC140),AA140:AC140,0))</f>
        <v/>
      </c>
      <c r="AA140" t="str">
        <f>IF(B140="","",IF(J140&gt;=$AE$2,1E+15,M140*1E+10+P140*1E+8+ROUND(100*(D140*V140+$AF$5*Y140*AI140+$AF$4*S140),0)+1E+6))</f>
        <v/>
      </c>
      <c r="AB140" t="str">
        <f>IF(B140="","",IF(K140&gt;=$AF$2,1E+15,N140*1E+10+Q140*1E+8+ROUND(100*(D140*W140+$AF$5*Y140*AJ140+$AF$4*T140),0)+1E+6))</f>
        <v/>
      </c>
      <c r="AC140" t="str">
        <f>IF(B140="","",IF(L140&gt;=$AG$2,1E+15,O140*1E+10+R140*1E+8+ROUND(100*(D140*X140+$AF$5*Y140*AK140+$AF$4*U140),0)+1E+6))</f>
        <v/>
      </c>
      <c r="AI140">
        <f>SUMIFS($Y$1:Y139,$Z$1:Z139,1,$C$1:C139,C140)</f>
        <v>0</v>
      </c>
      <c r="AJ140">
        <f>SUMIFS($Y$1:Y139,$Z$1:Z139,2,$C$1:C139,C140)</f>
        <v>0</v>
      </c>
      <c r="AK140">
        <f>SUMIFS($Y$1:Y139,$Z$1:Z139,3,$C$1:C139,C140)</f>
        <v>0</v>
      </c>
    </row>
    <row r="141">
      <c r="A141" t="n">
        <v>140</v>
      </c>
      <c r="B141" t="str">
        <f>IFERROR(MATCH(A141,'①名簿入力'!$AF$4:$AF$153,0),"")</f>
        <v/>
      </c>
      <c r="C141" t="str">
        <f>IF(B141="","",INDEX('①名簿入力'!$X$4:$X$153,B141))</f>
        <v/>
      </c>
      <c r="D141" t="str">
        <f>IF(B141="","",(INDEX('①名簿入力'!$AD$4:$AD$153,B141)-'設定'!$C$37)/'設定'!$C$38)</f>
        <v/>
      </c>
      <c r="E141" t="str">
        <f>IF(B141="","",INDEX('①名簿入力'!$B$4:$B$153,B141)&amp;"")</f>
        <v/>
      </c>
      <c r="F141">
        <f>IF(B141="",0,INDEX('①名簿入力'!$Y$4:$Y$153,B141))</f>
        <v>0</v>
      </c>
      <c r="G141">
        <f>IF(B141="",0,INDEX('①名簿入力'!$Z$4:$Z$153,B141))</f>
        <v>0</v>
      </c>
      <c r="H141">
        <f>IF(B141="",0,INDEX('①名簿入力'!$AA$4:$AA$153,B141))</f>
        <v>0</v>
      </c>
      <c r="I141">
        <f>IF(B141="",0,INDEX('①名簿入力'!$AB$4:$AB$153,B141))</f>
        <v>0</v>
      </c>
      <c r="J141">
        <f>COUNTIF($Z$1:Z140,1)</f>
        <v>35</v>
      </c>
      <c r="K141">
        <f>COUNTIF($Z$1:Z140,2)</f>
        <v>35</v>
      </c>
      <c r="L141">
        <f>COUNTIF($Z$1:Z140,3)</f>
        <v>35</v>
      </c>
      <c r="M141">
        <f>COUNTIFS($Z$1:Z140,1,$C$1:C140,C141)</f>
        <v>0</v>
      </c>
      <c r="N141">
        <f>COUNTIFS($Z$1:Z140,2,$C$1:C140,C141)</f>
        <v>0</v>
      </c>
      <c r="O141">
        <f>COUNTIFS($Z$1:Z140,3,$C$1:C140,C141)</f>
        <v>0</v>
      </c>
      <c r="P141">
        <f>F141*COUNTIFS($Z$1:Z140,1,$F$1:F140,1)+G141*COUNTIFS($Z$1:Z140,1,$G$1:G140,1)+H141*COUNTIFS($Z$1:Z140,1,$H$1:H140,1)+I141*COUNTIFS($Z$1:Z140,1,$I$1:I140,1)</f>
        <v>0</v>
      </c>
      <c r="Q141">
        <f>F141*COUNTIFS($Z$1:Z140,2,$F$1:F140,1)+G141*COUNTIFS($Z$1:Z140,2,$G$1:G140,1)+H141*COUNTIFS($Z$1:Z140,2,$H$1:H140,1)+I141*COUNTIFS($Z$1:Z140,2,$I$1:I140,1)</f>
        <v>0</v>
      </c>
      <c r="R141">
        <f>F141*COUNTIFS($Z$1:Z140,3,$F$1:F140,1)+G141*COUNTIFS($Z$1:Z140,3,$G$1:G140,1)+H141*COUNTIFS($Z$1:Z140,3,$H$1:H140,1)+I141*COUNTIFS($Z$1:Z140,3,$I$1:I140,1)</f>
        <v>0</v>
      </c>
      <c r="S141">
        <f>IF(E141="",0,COUNTIFS($Z$1:Z140,1,$E$1:E140,E141))</f>
        <v>0</v>
      </c>
      <c r="T141">
        <f>IF(E141="",0,COUNTIFS($Z$1:Z140,2,$E$1:E140,E141))</f>
        <v>0</v>
      </c>
      <c r="U141">
        <f>IF(E141="",0,COUNTIFS($Z$1:Z140,3,$E$1:E140,E141))</f>
        <v>0</v>
      </c>
      <c r="V141">
        <f>SUMIF($Z$1:Z140,1,$D$1:D140)</f>
        <v>-0.542654302435963</v>
      </c>
      <c r="W141">
        <f>SUMIF($Z$1:Z140,2,$D$1:D140)</f>
        <v>0.592439100824577</v>
      </c>
      <c r="X141">
        <f>SUMIF($Z$1:Z140,3,$D$1:D140)</f>
        <v>-0.0497847983886244</v>
      </c>
      <c r="Y141">
        <f>IF(B141="",0,INDEX('①名簿入力'!$AL$4:$AL$153,B141))</f>
        <v>0</v>
      </c>
      <c r="Z141" t="str">
        <f>IF(B141="","",MATCH(MIN(AA141:AC141),AA141:AC141,0))</f>
        <v/>
      </c>
      <c r="AA141" t="str">
        <f>IF(B141="","",IF(J141&gt;=$AE$2,1E+15,M141*1E+10+P141*1E+8+ROUND(100*(D141*V141+$AF$5*Y141*AI141+$AF$4*S141),0)+1E+6))</f>
        <v/>
      </c>
      <c r="AB141" t="str">
        <f>IF(B141="","",IF(K141&gt;=$AF$2,1E+15,N141*1E+10+Q141*1E+8+ROUND(100*(D141*W141+$AF$5*Y141*AJ141+$AF$4*T141),0)+1E+6))</f>
        <v/>
      </c>
      <c r="AC141" t="str">
        <f>IF(B141="","",IF(L141&gt;=$AG$2,1E+15,O141*1E+10+R141*1E+8+ROUND(100*(D141*X141+$AF$5*Y141*AK141+$AF$4*U141),0)+1E+6))</f>
        <v/>
      </c>
      <c r="AI141">
        <f>SUMIFS($Y$1:Y140,$Z$1:Z140,1,$C$1:C140,C141)</f>
        <v>0</v>
      </c>
      <c r="AJ141">
        <f>SUMIFS($Y$1:Y140,$Z$1:Z140,2,$C$1:C140,C141)</f>
        <v>0</v>
      </c>
      <c r="AK141">
        <f>SUMIFS($Y$1:Y140,$Z$1:Z140,3,$C$1:C140,C141)</f>
        <v>0</v>
      </c>
    </row>
    <row r="142">
      <c r="A142" t="n">
        <v>141</v>
      </c>
      <c r="B142" t="str">
        <f>IFERROR(MATCH(A142,'①名簿入力'!$AF$4:$AF$153,0),"")</f>
        <v/>
      </c>
      <c r="C142" t="str">
        <f>IF(B142="","",INDEX('①名簿入力'!$X$4:$X$153,B142))</f>
        <v/>
      </c>
      <c r="D142" t="str">
        <f>IF(B142="","",(INDEX('①名簿入力'!$AD$4:$AD$153,B142)-'設定'!$C$37)/'設定'!$C$38)</f>
        <v/>
      </c>
      <c r="E142" t="str">
        <f>IF(B142="","",INDEX('①名簿入力'!$B$4:$B$153,B142)&amp;"")</f>
        <v/>
      </c>
      <c r="F142">
        <f>IF(B142="",0,INDEX('①名簿入力'!$Y$4:$Y$153,B142))</f>
        <v>0</v>
      </c>
      <c r="G142">
        <f>IF(B142="",0,INDEX('①名簿入力'!$Z$4:$Z$153,B142))</f>
        <v>0</v>
      </c>
      <c r="H142">
        <f>IF(B142="",0,INDEX('①名簿入力'!$AA$4:$AA$153,B142))</f>
        <v>0</v>
      </c>
      <c r="I142">
        <f>IF(B142="",0,INDEX('①名簿入力'!$AB$4:$AB$153,B142))</f>
        <v>0</v>
      </c>
      <c r="J142">
        <f>COUNTIF($Z$1:Z141,1)</f>
        <v>35</v>
      </c>
      <c r="K142">
        <f>COUNTIF($Z$1:Z141,2)</f>
        <v>35</v>
      </c>
      <c r="L142">
        <f>COUNTIF($Z$1:Z141,3)</f>
        <v>35</v>
      </c>
      <c r="M142">
        <f>COUNTIFS($Z$1:Z141,1,$C$1:C141,C142)</f>
        <v>0</v>
      </c>
      <c r="N142">
        <f>COUNTIFS($Z$1:Z141,2,$C$1:C141,C142)</f>
        <v>0</v>
      </c>
      <c r="O142">
        <f>COUNTIFS($Z$1:Z141,3,$C$1:C141,C142)</f>
        <v>0</v>
      </c>
      <c r="P142">
        <f>F142*COUNTIFS($Z$1:Z141,1,$F$1:F141,1)+G142*COUNTIFS($Z$1:Z141,1,$G$1:G141,1)+H142*COUNTIFS($Z$1:Z141,1,$H$1:H141,1)+I142*COUNTIFS($Z$1:Z141,1,$I$1:I141,1)</f>
        <v>0</v>
      </c>
      <c r="Q142">
        <f>F142*COUNTIFS($Z$1:Z141,2,$F$1:F141,1)+G142*COUNTIFS($Z$1:Z141,2,$G$1:G141,1)+H142*COUNTIFS($Z$1:Z141,2,$H$1:H141,1)+I142*COUNTIFS($Z$1:Z141,2,$I$1:I141,1)</f>
        <v>0</v>
      </c>
      <c r="R142">
        <f>F142*COUNTIFS($Z$1:Z141,3,$F$1:F141,1)+G142*COUNTIFS($Z$1:Z141,3,$G$1:G141,1)+H142*COUNTIFS($Z$1:Z141,3,$H$1:H141,1)+I142*COUNTIFS($Z$1:Z141,3,$I$1:I141,1)</f>
        <v>0</v>
      </c>
      <c r="S142">
        <f>IF(E142="",0,COUNTIFS($Z$1:Z141,1,$E$1:E141,E142))</f>
        <v>0</v>
      </c>
      <c r="T142">
        <f>IF(E142="",0,COUNTIFS($Z$1:Z141,2,$E$1:E141,E142))</f>
        <v>0</v>
      </c>
      <c r="U142">
        <f>IF(E142="",0,COUNTIFS($Z$1:Z141,3,$E$1:E141,E142))</f>
        <v>0</v>
      </c>
      <c r="V142">
        <f>SUMIF($Z$1:Z141,1,$D$1:D141)</f>
        <v>-0.542654302435963</v>
      </c>
      <c r="W142">
        <f>SUMIF($Z$1:Z141,2,$D$1:D141)</f>
        <v>0.592439100824577</v>
      </c>
      <c r="X142">
        <f>SUMIF($Z$1:Z141,3,$D$1:D141)</f>
        <v>-0.0497847983886244</v>
      </c>
      <c r="Y142">
        <f>IF(B142="",0,INDEX('①名簿入力'!$AL$4:$AL$153,B142))</f>
        <v>0</v>
      </c>
      <c r="Z142" t="str">
        <f>IF(B142="","",MATCH(MIN(AA142:AC142),AA142:AC142,0))</f>
        <v/>
      </c>
      <c r="AA142" t="str">
        <f>IF(B142="","",IF(J142&gt;=$AE$2,1E+15,M142*1E+10+P142*1E+8+ROUND(100*(D142*V142+$AF$5*Y142*AI142+$AF$4*S142),0)+1E+6))</f>
        <v/>
      </c>
      <c r="AB142" t="str">
        <f>IF(B142="","",IF(K142&gt;=$AF$2,1E+15,N142*1E+10+Q142*1E+8+ROUND(100*(D142*W142+$AF$5*Y142*AJ142+$AF$4*T142),0)+1E+6))</f>
        <v/>
      </c>
      <c r="AC142" t="str">
        <f>IF(B142="","",IF(L142&gt;=$AG$2,1E+15,O142*1E+10+R142*1E+8+ROUND(100*(D142*X142+$AF$5*Y142*AK142+$AF$4*U142),0)+1E+6))</f>
        <v/>
      </c>
      <c r="AI142">
        <f>SUMIFS($Y$1:Y141,$Z$1:Z141,1,$C$1:C141,C142)</f>
        <v>0</v>
      </c>
      <c r="AJ142">
        <f>SUMIFS($Y$1:Y141,$Z$1:Z141,2,$C$1:C141,C142)</f>
        <v>0</v>
      </c>
      <c r="AK142">
        <f>SUMIFS($Y$1:Y141,$Z$1:Z141,3,$C$1:C141,C142)</f>
        <v>0</v>
      </c>
    </row>
    <row r="143">
      <c r="A143" t="n">
        <v>142</v>
      </c>
      <c r="B143" t="str">
        <f>IFERROR(MATCH(A143,'①名簿入力'!$AF$4:$AF$153,0),"")</f>
        <v/>
      </c>
      <c r="C143" t="str">
        <f>IF(B143="","",INDEX('①名簿入力'!$X$4:$X$153,B143))</f>
        <v/>
      </c>
      <c r="D143" t="str">
        <f>IF(B143="","",(INDEX('①名簿入力'!$AD$4:$AD$153,B143)-'設定'!$C$37)/'設定'!$C$38)</f>
        <v/>
      </c>
      <c r="E143" t="str">
        <f>IF(B143="","",INDEX('①名簿入力'!$B$4:$B$153,B143)&amp;"")</f>
        <v/>
      </c>
      <c r="F143">
        <f>IF(B143="",0,INDEX('①名簿入力'!$Y$4:$Y$153,B143))</f>
        <v>0</v>
      </c>
      <c r="G143">
        <f>IF(B143="",0,INDEX('①名簿入力'!$Z$4:$Z$153,B143))</f>
        <v>0</v>
      </c>
      <c r="H143">
        <f>IF(B143="",0,INDEX('①名簿入力'!$AA$4:$AA$153,B143))</f>
        <v>0</v>
      </c>
      <c r="I143">
        <f>IF(B143="",0,INDEX('①名簿入力'!$AB$4:$AB$153,B143))</f>
        <v>0</v>
      </c>
      <c r="J143">
        <f>COUNTIF($Z$1:Z142,1)</f>
        <v>35</v>
      </c>
      <c r="K143">
        <f>COUNTIF($Z$1:Z142,2)</f>
        <v>35</v>
      </c>
      <c r="L143">
        <f>COUNTIF($Z$1:Z142,3)</f>
        <v>35</v>
      </c>
      <c r="M143">
        <f>COUNTIFS($Z$1:Z142,1,$C$1:C142,C143)</f>
        <v>0</v>
      </c>
      <c r="N143">
        <f>COUNTIFS($Z$1:Z142,2,$C$1:C142,C143)</f>
        <v>0</v>
      </c>
      <c r="O143">
        <f>COUNTIFS($Z$1:Z142,3,$C$1:C142,C143)</f>
        <v>0</v>
      </c>
      <c r="P143">
        <f>F143*COUNTIFS($Z$1:Z142,1,$F$1:F142,1)+G143*COUNTIFS($Z$1:Z142,1,$G$1:G142,1)+H143*COUNTIFS($Z$1:Z142,1,$H$1:H142,1)+I143*COUNTIFS($Z$1:Z142,1,$I$1:I142,1)</f>
        <v>0</v>
      </c>
      <c r="Q143">
        <f>F143*COUNTIFS($Z$1:Z142,2,$F$1:F142,1)+G143*COUNTIFS($Z$1:Z142,2,$G$1:G142,1)+H143*COUNTIFS($Z$1:Z142,2,$H$1:H142,1)+I143*COUNTIFS($Z$1:Z142,2,$I$1:I142,1)</f>
        <v>0</v>
      </c>
      <c r="R143">
        <f>F143*COUNTIFS($Z$1:Z142,3,$F$1:F142,1)+G143*COUNTIFS($Z$1:Z142,3,$G$1:G142,1)+H143*COUNTIFS($Z$1:Z142,3,$H$1:H142,1)+I143*COUNTIFS($Z$1:Z142,3,$I$1:I142,1)</f>
        <v>0</v>
      </c>
      <c r="S143">
        <f>IF(E143="",0,COUNTIFS($Z$1:Z142,1,$E$1:E142,E143))</f>
        <v>0</v>
      </c>
      <c r="T143">
        <f>IF(E143="",0,COUNTIFS($Z$1:Z142,2,$E$1:E142,E143))</f>
        <v>0</v>
      </c>
      <c r="U143">
        <f>IF(E143="",0,COUNTIFS($Z$1:Z142,3,$E$1:E142,E143))</f>
        <v>0</v>
      </c>
      <c r="V143">
        <f>SUMIF($Z$1:Z142,1,$D$1:D142)</f>
        <v>-0.542654302435963</v>
      </c>
      <c r="W143">
        <f>SUMIF($Z$1:Z142,2,$D$1:D142)</f>
        <v>0.592439100824577</v>
      </c>
      <c r="X143">
        <f>SUMIF($Z$1:Z142,3,$D$1:D142)</f>
        <v>-0.0497847983886244</v>
      </c>
      <c r="Y143">
        <f>IF(B143="",0,INDEX('①名簿入力'!$AL$4:$AL$153,B143))</f>
        <v>0</v>
      </c>
      <c r="Z143" t="str">
        <f>IF(B143="","",MATCH(MIN(AA143:AC143),AA143:AC143,0))</f>
        <v/>
      </c>
      <c r="AA143" t="str">
        <f>IF(B143="","",IF(J143&gt;=$AE$2,1E+15,M143*1E+10+P143*1E+8+ROUND(100*(D143*V143+$AF$5*Y143*AI143+$AF$4*S143),0)+1E+6))</f>
        <v/>
      </c>
      <c r="AB143" t="str">
        <f>IF(B143="","",IF(K143&gt;=$AF$2,1E+15,N143*1E+10+Q143*1E+8+ROUND(100*(D143*W143+$AF$5*Y143*AJ143+$AF$4*T143),0)+1E+6))</f>
        <v/>
      </c>
      <c r="AC143" t="str">
        <f>IF(B143="","",IF(L143&gt;=$AG$2,1E+15,O143*1E+10+R143*1E+8+ROUND(100*(D143*X143+$AF$5*Y143*AK143+$AF$4*U143),0)+1E+6))</f>
        <v/>
      </c>
      <c r="AI143">
        <f>SUMIFS($Y$1:Y142,$Z$1:Z142,1,$C$1:C142,C143)</f>
        <v>0</v>
      </c>
      <c r="AJ143">
        <f>SUMIFS($Y$1:Y142,$Z$1:Z142,2,$C$1:C142,C143)</f>
        <v>0</v>
      </c>
      <c r="AK143">
        <f>SUMIFS($Y$1:Y142,$Z$1:Z142,3,$C$1:C142,C143)</f>
        <v>0</v>
      </c>
    </row>
    <row r="144">
      <c r="A144" t="n">
        <v>143</v>
      </c>
      <c r="B144" t="str">
        <f>IFERROR(MATCH(A144,'①名簿入力'!$AF$4:$AF$153,0),"")</f>
        <v/>
      </c>
      <c r="C144" t="str">
        <f>IF(B144="","",INDEX('①名簿入力'!$X$4:$X$153,B144))</f>
        <v/>
      </c>
      <c r="D144" t="str">
        <f>IF(B144="","",(INDEX('①名簿入力'!$AD$4:$AD$153,B144)-'設定'!$C$37)/'設定'!$C$38)</f>
        <v/>
      </c>
      <c r="E144" t="str">
        <f>IF(B144="","",INDEX('①名簿入力'!$B$4:$B$153,B144)&amp;"")</f>
        <v/>
      </c>
      <c r="F144">
        <f>IF(B144="",0,INDEX('①名簿入力'!$Y$4:$Y$153,B144))</f>
        <v>0</v>
      </c>
      <c r="G144">
        <f>IF(B144="",0,INDEX('①名簿入力'!$Z$4:$Z$153,B144))</f>
        <v>0</v>
      </c>
      <c r="H144">
        <f>IF(B144="",0,INDEX('①名簿入力'!$AA$4:$AA$153,B144))</f>
        <v>0</v>
      </c>
      <c r="I144">
        <f>IF(B144="",0,INDEX('①名簿入力'!$AB$4:$AB$153,B144))</f>
        <v>0</v>
      </c>
      <c r="J144">
        <f>COUNTIF($Z$1:Z143,1)</f>
        <v>35</v>
      </c>
      <c r="K144">
        <f>COUNTIF($Z$1:Z143,2)</f>
        <v>35</v>
      </c>
      <c r="L144">
        <f>COUNTIF($Z$1:Z143,3)</f>
        <v>35</v>
      </c>
      <c r="M144">
        <f>COUNTIFS($Z$1:Z143,1,$C$1:C143,C144)</f>
        <v>0</v>
      </c>
      <c r="N144">
        <f>COUNTIFS($Z$1:Z143,2,$C$1:C143,C144)</f>
        <v>0</v>
      </c>
      <c r="O144">
        <f>COUNTIFS($Z$1:Z143,3,$C$1:C143,C144)</f>
        <v>0</v>
      </c>
      <c r="P144">
        <f>F144*COUNTIFS($Z$1:Z143,1,$F$1:F143,1)+G144*COUNTIFS($Z$1:Z143,1,$G$1:G143,1)+H144*COUNTIFS($Z$1:Z143,1,$H$1:H143,1)+I144*COUNTIFS($Z$1:Z143,1,$I$1:I143,1)</f>
        <v>0</v>
      </c>
      <c r="Q144">
        <f>F144*COUNTIFS($Z$1:Z143,2,$F$1:F143,1)+G144*COUNTIFS($Z$1:Z143,2,$G$1:G143,1)+H144*COUNTIFS($Z$1:Z143,2,$H$1:H143,1)+I144*COUNTIFS($Z$1:Z143,2,$I$1:I143,1)</f>
        <v>0</v>
      </c>
      <c r="R144">
        <f>F144*COUNTIFS($Z$1:Z143,3,$F$1:F143,1)+G144*COUNTIFS($Z$1:Z143,3,$G$1:G143,1)+H144*COUNTIFS($Z$1:Z143,3,$H$1:H143,1)+I144*COUNTIFS($Z$1:Z143,3,$I$1:I143,1)</f>
        <v>0</v>
      </c>
      <c r="S144">
        <f>IF(E144="",0,COUNTIFS($Z$1:Z143,1,$E$1:E143,E144))</f>
        <v>0</v>
      </c>
      <c r="T144">
        <f>IF(E144="",0,COUNTIFS($Z$1:Z143,2,$E$1:E143,E144))</f>
        <v>0</v>
      </c>
      <c r="U144">
        <f>IF(E144="",0,COUNTIFS($Z$1:Z143,3,$E$1:E143,E144))</f>
        <v>0</v>
      </c>
      <c r="V144">
        <f>SUMIF($Z$1:Z143,1,$D$1:D143)</f>
        <v>-0.542654302435963</v>
      </c>
      <c r="W144">
        <f>SUMIF($Z$1:Z143,2,$D$1:D143)</f>
        <v>0.592439100824577</v>
      </c>
      <c r="X144">
        <f>SUMIF($Z$1:Z143,3,$D$1:D143)</f>
        <v>-0.0497847983886244</v>
      </c>
      <c r="Y144">
        <f>IF(B144="",0,INDEX('①名簿入力'!$AL$4:$AL$153,B144))</f>
        <v>0</v>
      </c>
      <c r="Z144" t="str">
        <f>IF(B144="","",MATCH(MIN(AA144:AC144),AA144:AC144,0))</f>
        <v/>
      </c>
      <c r="AA144" t="str">
        <f>IF(B144="","",IF(J144&gt;=$AE$2,1E+15,M144*1E+10+P144*1E+8+ROUND(100*(D144*V144+$AF$5*Y144*AI144+$AF$4*S144),0)+1E+6))</f>
        <v/>
      </c>
      <c r="AB144" t="str">
        <f>IF(B144="","",IF(K144&gt;=$AF$2,1E+15,N144*1E+10+Q144*1E+8+ROUND(100*(D144*W144+$AF$5*Y144*AJ144+$AF$4*T144),0)+1E+6))</f>
        <v/>
      </c>
      <c r="AC144" t="str">
        <f>IF(B144="","",IF(L144&gt;=$AG$2,1E+15,O144*1E+10+R144*1E+8+ROUND(100*(D144*X144+$AF$5*Y144*AK144+$AF$4*U144),0)+1E+6))</f>
        <v/>
      </c>
      <c r="AI144">
        <f>SUMIFS($Y$1:Y143,$Z$1:Z143,1,$C$1:C143,C144)</f>
        <v>0</v>
      </c>
      <c r="AJ144">
        <f>SUMIFS($Y$1:Y143,$Z$1:Z143,2,$C$1:C143,C144)</f>
        <v>0</v>
      </c>
      <c r="AK144">
        <f>SUMIFS($Y$1:Y143,$Z$1:Z143,3,$C$1:C143,C144)</f>
        <v>0</v>
      </c>
    </row>
    <row r="145">
      <c r="A145" t="n">
        <v>144</v>
      </c>
      <c r="B145" t="str">
        <f>IFERROR(MATCH(A145,'①名簿入力'!$AF$4:$AF$153,0),"")</f>
        <v/>
      </c>
      <c r="C145" t="str">
        <f>IF(B145="","",INDEX('①名簿入力'!$X$4:$X$153,B145))</f>
        <v/>
      </c>
      <c r="D145" t="str">
        <f>IF(B145="","",(INDEX('①名簿入力'!$AD$4:$AD$153,B145)-'設定'!$C$37)/'設定'!$C$38)</f>
        <v/>
      </c>
      <c r="E145" t="str">
        <f>IF(B145="","",INDEX('①名簿入力'!$B$4:$B$153,B145)&amp;"")</f>
        <v/>
      </c>
      <c r="F145">
        <f>IF(B145="",0,INDEX('①名簿入力'!$Y$4:$Y$153,B145))</f>
        <v>0</v>
      </c>
      <c r="G145">
        <f>IF(B145="",0,INDEX('①名簿入力'!$Z$4:$Z$153,B145))</f>
        <v>0</v>
      </c>
      <c r="H145">
        <f>IF(B145="",0,INDEX('①名簿入力'!$AA$4:$AA$153,B145))</f>
        <v>0</v>
      </c>
      <c r="I145">
        <f>IF(B145="",0,INDEX('①名簿入力'!$AB$4:$AB$153,B145))</f>
        <v>0</v>
      </c>
      <c r="J145">
        <f>COUNTIF($Z$1:Z144,1)</f>
        <v>35</v>
      </c>
      <c r="K145">
        <f>COUNTIF($Z$1:Z144,2)</f>
        <v>35</v>
      </c>
      <c r="L145">
        <f>COUNTIF($Z$1:Z144,3)</f>
        <v>35</v>
      </c>
      <c r="M145">
        <f>COUNTIFS($Z$1:Z144,1,$C$1:C144,C145)</f>
        <v>0</v>
      </c>
      <c r="N145">
        <f>COUNTIFS($Z$1:Z144,2,$C$1:C144,C145)</f>
        <v>0</v>
      </c>
      <c r="O145">
        <f>COUNTIFS($Z$1:Z144,3,$C$1:C144,C145)</f>
        <v>0</v>
      </c>
      <c r="P145">
        <f>F145*COUNTIFS($Z$1:Z144,1,$F$1:F144,1)+G145*COUNTIFS($Z$1:Z144,1,$G$1:G144,1)+H145*COUNTIFS($Z$1:Z144,1,$H$1:H144,1)+I145*COUNTIFS($Z$1:Z144,1,$I$1:I144,1)</f>
        <v>0</v>
      </c>
      <c r="Q145">
        <f>F145*COUNTIFS($Z$1:Z144,2,$F$1:F144,1)+G145*COUNTIFS($Z$1:Z144,2,$G$1:G144,1)+H145*COUNTIFS($Z$1:Z144,2,$H$1:H144,1)+I145*COUNTIFS($Z$1:Z144,2,$I$1:I144,1)</f>
        <v>0</v>
      </c>
      <c r="R145">
        <f>F145*COUNTIFS($Z$1:Z144,3,$F$1:F144,1)+G145*COUNTIFS($Z$1:Z144,3,$G$1:G144,1)+H145*COUNTIFS($Z$1:Z144,3,$H$1:H144,1)+I145*COUNTIFS($Z$1:Z144,3,$I$1:I144,1)</f>
        <v>0</v>
      </c>
      <c r="S145">
        <f>IF(E145="",0,COUNTIFS($Z$1:Z144,1,$E$1:E144,E145))</f>
        <v>0</v>
      </c>
      <c r="T145">
        <f>IF(E145="",0,COUNTIFS($Z$1:Z144,2,$E$1:E144,E145))</f>
        <v>0</v>
      </c>
      <c r="U145">
        <f>IF(E145="",0,COUNTIFS($Z$1:Z144,3,$E$1:E144,E145))</f>
        <v>0</v>
      </c>
      <c r="V145">
        <f>SUMIF($Z$1:Z144,1,$D$1:D144)</f>
        <v>-0.542654302435963</v>
      </c>
      <c r="W145">
        <f>SUMIF($Z$1:Z144,2,$D$1:D144)</f>
        <v>0.592439100824577</v>
      </c>
      <c r="X145">
        <f>SUMIF($Z$1:Z144,3,$D$1:D144)</f>
        <v>-0.0497847983886244</v>
      </c>
      <c r="Y145">
        <f>IF(B145="",0,INDEX('①名簿入力'!$AL$4:$AL$153,B145))</f>
        <v>0</v>
      </c>
      <c r="Z145" t="str">
        <f>IF(B145="","",MATCH(MIN(AA145:AC145),AA145:AC145,0))</f>
        <v/>
      </c>
      <c r="AA145" t="str">
        <f>IF(B145="","",IF(J145&gt;=$AE$2,1E+15,M145*1E+10+P145*1E+8+ROUND(100*(D145*V145+$AF$5*Y145*AI145+$AF$4*S145),0)+1E+6))</f>
        <v/>
      </c>
      <c r="AB145" t="str">
        <f>IF(B145="","",IF(K145&gt;=$AF$2,1E+15,N145*1E+10+Q145*1E+8+ROUND(100*(D145*W145+$AF$5*Y145*AJ145+$AF$4*T145),0)+1E+6))</f>
        <v/>
      </c>
      <c r="AC145" t="str">
        <f>IF(B145="","",IF(L145&gt;=$AG$2,1E+15,O145*1E+10+R145*1E+8+ROUND(100*(D145*X145+$AF$5*Y145*AK145+$AF$4*U145),0)+1E+6))</f>
        <v/>
      </c>
      <c r="AI145">
        <f>SUMIFS($Y$1:Y144,$Z$1:Z144,1,$C$1:C144,C145)</f>
        <v>0</v>
      </c>
      <c r="AJ145">
        <f>SUMIFS($Y$1:Y144,$Z$1:Z144,2,$C$1:C144,C145)</f>
        <v>0</v>
      </c>
      <c r="AK145">
        <f>SUMIFS($Y$1:Y144,$Z$1:Z144,3,$C$1:C144,C145)</f>
        <v>0</v>
      </c>
    </row>
    <row r="146">
      <c r="A146" t="n">
        <v>145</v>
      </c>
      <c r="B146" t="str">
        <f>IFERROR(MATCH(A146,'①名簿入力'!$AF$4:$AF$153,0),"")</f>
        <v/>
      </c>
      <c r="C146" t="str">
        <f>IF(B146="","",INDEX('①名簿入力'!$X$4:$X$153,B146))</f>
        <v/>
      </c>
      <c r="D146" t="str">
        <f>IF(B146="","",(INDEX('①名簿入力'!$AD$4:$AD$153,B146)-'設定'!$C$37)/'設定'!$C$38)</f>
        <v/>
      </c>
      <c r="E146" t="str">
        <f>IF(B146="","",INDEX('①名簿入力'!$B$4:$B$153,B146)&amp;"")</f>
        <v/>
      </c>
      <c r="F146">
        <f>IF(B146="",0,INDEX('①名簿入力'!$Y$4:$Y$153,B146))</f>
        <v>0</v>
      </c>
      <c r="G146">
        <f>IF(B146="",0,INDEX('①名簿入力'!$Z$4:$Z$153,B146))</f>
        <v>0</v>
      </c>
      <c r="H146">
        <f>IF(B146="",0,INDEX('①名簿入力'!$AA$4:$AA$153,B146))</f>
        <v>0</v>
      </c>
      <c r="I146">
        <f>IF(B146="",0,INDEX('①名簿入力'!$AB$4:$AB$153,B146))</f>
        <v>0</v>
      </c>
      <c r="J146">
        <f>COUNTIF($Z$1:Z145,1)</f>
        <v>35</v>
      </c>
      <c r="K146">
        <f>COUNTIF($Z$1:Z145,2)</f>
        <v>35</v>
      </c>
      <c r="L146">
        <f>COUNTIF($Z$1:Z145,3)</f>
        <v>35</v>
      </c>
      <c r="M146">
        <f>COUNTIFS($Z$1:Z145,1,$C$1:C145,C146)</f>
        <v>0</v>
      </c>
      <c r="N146">
        <f>COUNTIFS($Z$1:Z145,2,$C$1:C145,C146)</f>
        <v>0</v>
      </c>
      <c r="O146">
        <f>COUNTIFS($Z$1:Z145,3,$C$1:C145,C146)</f>
        <v>0</v>
      </c>
      <c r="P146">
        <f>F146*COUNTIFS($Z$1:Z145,1,$F$1:F145,1)+G146*COUNTIFS($Z$1:Z145,1,$G$1:G145,1)+H146*COUNTIFS($Z$1:Z145,1,$H$1:H145,1)+I146*COUNTIFS($Z$1:Z145,1,$I$1:I145,1)</f>
        <v>0</v>
      </c>
      <c r="Q146">
        <f>F146*COUNTIFS($Z$1:Z145,2,$F$1:F145,1)+G146*COUNTIFS($Z$1:Z145,2,$G$1:G145,1)+H146*COUNTIFS($Z$1:Z145,2,$H$1:H145,1)+I146*COUNTIFS($Z$1:Z145,2,$I$1:I145,1)</f>
        <v>0</v>
      </c>
      <c r="R146">
        <f>F146*COUNTIFS($Z$1:Z145,3,$F$1:F145,1)+G146*COUNTIFS($Z$1:Z145,3,$G$1:G145,1)+H146*COUNTIFS($Z$1:Z145,3,$H$1:H145,1)+I146*COUNTIFS($Z$1:Z145,3,$I$1:I145,1)</f>
        <v>0</v>
      </c>
      <c r="S146">
        <f>IF(E146="",0,COUNTIFS($Z$1:Z145,1,$E$1:E145,E146))</f>
        <v>0</v>
      </c>
      <c r="T146">
        <f>IF(E146="",0,COUNTIFS($Z$1:Z145,2,$E$1:E145,E146))</f>
        <v>0</v>
      </c>
      <c r="U146">
        <f>IF(E146="",0,COUNTIFS($Z$1:Z145,3,$E$1:E145,E146))</f>
        <v>0</v>
      </c>
      <c r="V146">
        <f>SUMIF($Z$1:Z145,1,$D$1:D145)</f>
        <v>-0.542654302435963</v>
      </c>
      <c r="W146">
        <f>SUMIF($Z$1:Z145,2,$D$1:D145)</f>
        <v>0.592439100824577</v>
      </c>
      <c r="X146">
        <f>SUMIF($Z$1:Z145,3,$D$1:D145)</f>
        <v>-0.0497847983886244</v>
      </c>
      <c r="Y146">
        <f>IF(B146="",0,INDEX('①名簿入力'!$AL$4:$AL$153,B146))</f>
        <v>0</v>
      </c>
      <c r="Z146" t="str">
        <f>IF(B146="","",MATCH(MIN(AA146:AC146),AA146:AC146,0))</f>
        <v/>
      </c>
      <c r="AA146" t="str">
        <f>IF(B146="","",IF(J146&gt;=$AE$2,1E+15,M146*1E+10+P146*1E+8+ROUND(100*(D146*V146+$AF$5*Y146*AI146+$AF$4*S146),0)+1E+6))</f>
        <v/>
      </c>
      <c r="AB146" t="str">
        <f>IF(B146="","",IF(K146&gt;=$AF$2,1E+15,N146*1E+10+Q146*1E+8+ROUND(100*(D146*W146+$AF$5*Y146*AJ146+$AF$4*T146),0)+1E+6))</f>
        <v/>
      </c>
      <c r="AC146" t="str">
        <f>IF(B146="","",IF(L146&gt;=$AG$2,1E+15,O146*1E+10+R146*1E+8+ROUND(100*(D146*X146+$AF$5*Y146*AK146+$AF$4*U146),0)+1E+6))</f>
        <v/>
      </c>
      <c r="AI146">
        <f>SUMIFS($Y$1:Y145,$Z$1:Z145,1,$C$1:C145,C146)</f>
        <v>0</v>
      </c>
      <c r="AJ146">
        <f>SUMIFS($Y$1:Y145,$Z$1:Z145,2,$C$1:C145,C146)</f>
        <v>0</v>
      </c>
      <c r="AK146">
        <f>SUMIFS($Y$1:Y145,$Z$1:Z145,3,$C$1:C145,C146)</f>
        <v>0</v>
      </c>
    </row>
    <row r="147">
      <c r="A147" t="n">
        <v>146</v>
      </c>
      <c r="B147" t="str">
        <f>IFERROR(MATCH(A147,'①名簿入力'!$AF$4:$AF$153,0),"")</f>
        <v/>
      </c>
      <c r="C147" t="str">
        <f>IF(B147="","",INDEX('①名簿入力'!$X$4:$X$153,B147))</f>
        <v/>
      </c>
      <c r="D147" t="str">
        <f>IF(B147="","",(INDEX('①名簿入力'!$AD$4:$AD$153,B147)-'設定'!$C$37)/'設定'!$C$38)</f>
        <v/>
      </c>
      <c r="E147" t="str">
        <f>IF(B147="","",INDEX('①名簿入力'!$B$4:$B$153,B147)&amp;"")</f>
        <v/>
      </c>
      <c r="F147">
        <f>IF(B147="",0,INDEX('①名簿入力'!$Y$4:$Y$153,B147))</f>
        <v>0</v>
      </c>
      <c r="G147">
        <f>IF(B147="",0,INDEX('①名簿入力'!$Z$4:$Z$153,B147))</f>
        <v>0</v>
      </c>
      <c r="H147">
        <f>IF(B147="",0,INDEX('①名簿入力'!$AA$4:$AA$153,B147))</f>
        <v>0</v>
      </c>
      <c r="I147">
        <f>IF(B147="",0,INDEX('①名簿入力'!$AB$4:$AB$153,B147))</f>
        <v>0</v>
      </c>
      <c r="J147">
        <f>COUNTIF($Z$1:Z146,1)</f>
        <v>35</v>
      </c>
      <c r="K147">
        <f>COUNTIF($Z$1:Z146,2)</f>
        <v>35</v>
      </c>
      <c r="L147">
        <f>COUNTIF($Z$1:Z146,3)</f>
        <v>35</v>
      </c>
      <c r="M147">
        <f>COUNTIFS($Z$1:Z146,1,$C$1:C146,C147)</f>
        <v>0</v>
      </c>
      <c r="N147">
        <f>COUNTIFS($Z$1:Z146,2,$C$1:C146,C147)</f>
        <v>0</v>
      </c>
      <c r="O147">
        <f>COUNTIFS($Z$1:Z146,3,$C$1:C146,C147)</f>
        <v>0</v>
      </c>
      <c r="P147">
        <f>F147*COUNTIFS($Z$1:Z146,1,$F$1:F146,1)+G147*COUNTIFS($Z$1:Z146,1,$G$1:G146,1)+H147*COUNTIFS($Z$1:Z146,1,$H$1:H146,1)+I147*COUNTIFS($Z$1:Z146,1,$I$1:I146,1)</f>
        <v>0</v>
      </c>
      <c r="Q147">
        <f>F147*COUNTIFS($Z$1:Z146,2,$F$1:F146,1)+G147*COUNTIFS($Z$1:Z146,2,$G$1:G146,1)+H147*COUNTIFS($Z$1:Z146,2,$H$1:H146,1)+I147*COUNTIFS($Z$1:Z146,2,$I$1:I146,1)</f>
        <v>0</v>
      </c>
      <c r="R147">
        <f>F147*COUNTIFS($Z$1:Z146,3,$F$1:F146,1)+G147*COUNTIFS($Z$1:Z146,3,$G$1:G146,1)+H147*COUNTIFS($Z$1:Z146,3,$H$1:H146,1)+I147*COUNTIFS($Z$1:Z146,3,$I$1:I146,1)</f>
        <v>0</v>
      </c>
      <c r="S147">
        <f>IF(E147="",0,COUNTIFS($Z$1:Z146,1,$E$1:E146,E147))</f>
        <v>0</v>
      </c>
      <c r="T147">
        <f>IF(E147="",0,COUNTIFS($Z$1:Z146,2,$E$1:E146,E147))</f>
        <v>0</v>
      </c>
      <c r="U147">
        <f>IF(E147="",0,COUNTIFS($Z$1:Z146,3,$E$1:E146,E147))</f>
        <v>0</v>
      </c>
      <c r="V147">
        <f>SUMIF($Z$1:Z146,1,$D$1:D146)</f>
        <v>-0.542654302435963</v>
      </c>
      <c r="W147">
        <f>SUMIF($Z$1:Z146,2,$D$1:D146)</f>
        <v>0.592439100824577</v>
      </c>
      <c r="X147">
        <f>SUMIF($Z$1:Z146,3,$D$1:D146)</f>
        <v>-0.0497847983886244</v>
      </c>
      <c r="Y147">
        <f>IF(B147="",0,INDEX('①名簿入力'!$AL$4:$AL$153,B147))</f>
        <v>0</v>
      </c>
      <c r="Z147" t="str">
        <f>IF(B147="","",MATCH(MIN(AA147:AC147),AA147:AC147,0))</f>
        <v/>
      </c>
      <c r="AA147" t="str">
        <f>IF(B147="","",IF(J147&gt;=$AE$2,1E+15,M147*1E+10+P147*1E+8+ROUND(100*(D147*V147+$AF$5*Y147*AI147+$AF$4*S147),0)+1E+6))</f>
        <v/>
      </c>
      <c r="AB147" t="str">
        <f>IF(B147="","",IF(K147&gt;=$AF$2,1E+15,N147*1E+10+Q147*1E+8+ROUND(100*(D147*W147+$AF$5*Y147*AJ147+$AF$4*T147),0)+1E+6))</f>
        <v/>
      </c>
      <c r="AC147" t="str">
        <f>IF(B147="","",IF(L147&gt;=$AG$2,1E+15,O147*1E+10+R147*1E+8+ROUND(100*(D147*X147+$AF$5*Y147*AK147+$AF$4*U147),0)+1E+6))</f>
        <v/>
      </c>
      <c r="AI147">
        <f>SUMIFS($Y$1:Y146,$Z$1:Z146,1,$C$1:C146,C147)</f>
        <v>0</v>
      </c>
      <c r="AJ147">
        <f>SUMIFS($Y$1:Y146,$Z$1:Z146,2,$C$1:C146,C147)</f>
        <v>0</v>
      </c>
      <c r="AK147">
        <f>SUMIFS($Y$1:Y146,$Z$1:Z146,3,$C$1:C146,C147)</f>
        <v>0</v>
      </c>
    </row>
    <row r="148">
      <c r="A148" t="n">
        <v>147</v>
      </c>
      <c r="B148" t="str">
        <f>IFERROR(MATCH(A148,'①名簿入力'!$AF$4:$AF$153,0),"")</f>
        <v/>
      </c>
      <c r="C148" t="str">
        <f>IF(B148="","",INDEX('①名簿入力'!$X$4:$X$153,B148))</f>
        <v/>
      </c>
      <c r="D148" t="str">
        <f>IF(B148="","",(INDEX('①名簿入力'!$AD$4:$AD$153,B148)-'設定'!$C$37)/'設定'!$C$38)</f>
        <v/>
      </c>
      <c r="E148" t="str">
        <f>IF(B148="","",INDEX('①名簿入力'!$B$4:$B$153,B148)&amp;"")</f>
        <v/>
      </c>
      <c r="F148">
        <f>IF(B148="",0,INDEX('①名簿入力'!$Y$4:$Y$153,B148))</f>
        <v>0</v>
      </c>
      <c r="G148">
        <f>IF(B148="",0,INDEX('①名簿入力'!$Z$4:$Z$153,B148))</f>
        <v>0</v>
      </c>
      <c r="H148">
        <f>IF(B148="",0,INDEX('①名簿入力'!$AA$4:$AA$153,B148))</f>
        <v>0</v>
      </c>
      <c r="I148">
        <f>IF(B148="",0,INDEX('①名簿入力'!$AB$4:$AB$153,B148))</f>
        <v>0</v>
      </c>
      <c r="J148">
        <f>COUNTIF($Z$1:Z147,1)</f>
        <v>35</v>
      </c>
      <c r="K148">
        <f>COUNTIF($Z$1:Z147,2)</f>
        <v>35</v>
      </c>
      <c r="L148">
        <f>COUNTIF($Z$1:Z147,3)</f>
        <v>35</v>
      </c>
      <c r="M148">
        <f>COUNTIFS($Z$1:Z147,1,$C$1:C147,C148)</f>
        <v>0</v>
      </c>
      <c r="N148">
        <f>COUNTIFS($Z$1:Z147,2,$C$1:C147,C148)</f>
        <v>0</v>
      </c>
      <c r="O148">
        <f>COUNTIFS($Z$1:Z147,3,$C$1:C147,C148)</f>
        <v>0</v>
      </c>
      <c r="P148">
        <f>F148*COUNTIFS($Z$1:Z147,1,$F$1:F147,1)+G148*COUNTIFS($Z$1:Z147,1,$G$1:G147,1)+H148*COUNTIFS($Z$1:Z147,1,$H$1:H147,1)+I148*COUNTIFS($Z$1:Z147,1,$I$1:I147,1)</f>
        <v>0</v>
      </c>
      <c r="Q148">
        <f>F148*COUNTIFS($Z$1:Z147,2,$F$1:F147,1)+G148*COUNTIFS($Z$1:Z147,2,$G$1:G147,1)+H148*COUNTIFS($Z$1:Z147,2,$H$1:H147,1)+I148*COUNTIFS($Z$1:Z147,2,$I$1:I147,1)</f>
        <v>0</v>
      </c>
      <c r="R148">
        <f>F148*COUNTIFS($Z$1:Z147,3,$F$1:F147,1)+G148*COUNTIFS($Z$1:Z147,3,$G$1:G147,1)+H148*COUNTIFS($Z$1:Z147,3,$H$1:H147,1)+I148*COUNTIFS($Z$1:Z147,3,$I$1:I147,1)</f>
        <v>0</v>
      </c>
      <c r="S148">
        <f>IF(E148="",0,COUNTIFS($Z$1:Z147,1,$E$1:E147,E148))</f>
        <v>0</v>
      </c>
      <c r="T148">
        <f>IF(E148="",0,COUNTIFS($Z$1:Z147,2,$E$1:E147,E148))</f>
        <v>0</v>
      </c>
      <c r="U148">
        <f>IF(E148="",0,COUNTIFS($Z$1:Z147,3,$E$1:E147,E148))</f>
        <v>0</v>
      </c>
      <c r="V148">
        <f>SUMIF($Z$1:Z147,1,$D$1:D147)</f>
        <v>-0.542654302435963</v>
      </c>
      <c r="W148">
        <f>SUMIF($Z$1:Z147,2,$D$1:D147)</f>
        <v>0.592439100824577</v>
      </c>
      <c r="X148">
        <f>SUMIF($Z$1:Z147,3,$D$1:D147)</f>
        <v>-0.0497847983886244</v>
      </c>
      <c r="Y148">
        <f>IF(B148="",0,INDEX('①名簿入力'!$AL$4:$AL$153,B148))</f>
        <v>0</v>
      </c>
      <c r="Z148" t="str">
        <f>IF(B148="","",MATCH(MIN(AA148:AC148),AA148:AC148,0))</f>
        <v/>
      </c>
      <c r="AA148" t="str">
        <f>IF(B148="","",IF(J148&gt;=$AE$2,1E+15,M148*1E+10+P148*1E+8+ROUND(100*(D148*V148+$AF$5*Y148*AI148+$AF$4*S148),0)+1E+6))</f>
        <v/>
      </c>
      <c r="AB148" t="str">
        <f>IF(B148="","",IF(K148&gt;=$AF$2,1E+15,N148*1E+10+Q148*1E+8+ROUND(100*(D148*W148+$AF$5*Y148*AJ148+$AF$4*T148),0)+1E+6))</f>
        <v/>
      </c>
      <c r="AC148" t="str">
        <f>IF(B148="","",IF(L148&gt;=$AG$2,1E+15,O148*1E+10+R148*1E+8+ROUND(100*(D148*X148+$AF$5*Y148*AK148+$AF$4*U148),0)+1E+6))</f>
        <v/>
      </c>
      <c r="AI148">
        <f>SUMIFS($Y$1:Y147,$Z$1:Z147,1,$C$1:C147,C148)</f>
        <v>0</v>
      </c>
      <c r="AJ148">
        <f>SUMIFS($Y$1:Y147,$Z$1:Z147,2,$C$1:C147,C148)</f>
        <v>0</v>
      </c>
      <c r="AK148">
        <f>SUMIFS($Y$1:Y147,$Z$1:Z147,3,$C$1:C147,C148)</f>
        <v>0</v>
      </c>
    </row>
    <row r="149">
      <c r="A149" t="n">
        <v>148</v>
      </c>
      <c r="B149" t="str">
        <f>IFERROR(MATCH(A149,'①名簿入力'!$AF$4:$AF$153,0),"")</f>
        <v/>
      </c>
      <c r="C149" t="str">
        <f>IF(B149="","",INDEX('①名簿入力'!$X$4:$X$153,B149))</f>
        <v/>
      </c>
      <c r="D149" t="str">
        <f>IF(B149="","",(INDEX('①名簿入力'!$AD$4:$AD$153,B149)-'設定'!$C$37)/'設定'!$C$38)</f>
        <v/>
      </c>
      <c r="E149" t="str">
        <f>IF(B149="","",INDEX('①名簿入力'!$B$4:$B$153,B149)&amp;"")</f>
        <v/>
      </c>
      <c r="F149">
        <f>IF(B149="",0,INDEX('①名簿入力'!$Y$4:$Y$153,B149))</f>
        <v>0</v>
      </c>
      <c r="G149">
        <f>IF(B149="",0,INDEX('①名簿入力'!$Z$4:$Z$153,B149))</f>
        <v>0</v>
      </c>
      <c r="H149">
        <f>IF(B149="",0,INDEX('①名簿入力'!$AA$4:$AA$153,B149))</f>
        <v>0</v>
      </c>
      <c r="I149">
        <f>IF(B149="",0,INDEX('①名簿入力'!$AB$4:$AB$153,B149))</f>
        <v>0</v>
      </c>
      <c r="J149">
        <f>COUNTIF($Z$1:Z148,1)</f>
        <v>35</v>
      </c>
      <c r="K149">
        <f>COUNTIF($Z$1:Z148,2)</f>
        <v>35</v>
      </c>
      <c r="L149">
        <f>COUNTIF($Z$1:Z148,3)</f>
        <v>35</v>
      </c>
      <c r="M149">
        <f>COUNTIFS($Z$1:Z148,1,$C$1:C148,C149)</f>
        <v>0</v>
      </c>
      <c r="N149">
        <f>COUNTIFS($Z$1:Z148,2,$C$1:C148,C149)</f>
        <v>0</v>
      </c>
      <c r="O149">
        <f>COUNTIFS($Z$1:Z148,3,$C$1:C148,C149)</f>
        <v>0</v>
      </c>
      <c r="P149">
        <f>F149*COUNTIFS($Z$1:Z148,1,$F$1:F148,1)+G149*COUNTIFS($Z$1:Z148,1,$G$1:G148,1)+H149*COUNTIFS($Z$1:Z148,1,$H$1:H148,1)+I149*COUNTIFS($Z$1:Z148,1,$I$1:I148,1)</f>
        <v>0</v>
      </c>
      <c r="Q149">
        <f>F149*COUNTIFS($Z$1:Z148,2,$F$1:F148,1)+G149*COUNTIFS($Z$1:Z148,2,$G$1:G148,1)+H149*COUNTIFS($Z$1:Z148,2,$H$1:H148,1)+I149*COUNTIFS($Z$1:Z148,2,$I$1:I148,1)</f>
        <v>0</v>
      </c>
      <c r="R149">
        <f>F149*COUNTIFS($Z$1:Z148,3,$F$1:F148,1)+G149*COUNTIFS($Z$1:Z148,3,$G$1:G148,1)+H149*COUNTIFS($Z$1:Z148,3,$H$1:H148,1)+I149*COUNTIFS($Z$1:Z148,3,$I$1:I148,1)</f>
        <v>0</v>
      </c>
      <c r="S149">
        <f>IF(E149="",0,COUNTIFS($Z$1:Z148,1,$E$1:E148,E149))</f>
        <v>0</v>
      </c>
      <c r="T149">
        <f>IF(E149="",0,COUNTIFS($Z$1:Z148,2,$E$1:E148,E149))</f>
        <v>0</v>
      </c>
      <c r="U149">
        <f>IF(E149="",0,COUNTIFS($Z$1:Z148,3,$E$1:E148,E149))</f>
        <v>0</v>
      </c>
      <c r="V149">
        <f>SUMIF($Z$1:Z148,1,$D$1:D148)</f>
        <v>-0.542654302435963</v>
      </c>
      <c r="W149">
        <f>SUMIF($Z$1:Z148,2,$D$1:D148)</f>
        <v>0.592439100824577</v>
      </c>
      <c r="X149">
        <f>SUMIF($Z$1:Z148,3,$D$1:D148)</f>
        <v>-0.0497847983886244</v>
      </c>
      <c r="Y149">
        <f>IF(B149="",0,INDEX('①名簿入力'!$AL$4:$AL$153,B149))</f>
        <v>0</v>
      </c>
      <c r="Z149" t="str">
        <f>IF(B149="","",MATCH(MIN(AA149:AC149),AA149:AC149,0))</f>
        <v/>
      </c>
      <c r="AA149" t="str">
        <f>IF(B149="","",IF(J149&gt;=$AE$2,1E+15,M149*1E+10+P149*1E+8+ROUND(100*(D149*V149+$AF$5*Y149*AI149+$AF$4*S149),0)+1E+6))</f>
        <v/>
      </c>
      <c r="AB149" t="str">
        <f>IF(B149="","",IF(K149&gt;=$AF$2,1E+15,N149*1E+10+Q149*1E+8+ROUND(100*(D149*W149+$AF$5*Y149*AJ149+$AF$4*T149),0)+1E+6))</f>
        <v/>
      </c>
      <c r="AC149" t="str">
        <f>IF(B149="","",IF(L149&gt;=$AG$2,1E+15,O149*1E+10+R149*1E+8+ROUND(100*(D149*X149+$AF$5*Y149*AK149+$AF$4*U149),0)+1E+6))</f>
        <v/>
      </c>
      <c r="AI149">
        <f>SUMIFS($Y$1:Y148,$Z$1:Z148,1,$C$1:C148,C149)</f>
        <v>0</v>
      </c>
      <c r="AJ149">
        <f>SUMIFS($Y$1:Y148,$Z$1:Z148,2,$C$1:C148,C149)</f>
        <v>0</v>
      </c>
      <c r="AK149">
        <f>SUMIFS($Y$1:Y148,$Z$1:Z148,3,$C$1:C148,C149)</f>
        <v>0</v>
      </c>
    </row>
    <row r="150">
      <c r="A150" t="n">
        <v>149</v>
      </c>
      <c r="B150" t="str">
        <f>IFERROR(MATCH(A150,'①名簿入力'!$AF$4:$AF$153,0),"")</f>
        <v/>
      </c>
      <c r="C150" t="str">
        <f>IF(B150="","",INDEX('①名簿入力'!$X$4:$X$153,B150))</f>
        <v/>
      </c>
      <c r="D150" t="str">
        <f>IF(B150="","",(INDEX('①名簿入力'!$AD$4:$AD$153,B150)-'設定'!$C$37)/'設定'!$C$38)</f>
        <v/>
      </c>
      <c r="E150" t="str">
        <f>IF(B150="","",INDEX('①名簿入力'!$B$4:$B$153,B150)&amp;"")</f>
        <v/>
      </c>
      <c r="F150">
        <f>IF(B150="",0,INDEX('①名簿入力'!$Y$4:$Y$153,B150))</f>
        <v>0</v>
      </c>
      <c r="G150">
        <f>IF(B150="",0,INDEX('①名簿入力'!$Z$4:$Z$153,B150))</f>
        <v>0</v>
      </c>
      <c r="H150">
        <f>IF(B150="",0,INDEX('①名簿入力'!$AA$4:$AA$153,B150))</f>
        <v>0</v>
      </c>
      <c r="I150">
        <f>IF(B150="",0,INDEX('①名簿入力'!$AB$4:$AB$153,B150))</f>
        <v>0</v>
      </c>
      <c r="J150">
        <f>COUNTIF($Z$1:Z149,1)</f>
        <v>35</v>
      </c>
      <c r="K150">
        <f>COUNTIF($Z$1:Z149,2)</f>
        <v>35</v>
      </c>
      <c r="L150">
        <f>COUNTIF($Z$1:Z149,3)</f>
        <v>35</v>
      </c>
      <c r="M150">
        <f>COUNTIFS($Z$1:Z149,1,$C$1:C149,C150)</f>
        <v>0</v>
      </c>
      <c r="N150">
        <f>COUNTIFS($Z$1:Z149,2,$C$1:C149,C150)</f>
        <v>0</v>
      </c>
      <c r="O150">
        <f>COUNTIFS($Z$1:Z149,3,$C$1:C149,C150)</f>
        <v>0</v>
      </c>
      <c r="P150">
        <f>F150*COUNTIFS($Z$1:Z149,1,$F$1:F149,1)+G150*COUNTIFS($Z$1:Z149,1,$G$1:G149,1)+H150*COUNTIFS($Z$1:Z149,1,$H$1:H149,1)+I150*COUNTIFS($Z$1:Z149,1,$I$1:I149,1)</f>
        <v>0</v>
      </c>
      <c r="Q150">
        <f>F150*COUNTIFS($Z$1:Z149,2,$F$1:F149,1)+G150*COUNTIFS($Z$1:Z149,2,$G$1:G149,1)+H150*COUNTIFS($Z$1:Z149,2,$H$1:H149,1)+I150*COUNTIFS($Z$1:Z149,2,$I$1:I149,1)</f>
        <v>0</v>
      </c>
      <c r="R150">
        <f>F150*COUNTIFS($Z$1:Z149,3,$F$1:F149,1)+G150*COUNTIFS($Z$1:Z149,3,$G$1:G149,1)+H150*COUNTIFS($Z$1:Z149,3,$H$1:H149,1)+I150*COUNTIFS($Z$1:Z149,3,$I$1:I149,1)</f>
        <v>0</v>
      </c>
      <c r="S150">
        <f>IF(E150="",0,COUNTIFS($Z$1:Z149,1,$E$1:E149,E150))</f>
        <v>0</v>
      </c>
      <c r="T150">
        <f>IF(E150="",0,COUNTIFS($Z$1:Z149,2,$E$1:E149,E150))</f>
        <v>0</v>
      </c>
      <c r="U150">
        <f>IF(E150="",0,COUNTIFS($Z$1:Z149,3,$E$1:E149,E150))</f>
        <v>0</v>
      </c>
      <c r="V150">
        <f>SUMIF($Z$1:Z149,1,$D$1:D149)</f>
        <v>-0.542654302435963</v>
      </c>
      <c r="W150">
        <f>SUMIF($Z$1:Z149,2,$D$1:D149)</f>
        <v>0.592439100824577</v>
      </c>
      <c r="X150">
        <f>SUMIF($Z$1:Z149,3,$D$1:D149)</f>
        <v>-0.0497847983886244</v>
      </c>
      <c r="Y150">
        <f>IF(B150="",0,INDEX('①名簿入力'!$AL$4:$AL$153,B150))</f>
        <v>0</v>
      </c>
      <c r="Z150" t="str">
        <f>IF(B150="","",MATCH(MIN(AA150:AC150),AA150:AC150,0))</f>
        <v/>
      </c>
      <c r="AA150" t="str">
        <f>IF(B150="","",IF(J150&gt;=$AE$2,1E+15,M150*1E+10+P150*1E+8+ROUND(100*(D150*V150+$AF$5*Y150*AI150+$AF$4*S150),0)+1E+6))</f>
        <v/>
      </c>
      <c r="AB150" t="str">
        <f>IF(B150="","",IF(K150&gt;=$AF$2,1E+15,N150*1E+10+Q150*1E+8+ROUND(100*(D150*W150+$AF$5*Y150*AJ150+$AF$4*T150),0)+1E+6))</f>
        <v/>
      </c>
      <c r="AC150" t="str">
        <f>IF(B150="","",IF(L150&gt;=$AG$2,1E+15,O150*1E+10+R150*1E+8+ROUND(100*(D150*X150+$AF$5*Y150*AK150+$AF$4*U150),0)+1E+6))</f>
        <v/>
      </c>
      <c r="AI150">
        <f>SUMIFS($Y$1:Y149,$Z$1:Z149,1,$C$1:C149,C150)</f>
        <v>0</v>
      </c>
      <c r="AJ150">
        <f>SUMIFS($Y$1:Y149,$Z$1:Z149,2,$C$1:C149,C150)</f>
        <v>0</v>
      </c>
      <c r="AK150">
        <f>SUMIFS($Y$1:Y149,$Z$1:Z149,3,$C$1:C149,C150)</f>
        <v>0</v>
      </c>
    </row>
    <row r="151">
      <c r="A151" t="n">
        <v>150</v>
      </c>
      <c r="B151" t="str">
        <f>IFERROR(MATCH(A151,'①名簿入力'!$AF$4:$AF$153,0),"")</f>
        <v/>
      </c>
      <c r="C151" t="str">
        <f>IF(B151="","",INDEX('①名簿入力'!$X$4:$X$153,B151))</f>
        <v/>
      </c>
      <c r="D151" t="str">
        <f>IF(B151="","",(INDEX('①名簿入力'!$AD$4:$AD$153,B151)-'設定'!$C$37)/'設定'!$C$38)</f>
        <v/>
      </c>
      <c r="E151" t="str">
        <f>IF(B151="","",INDEX('①名簿入力'!$B$4:$B$153,B151)&amp;"")</f>
        <v/>
      </c>
      <c r="F151">
        <f>IF(B151="",0,INDEX('①名簿入力'!$Y$4:$Y$153,B151))</f>
        <v>0</v>
      </c>
      <c r="G151">
        <f>IF(B151="",0,INDEX('①名簿入力'!$Z$4:$Z$153,B151))</f>
        <v>0</v>
      </c>
      <c r="H151">
        <f>IF(B151="",0,INDEX('①名簿入力'!$AA$4:$AA$153,B151))</f>
        <v>0</v>
      </c>
      <c r="I151">
        <f>IF(B151="",0,INDEX('①名簿入力'!$AB$4:$AB$153,B151))</f>
        <v>0</v>
      </c>
      <c r="J151">
        <f>COUNTIF($Z$1:Z150,1)</f>
        <v>35</v>
      </c>
      <c r="K151">
        <f>COUNTIF($Z$1:Z150,2)</f>
        <v>35</v>
      </c>
      <c r="L151">
        <f>COUNTIF($Z$1:Z150,3)</f>
        <v>35</v>
      </c>
      <c r="M151">
        <f>COUNTIFS($Z$1:Z150,1,$C$1:C150,C151)</f>
        <v>0</v>
      </c>
      <c r="N151">
        <f>COUNTIFS($Z$1:Z150,2,$C$1:C150,C151)</f>
        <v>0</v>
      </c>
      <c r="O151">
        <f>COUNTIFS($Z$1:Z150,3,$C$1:C150,C151)</f>
        <v>0</v>
      </c>
      <c r="P151">
        <f>F151*COUNTIFS($Z$1:Z150,1,$F$1:F150,1)+G151*COUNTIFS($Z$1:Z150,1,$G$1:G150,1)+H151*COUNTIFS($Z$1:Z150,1,$H$1:H150,1)+I151*COUNTIFS($Z$1:Z150,1,$I$1:I150,1)</f>
        <v>0</v>
      </c>
      <c r="Q151">
        <f>F151*COUNTIFS($Z$1:Z150,2,$F$1:F150,1)+G151*COUNTIFS($Z$1:Z150,2,$G$1:G150,1)+H151*COUNTIFS($Z$1:Z150,2,$H$1:H150,1)+I151*COUNTIFS($Z$1:Z150,2,$I$1:I150,1)</f>
        <v>0</v>
      </c>
      <c r="R151">
        <f>F151*COUNTIFS($Z$1:Z150,3,$F$1:F150,1)+G151*COUNTIFS($Z$1:Z150,3,$G$1:G150,1)+H151*COUNTIFS($Z$1:Z150,3,$H$1:H150,1)+I151*COUNTIFS($Z$1:Z150,3,$I$1:I150,1)</f>
        <v>0</v>
      </c>
      <c r="S151">
        <f>IF(E151="",0,COUNTIFS($Z$1:Z150,1,$E$1:E150,E151))</f>
        <v>0</v>
      </c>
      <c r="T151">
        <f>IF(E151="",0,COUNTIFS($Z$1:Z150,2,$E$1:E150,E151))</f>
        <v>0</v>
      </c>
      <c r="U151">
        <f>IF(E151="",0,COUNTIFS($Z$1:Z150,3,$E$1:E150,E151))</f>
        <v>0</v>
      </c>
      <c r="V151">
        <f>SUMIF($Z$1:Z150,1,$D$1:D150)</f>
        <v>-0.542654302435963</v>
      </c>
      <c r="W151">
        <f>SUMIF($Z$1:Z150,2,$D$1:D150)</f>
        <v>0.592439100824577</v>
      </c>
      <c r="X151">
        <f>SUMIF($Z$1:Z150,3,$D$1:D150)</f>
        <v>-0.0497847983886244</v>
      </c>
      <c r="Y151">
        <f>IF(B151="",0,INDEX('①名簿入力'!$AL$4:$AL$153,B151))</f>
        <v>0</v>
      </c>
      <c r="Z151" t="str">
        <f>IF(B151="","",MATCH(MIN(AA151:AC151),AA151:AC151,0))</f>
        <v/>
      </c>
      <c r="AA151" t="str">
        <f>IF(B151="","",IF(J151&gt;=$AE$2,1E+15,M151*1E+10+P151*1E+8+ROUND(100*(D151*V151+$AF$5*Y151*AI151+$AF$4*S151),0)+1E+6))</f>
        <v/>
      </c>
      <c r="AB151" t="str">
        <f>IF(B151="","",IF(K151&gt;=$AF$2,1E+15,N151*1E+10+Q151*1E+8+ROUND(100*(D151*W151+$AF$5*Y151*AJ151+$AF$4*T151),0)+1E+6))</f>
        <v/>
      </c>
      <c r="AC151" t="str">
        <f>IF(B151="","",IF(L151&gt;=$AG$2,1E+15,O151*1E+10+R151*1E+8+ROUND(100*(D151*X151+$AF$5*Y151*AK151+$AF$4*U151),0)+1E+6))</f>
        <v/>
      </c>
      <c r="AI151">
        <f>SUMIFS($Y$1:Y150,$Z$1:Z150,1,$C$1:C150,C151)</f>
        <v>0</v>
      </c>
      <c r="AJ151">
        <f>SUMIFS($Y$1:Y150,$Z$1:Z150,2,$C$1:C150,C151)</f>
        <v>0</v>
      </c>
      <c r="AK151">
        <f>SUMIFS($Y$1:Y150,$Z$1:Z150,3,$C$1:C150,C151)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2026-10-29T04:23:24Z</dcterms:created>
  <dcterms:modified xmlns:dcterms="http://purl.org/dc/terms/" xmlns:xsi="http://www.w3.org/2001/XMLSchema-instance" xsi:type="dcterms:W3CDTF">2026-10-29T04:23:25Z</dcterms:modified>
</cp:coreProperties>
</file>